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ELCOME" sheetId="1" state="visible" r:id="rId1"/>
    <sheet xmlns:r="http://schemas.openxmlformats.org/officeDocument/2006/relationships" name="CONTENT PILLAR MAPPING" sheetId="2" state="visible" r:id="rId2"/>
    <sheet xmlns:r="http://schemas.openxmlformats.org/officeDocument/2006/relationships" name="SCRIPT GENERATOR" sheetId="3" state="visible" r:id="rId3"/>
    <sheet xmlns:r="http://schemas.openxmlformats.org/officeDocument/2006/relationships" name="HOOK GENERATOR" sheetId="4" state="visible" r:id="rId4"/>
    <sheet xmlns:r="http://schemas.openxmlformats.org/officeDocument/2006/relationships" name="CAPTION GENERATOR" sheetId="5" state="visible" r:id="rId5"/>
    <sheet xmlns:r="http://schemas.openxmlformats.org/officeDocument/2006/relationships" name="CONTENT BATCHING" sheetId="6" state="visible" r:id="rId6"/>
  </sheets>
  <definedNames/>
  <calcPr calcId="124519" fullCalcOnLoad="1"/>
</workbook>
</file>

<file path=xl/styles.xml><?xml version="1.0" encoding="utf-8"?>
<styleSheet xmlns="http://schemas.openxmlformats.org/spreadsheetml/2006/main">
  <numFmts count="3">
    <numFmt numFmtId="164" formatCode="d&quot;-&quot;mmm&quot;-&quot;yyyy"/>
    <numFmt numFmtId="165" formatCode="&quot; &quot;d&quot;/&quot;m&quot;/&quot;yy"/>
    <numFmt numFmtId="166" formatCode="h:mm:ss am/pm"/>
  </numFmts>
  <fonts count="61">
    <font>
      <name val="Calibri"/>
      <color theme="1"/>
      <sz val="11"/>
      <scheme val="minor"/>
    </font>
    <font>
      <name val="Plus Jakarta Sans"/>
      <color theme="1"/>
    </font>
    <font>
      <name val="Plus Jakarta Sans"/>
      <b val="1"/>
      <color rgb="FFFF0000"/>
      <sz val="23"/>
    </font>
    <font>
      <name val="Plus Jakarta Sans"/>
      <b val="1"/>
      <color rgb="FFFF0000"/>
      <sz val="16"/>
    </font>
    <font>
      <name val="Plus Jakarta Sans"/>
      <b val="1"/>
      <color rgb="FFF46524"/>
      <sz val="53"/>
      <u val="single"/>
    </font>
    <font>
      <name val="Plus Jakarta Sans"/>
      <b val="1"/>
      <color rgb="FFFFFFFF"/>
      <sz val="14"/>
    </font>
    <font/>
    <font>
      <name val="Plus Jakarta Sans"/>
      <b val="1"/>
      <color rgb="FFFFFFFF"/>
      <sz val="12"/>
    </font>
    <font>
      <name val="Plus Jakarta Sans"/>
      <b val="1"/>
      <color rgb="FFFFFFFF"/>
    </font>
    <font>
      <name val="Plus Jakarta Sans"/>
      <b val="1"/>
      <color theme="1"/>
      <sz val="12"/>
    </font>
    <font>
      <name val="Plus Jakarta Sans"/>
      <b val="1"/>
      <color theme="1"/>
    </font>
    <font>
      <name val="Plus Jakarta Sans"/>
      <color theme="1"/>
      <sz val="11"/>
    </font>
    <font>
      <name val="Plus Jakarta Sans"/>
      <b val="1"/>
      <color rgb="FFFFFFFF"/>
      <sz val="11"/>
    </font>
    <font>
      <name val="Plus Jakarta Sans"/>
      <b val="1"/>
      <color rgb="FFF46524"/>
      <sz val="21"/>
      <u val="single"/>
    </font>
    <font>
      <name val="Calibri"/>
      <b val="1"/>
      <color rgb="FFFFFFFF"/>
    </font>
    <font>
      <name val="Calibri"/>
      <b val="1"/>
      <color theme="1"/>
      <sz val="23"/>
    </font>
    <font>
      <name val="Plus Jakarta Sans"/>
      <b val="1"/>
      <color theme="1"/>
      <sz val="17"/>
    </font>
    <font>
      <name val="Plus Jakarta Sans"/>
      <b val="1"/>
      <color rgb="FFF46524"/>
      <sz val="21"/>
      <u val="single"/>
    </font>
    <font>
      <name val="Plus Jakarta Sans"/>
      <b val="1"/>
      <color rgb="FFF46524"/>
      <sz val="21"/>
      <u val="single"/>
    </font>
    <font>
      <name val="Calibri"/>
      <color theme="1"/>
    </font>
    <font>
      <name val="Calibri"/>
      <b val="1"/>
      <color theme="1"/>
    </font>
    <font>
      <name val="Calibri"/>
      <b val="1"/>
      <color rgb="FFFFFFFF"/>
      <sz val="14"/>
    </font>
    <font>
      <name val="Plus Jakarta Sans"/>
      <color theme="1"/>
      <sz val="12"/>
    </font>
    <font>
      <name val="Plus Jakarta Sans"/>
      <color rgb="FF666666"/>
      <sz val="12"/>
    </font>
    <font>
      <name val="Plus Jakarta Sans"/>
      <color rgb="FF666666"/>
      <sz val="8"/>
    </font>
    <font>
      <name val="Plus Jakarta Sans"/>
      <color rgb="FF434343"/>
      <sz val="8"/>
    </font>
    <font>
      <name val="Plus Jakarta Sans"/>
      <color rgb="FF666666"/>
      <sz val="10"/>
    </font>
    <font>
      <name val="Calibri"/>
      <b val="1"/>
      <color theme="1"/>
      <sz val="14"/>
    </font>
    <font>
      <name val="Plus Jakarta Sans"/>
      <b val="1"/>
      <color rgb="FFF46524"/>
      <sz val="26"/>
      <u val="single"/>
    </font>
    <font>
      <name val="Plus Jakarta Sans"/>
      <b val="1"/>
      <color rgb="FFF46524"/>
      <sz val="26"/>
    </font>
    <font>
      <name val="Plus Jakarta Sans"/>
      <b val="1"/>
      <i val="1"/>
      <color theme="1"/>
    </font>
    <font>
      <name val="Plus Jakarta Sans"/>
      <b val="1"/>
      <color theme="1"/>
      <sz val="13"/>
    </font>
    <font>
      <name val="Calibri"/>
      <color theme="1"/>
      <sz val="12"/>
    </font>
    <font>
      <name val="Plus Jakarta Sans"/>
      <color theme="1"/>
      <sz val="10"/>
    </font>
    <font>
      <name val="Plus Jakarta Sans"/>
      <b val="1"/>
      <color theme="1"/>
      <sz val="14"/>
    </font>
    <font>
      <name val="Plus Jakarta Sans"/>
      <color rgb="FF000000"/>
      <sz val="10"/>
    </font>
    <font>
      <name val="Plus Jakarta Sans"/>
      <color rgb="FFFFFFFF"/>
    </font>
    <font>
      <name val="Plus Jakarta Sans"/>
      <b val="1"/>
      <color rgb="FFF46524"/>
      <sz val="26"/>
      <u val="single"/>
    </font>
    <font>
      <name val="Plus Jakarta Sans"/>
      <b val="1"/>
      <color rgb="FFFFFFFF"/>
      <sz val="16"/>
    </font>
    <font>
      <name val="Plus Jakarta Sans"/>
      <b val="1"/>
      <color rgb="FFF46524"/>
      <sz val="13"/>
      <u val="single"/>
    </font>
    <font>
      <name val="Arial"/>
      <color rgb="FF000000"/>
      <sz val="12"/>
    </font>
    <font>
      <name val="Plus Jakarta Sans"/>
      <b val="1"/>
      <color rgb="FFF46524"/>
      <sz val="13"/>
      <u val="single"/>
    </font>
    <font>
      <name val="Plus Jakarta Sans"/>
      <color rgb="FFFFE6DD"/>
      <sz val="10"/>
    </font>
    <font>
      <name val="Plus Jakarta Sans"/>
      <color rgb="FFFFFFFF"/>
      <sz val="10"/>
    </font>
    <font>
      <name val="Plus Jakarta Sans"/>
      <b val="1"/>
      <color theme="1"/>
      <sz val="10"/>
    </font>
    <font>
      <name val="Plus Jakarta Sans"/>
      <b val="1"/>
      <color rgb="FFF46524"/>
      <sz val="13"/>
    </font>
    <font>
      <name val="Plus Jakarta Sans"/>
      <b val="1"/>
      <color theme="1"/>
      <sz val="15"/>
    </font>
    <font>
      <name val="Plus Jakarta Sans"/>
      <b val="1"/>
      <color rgb="FFF46524"/>
      <sz val="13"/>
      <u val="single"/>
    </font>
    <font>
      <name val="Calibri"/>
      <b val="1"/>
      <color theme="1"/>
      <sz val="20"/>
    </font>
    <font>
      <name val="Plus Jakarta Sans"/>
      <b val="1"/>
      <color rgb="FFFFFFFF"/>
      <sz val="18"/>
    </font>
    <font>
      <name val="Plus Jakarta Sans"/>
      <b val="1"/>
      <color rgb="FFF46524"/>
      <sz val="19"/>
      <u val="single"/>
    </font>
    <font>
      <name val="Plus Jakarta Sans"/>
      <b val="1"/>
      <color rgb="FFF46524"/>
      <sz val="19"/>
    </font>
    <font>
      <name val="Plus Jakarta Sans"/>
      <color rgb="FFFFFFFF"/>
      <sz val="12"/>
    </font>
    <font>
      <name val="Plus Jakarta Sans"/>
      <b val="1"/>
      <color theme="1"/>
      <sz val="16"/>
    </font>
    <font>
      <name val="Calibri"/>
      <color rgb="FFFFFFFF"/>
    </font>
    <font>
      <name val="Calibri"/>
      <color theme="1"/>
      <sz val="11"/>
    </font>
    <font>
      <name val="Plus Jakarta Sans"/>
      <b val="1"/>
      <color theme="1"/>
      <sz val="11"/>
    </font>
    <font>
      <name val="Plus Jakarta Sans"/>
      <b val="1"/>
      <color rgb="FFFFF7EB"/>
      <sz val="32"/>
    </font>
    <font>
      <name val="Plus Jakarta Sans"/>
      <b val="1"/>
      <color rgb="FF283618"/>
      <sz val="32"/>
    </font>
    <font>
      <name val="Plus Jakarta Sans"/>
      <b val="1"/>
      <color rgb="FF000000"/>
      <sz val="12"/>
    </font>
    <font>
      <name val="Plus Jakarta Sans"/>
      <b val="1"/>
      <color rgb="FFFFF7EB"/>
      <sz val="12"/>
    </font>
  </fonts>
  <fills count="6">
    <fill>
      <patternFill/>
    </fill>
    <fill>
      <patternFill patternType="lightGray"/>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F3F3F3"/>
        <bgColor rgb="FFF3F3F3"/>
      </patternFill>
    </fill>
  </fills>
  <borders count="43">
    <border/>
    <border>
      <left style="thin">
        <color rgb="FFEFEFEF"/>
      </left>
      <top style="thin">
        <color rgb="FFEFEFEF"/>
      </top>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top style="thin">
        <color rgb="FFEFEFEF"/>
      </top>
      <bottom style="thin">
        <color rgb="FFEFEFEF"/>
      </bottom>
    </border>
    <border>
      <left style="thin">
        <color rgb="FFEFEFEF"/>
      </left>
      <top style="thin">
        <color rgb="FFEFEFEF"/>
      </top>
    </border>
    <border>
      <top style="thin">
        <color rgb="FFEFEFEF"/>
      </top>
    </border>
    <border>
      <right style="thin">
        <color rgb="FFEFEFEF"/>
      </right>
      <top style="thin">
        <color rgb="FFEFEFEF"/>
      </top>
    </border>
    <border>
      <left style="thin">
        <color rgb="FFEFEFEF"/>
      </left>
    </border>
    <border>
      <right style="thin">
        <color rgb="FFEFEFEF"/>
      </right>
    </border>
    <border>
      <left style="thin">
        <color rgb="FFEFEFEF"/>
      </left>
      <bottom style="thin">
        <color rgb="FFEFEFEF"/>
      </bottom>
    </border>
    <border>
      <bottom style="thin">
        <color rgb="FFEFEFEF"/>
      </bottom>
    </border>
    <border>
      <right style="thin">
        <color rgb="FFEFEFEF"/>
      </right>
      <bottom style="thin">
        <color rgb="FFEFEFEF"/>
      </bottom>
    </border>
    <border>
      <left style="thin">
        <color rgb="FFEFEFEF"/>
      </left>
      <right style="thin">
        <color rgb="FFEFEFEF"/>
      </right>
      <top style="thin">
        <color rgb="FFEFEFEF"/>
      </top>
    </border>
    <border>
      <left style="thin">
        <color rgb="FFEFEFEF"/>
      </left>
      <right style="thin">
        <color rgb="FFEFEFEF"/>
      </right>
      <bottom style="thin">
        <color rgb="FFEFEFEF"/>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left style="thin">
        <color rgb="FFB7B7B7"/>
      </left>
      <top style="thin">
        <color rgb="FFB7B7B7"/>
      </top>
    </border>
    <border>
      <right style="thin">
        <color rgb="FFB7B7B7"/>
      </right>
      <top style="thin">
        <color rgb="FFB7B7B7"/>
      </top>
    </border>
    <border>
      <left style="thin">
        <color rgb="FFB7B7B7"/>
      </left>
      <right style="thin">
        <color rgb="FFB7B7B7"/>
      </right>
      <bottom style="thin">
        <color rgb="FFB7B7B7"/>
      </bottom>
    </border>
    <border>
      <left style="thin">
        <color rgb="FFB7B7B7"/>
      </left>
      <bottom style="thin">
        <color rgb="FFB7B7B7"/>
      </bottom>
    </border>
    <border>
      <right style="thin">
        <color rgb="FFB7B7B7"/>
      </right>
      <bottom style="thin">
        <color rgb="FFB7B7B7"/>
      </bottom>
    </border>
    <border>
      <top style="thin">
        <color rgb="FFB7B7B7"/>
      </top>
      <bottom style="thin">
        <color rgb="FFB7B7B7"/>
      </bottom>
    </border>
    <border>
      <top style="thin">
        <color rgb="FFB7B7B7"/>
      </top>
    </border>
    <border>
      <bottom style="thin">
        <color rgb="FFB7B7B7"/>
      </bottom>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left style="thin">
        <color rgb="FFEFEFEF"/>
      </left>
      <right style="thin">
        <color rgb="FFEFEFEF"/>
      </right>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
      <left style="thin">
        <color rgb="FFB7B7B7"/>
      </left>
    </border>
    <border>
      <right style="thin">
        <color rgb="FFB7B7B7"/>
      </right>
    </border>
  </borders>
  <cellStyleXfs count="1">
    <xf numFmtId="0" fontId="0" fillId="0" borderId="0"/>
  </cellStyleXfs>
  <cellXfs count="264">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1"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2" borderId="1" applyAlignment="1" pivotButton="0" quotePrefix="0" xfId="0">
      <alignment vertical="center" wrapText="1"/>
    </xf>
    <xf numFmtId="0" fontId="6" fillId="0" borderId="2" pivotButton="0" quotePrefix="0" xfId="0"/>
    <xf numFmtId="0" fontId="5" fillId="2" borderId="3" applyAlignment="1" pivotButton="0" quotePrefix="0" xfId="0">
      <alignment vertical="center" wrapText="1"/>
    </xf>
    <xf numFmtId="0" fontId="6" fillId="0" borderId="4" pivotButton="0" quotePrefix="0" xfId="0"/>
    <xf numFmtId="0" fontId="1" fillId="3" borderId="3" applyAlignment="1" pivotButton="0" quotePrefix="0" xfId="0">
      <alignment horizontal="center" vertical="center" wrapText="1"/>
    </xf>
    <xf numFmtId="0" fontId="1" fillId="3" borderId="3" applyAlignment="1" pivotButton="0" quotePrefix="0" xfId="0">
      <alignment vertical="center" wrapText="1"/>
    </xf>
    <xf numFmtId="0" fontId="7" fillId="2" borderId="1" applyAlignment="1" pivotButton="0" quotePrefix="0" xfId="0">
      <alignment vertical="center" wrapText="1"/>
    </xf>
    <xf numFmtId="0" fontId="8"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horizontal="center" vertical="center" wrapText="1"/>
    </xf>
    <xf numFmtId="0" fontId="9" fillId="3" borderId="3" applyAlignment="1" pivotButton="0" quotePrefix="0" xfId="0">
      <alignment horizontal="center" vertical="center" wrapText="1"/>
    </xf>
    <xf numFmtId="0" fontId="10" fillId="3" borderId="1" applyAlignment="1" pivotButton="0" quotePrefix="0" xfId="0">
      <alignment vertical="center" wrapText="1"/>
    </xf>
    <xf numFmtId="0" fontId="8" fillId="2" borderId="1" applyAlignment="1" pivotButton="0" quotePrefix="0" xfId="0">
      <alignment horizontal="left" vertical="center" wrapText="1"/>
    </xf>
    <xf numFmtId="0" fontId="1" fillId="4" borderId="1" applyAlignment="1" pivotButton="0" quotePrefix="0" xfId="0">
      <alignment horizontal="left" vertical="center" wrapText="1"/>
    </xf>
    <xf numFmtId="0" fontId="9" fillId="3" borderId="5" applyAlignment="1" pivotButton="0" quotePrefix="0" xfId="0">
      <alignment horizontal="left" vertical="center" wrapText="1"/>
    </xf>
    <xf numFmtId="0" fontId="6" fillId="0" borderId="6" pivotButton="0" quotePrefix="0" xfId="0"/>
    <xf numFmtId="0" fontId="6" fillId="0" borderId="7" pivotButton="0" quotePrefix="0" xfId="0"/>
    <xf numFmtId="0" fontId="6" fillId="0" borderId="8"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11" fillId="3" borderId="1" applyAlignment="1" pivotButton="0" quotePrefix="0" xfId="0">
      <alignment horizontal="left" vertical="center" wrapText="1"/>
    </xf>
    <xf numFmtId="0" fontId="1" fillId="3" borderId="13" applyAlignment="1" pivotButton="0" quotePrefix="0" xfId="0">
      <alignment horizontal="center" vertical="center" wrapText="1"/>
    </xf>
    <xf numFmtId="0" fontId="1" fillId="3" borderId="13" applyAlignment="1" pivotButton="0" quotePrefix="0" xfId="0">
      <alignment vertical="center" wrapText="1"/>
    </xf>
    <xf numFmtId="0" fontId="6" fillId="0" borderId="14" pivotButton="0" quotePrefix="0" xfId="0"/>
    <xf numFmtId="0" fontId="1" fillId="3" borderId="1" applyAlignment="1" pivotButton="0" quotePrefix="0" xfId="0">
      <alignment horizontal="center" vertical="center" wrapText="1"/>
    </xf>
    <xf numFmtId="0" fontId="12" fillId="2" borderId="1" applyAlignment="1" pivotButton="0" quotePrefix="0" xfId="0">
      <alignment horizontal="left" vertical="center" wrapText="1"/>
    </xf>
    <xf numFmtId="0" fontId="13" fillId="3" borderId="5" applyAlignment="1" pivotButton="0" quotePrefix="0" xfId="0">
      <alignment horizontal="center" vertical="center" wrapText="1"/>
    </xf>
    <xf numFmtId="0" fontId="14" fillId="3" borderId="1" applyAlignment="1" pivotButton="0" quotePrefix="0" xfId="0">
      <alignment horizontal="left" vertical="center" wrapText="1"/>
    </xf>
    <xf numFmtId="0" fontId="8" fillId="3" borderId="1" applyAlignment="1" pivotButton="0" quotePrefix="0" xfId="0">
      <alignment horizontal="left" vertical="center" wrapText="1"/>
    </xf>
    <xf numFmtId="0" fontId="14" fillId="2" borderId="1" applyAlignment="1" pivotButton="0" quotePrefix="0" xfId="0">
      <alignment horizontal="left" vertical="center" wrapText="1"/>
    </xf>
    <xf numFmtId="0" fontId="15" fillId="3" borderId="0" applyAlignment="1" pivotButton="0" quotePrefix="0" xfId="0">
      <alignment horizontal="center" vertical="center"/>
    </xf>
    <xf numFmtId="0" fontId="16" fillId="3" borderId="0" applyAlignment="1" pivotButton="0" quotePrefix="0" xfId="0">
      <alignment horizontal="center" vertical="center" wrapText="1"/>
    </xf>
    <xf numFmtId="0" fontId="16" fillId="4" borderId="0" applyAlignment="1" pivotButton="0" quotePrefix="0" xfId="0">
      <alignment horizontal="center" vertical="center" wrapText="1"/>
    </xf>
    <xf numFmtId="0" fontId="16" fillId="3" borderId="5" applyAlignment="1" pivotButton="0" quotePrefix="0" xfId="0">
      <alignment vertical="center" wrapText="1"/>
    </xf>
    <xf numFmtId="0" fontId="17" fillId="3" borderId="15" applyAlignment="1" pivotButton="0" quotePrefix="0" xfId="0">
      <alignment horizontal="center" vertical="center" wrapText="1"/>
    </xf>
    <xf numFmtId="0" fontId="6" fillId="0" borderId="16" pivotButton="0" quotePrefix="0" xfId="0"/>
    <xf numFmtId="0" fontId="6" fillId="0" borderId="17" pivotButton="0" quotePrefix="0" xfId="0"/>
    <xf numFmtId="0" fontId="6" fillId="0" borderId="18" pivotButton="0" quotePrefix="0" xfId="0"/>
    <xf numFmtId="0" fontId="18" fillId="3" borderId="19" applyAlignment="1" pivotButton="0" quotePrefix="0" xfId="0">
      <alignment horizontal="center" vertical="center" wrapText="1"/>
    </xf>
    <xf numFmtId="0" fontId="6" fillId="0" borderId="20" pivotButton="0" quotePrefix="0" xfId="0"/>
    <xf numFmtId="0" fontId="19" fillId="0" borderId="0" applyAlignment="1" pivotButton="0" quotePrefix="0" xfId="0">
      <alignment horizontal="center" wrapText="1"/>
    </xf>
    <xf numFmtId="0" fontId="19" fillId="0" borderId="0" applyAlignment="1" pivotButton="0" quotePrefix="0" xfId="0">
      <alignment wrapText="1"/>
    </xf>
    <xf numFmtId="0" fontId="19" fillId="0" borderId="0" applyAlignment="1" pivotButton="0" quotePrefix="0" xfId="0">
      <alignment vertical="center"/>
    </xf>
    <xf numFmtId="0" fontId="20" fillId="0" borderId="21" applyAlignment="1" pivotButton="0" quotePrefix="0" xfId="0">
      <alignment vertical="center" wrapText="1"/>
    </xf>
    <xf numFmtId="0" fontId="21" fillId="2" borderId="22" applyAlignment="1" pivotButton="0" quotePrefix="0" xfId="0">
      <alignment vertical="center"/>
    </xf>
    <xf numFmtId="0" fontId="6" fillId="0" borderId="23" pivotButton="0" quotePrefix="0" xfId="0"/>
    <xf numFmtId="0" fontId="21" fillId="2" borderId="24" applyAlignment="1" pivotButton="0" quotePrefix="0" xfId="0">
      <alignment vertical="center"/>
    </xf>
    <xf numFmtId="0" fontId="6" fillId="0" borderId="25" pivotButton="0" quotePrefix="0" xfId="0"/>
    <xf numFmtId="0" fontId="22" fillId="0" borderId="26" applyAlignment="1" pivotButton="0" quotePrefix="0" xfId="0">
      <alignment vertical="center"/>
    </xf>
    <xf numFmtId="0" fontId="6" fillId="0" borderId="27" pivotButton="0" quotePrefix="0" xfId="0"/>
    <xf numFmtId="0" fontId="22" fillId="0" borderId="21" applyAlignment="1" pivotButton="0" quotePrefix="0" xfId="0">
      <alignment vertical="center"/>
    </xf>
    <xf numFmtId="0" fontId="19" fillId="0" borderId="0" applyAlignment="1" pivotButton="0" quotePrefix="0" xfId="0">
      <alignment vertical="center" wrapText="1"/>
    </xf>
    <xf numFmtId="0" fontId="6" fillId="0" borderId="28" pivotButton="0" quotePrefix="0" xfId="0"/>
    <xf numFmtId="0" fontId="6" fillId="0" borderId="29" pivotButton="0" quotePrefix="0" xfId="0"/>
    <xf numFmtId="0" fontId="6" fillId="0" borderId="30" pivotButton="0" quotePrefix="0" xfId="0"/>
    <xf numFmtId="0" fontId="6" fillId="0" borderId="31" pivotButton="0" quotePrefix="0" xfId="0"/>
    <xf numFmtId="0" fontId="6" fillId="0" borderId="32" pivotButton="0" quotePrefix="0" xfId="0"/>
    <xf numFmtId="0" fontId="6" fillId="0" borderId="33" pivotButton="0" quotePrefix="0" xfId="0"/>
    <xf numFmtId="0" fontId="21" fillId="0" borderId="0" applyAlignment="1" pivotButton="0" quotePrefix="0" xfId="0">
      <alignment vertical="center"/>
    </xf>
    <xf numFmtId="0" fontId="5" fillId="2" borderId="24" applyAlignment="1" pivotButton="0" quotePrefix="0" xfId="0">
      <alignment vertical="center"/>
    </xf>
    <xf numFmtId="0" fontId="5" fillId="2" borderId="0" applyAlignment="1" pivotButton="0" quotePrefix="0" xfId="0">
      <alignment vertical="center"/>
    </xf>
    <xf numFmtId="0" fontId="9" fillId="3" borderId="21" applyAlignment="1" pivotButton="0" quotePrefix="0" xfId="0">
      <alignment vertical="center"/>
    </xf>
    <xf numFmtId="0" fontId="23" fillId="3" borderId="21" applyAlignment="1" pivotButton="0" quotePrefix="0" xfId="0">
      <alignment vertical="center" wrapText="1"/>
    </xf>
    <xf numFmtId="0" fontId="24" fillId="3" borderId="24" applyAlignment="1" pivotButton="0" quotePrefix="0" xfId="0">
      <alignment vertical="center" wrapText="1"/>
    </xf>
    <xf numFmtId="0" fontId="24" fillId="3" borderId="0" applyAlignment="1" pivotButton="0" quotePrefix="0" xfId="0">
      <alignment vertical="center" wrapText="1"/>
    </xf>
    <xf numFmtId="0" fontId="24" fillId="4" borderId="24" applyAlignment="1" pivotButton="0" quotePrefix="0" xfId="0">
      <alignment vertical="center" wrapText="1"/>
    </xf>
    <xf numFmtId="0" fontId="24" fillId="4" borderId="0" applyAlignment="1" pivotButton="0" quotePrefix="0" xfId="0">
      <alignment vertical="center" wrapText="1"/>
    </xf>
    <xf numFmtId="0" fontId="19" fillId="3" borderId="0" applyAlignment="1" pivotButton="0" quotePrefix="0" xfId="0">
      <alignment vertical="center"/>
    </xf>
    <xf numFmtId="0" fontId="1" fillId="3" borderId="22" applyAlignment="1" pivotButton="0" quotePrefix="0" xfId="0">
      <alignment vertical="center"/>
    </xf>
    <xf numFmtId="0" fontId="25" fillId="4" borderId="0" applyAlignment="1" pivotButton="0" quotePrefix="0" xfId="0">
      <alignment vertical="center" wrapText="1"/>
    </xf>
    <xf numFmtId="0" fontId="22" fillId="3" borderId="22" applyAlignment="1" pivotButton="0" quotePrefix="0" xfId="0">
      <alignment vertical="center"/>
    </xf>
    <xf numFmtId="0" fontId="19" fillId="3" borderId="0" applyAlignment="1" pivotButton="0" quotePrefix="0" xfId="0">
      <alignment vertical="center" wrapText="1"/>
    </xf>
    <xf numFmtId="0" fontId="5" fillId="3" borderId="0" applyAlignment="1" pivotButton="0" quotePrefix="0" xfId="0">
      <alignment vertical="center"/>
    </xf>
    <xf numFmtId="0" fontId="1" fillId="3" borderId="0" applyAlignment="1" pivotButton="0" quotePrefix="0" xfId="0">
      <alignment vertical="center"/>
    </xf>
    <xf numFmtId="0" fontId="26" fillId="3" borderId="0" applyAlignment="1" pivotButton="0" quotePrefix="0" xfId="0">
      <alignment vertical="center" wrapText="1"/>
    </xf>
    <xf numFmtId="0" fontId="27" fillId="0" borderId="21" applyAlignment="1" pivotButton="0" quotePrefix="0" xfId="0">
      <alignment vertical="center" wrapText="1"/>
    </xf>
    <xf numFmtId="0" fontId="5" fillId="2" borderId="22" applyAlignment="1" pivotButton="0" quotePrefix="0" xfId="0">
      <alignment vertical="center" wrapText="1"/>
    </xf>
    <xf numFmtId="0" fontId="5" fillId="4" borderId="0" applyAlignment="1" pivotButton="0" quotePrefix="0" xfId="0">
      <alignment vertical="center" wrapText="1"/>
    </xf>
    <xf numFmtId="0" fontId="28" fillId="3" borderId="22" applyAlignment="1" pivotButton="0" quotePrefix="0" xfId="0">
      <alignment vertical="center"/>
    </xf>
    <xf numFmtId="0" fontId="29" fillId="3" borderId="0" applyAlignment="1" pivotButton="0" quotePrefix="0" xfId="0">
      <alignment vertical="center"/>
    </xf>
    <xf numFmtId="0" fontId="27" fillId="0" borderId="0" applyAlignment="1" pivotButton="0" quotePrefix="0" xfId="0">
      <alignment vertical="center" wrapText="1"/>
    </xf>
    <xf numFmtId="0" fontId="30" fillId="3" borderId="0" applyAlignment="1" pivotButton="0" quotePrefix="0" xfId="0">
      <alignment vertical="center"/>
    </xf>
    <xf numFmtId="0" fontId="1" fillId="4" borderId="0" applyAlignment="1" pivotButton="0" quotePrefix="0" xfId="0">
      <alignment vertical="center"/>
    </xf>
    <xf numFmtId="0" fontId="31" fillId="3" borderId="22" applyAlignment="1" pivotButton="0" quotePrefix="0" xfId="0">
      <alignment vertical="center"/>
    </xf>
    <xf numFmtId="0" fontId="31" fillId="3" borderId="0" applyAlignment="1" pivotButton="0" quotePrefix="0" xfId="0">
      <alignment vertical="center"/>
    </xf>
    <xf numFmtId="0" fontId="32" fillId="3" borderId="33" applyAlignment="1" pivotButton="0" quotePrefix="0" xfId="0">
      <alignment vertical="center"/>
    </xf>
    <xf numFmtId="0" fontId="11" fillId="3" borderId="22" applyAlignment="1" pivotButton="0" quotePrefix="0" xfId="0">
      <alignment vertical="center"/>
    </xf>
    <xf numFmtId="0" fontId="11" fillId="4" borderId="22" applyAlignment="1" pivotButton="0" quotePrefix="0" xfId="0">
      <alignment vertical="center"/>
    </xf>
    <xf numFmtId="0" fontId="1" fillId="3" borderId="22" applyAlignment="1" pivotButton="0" quotePrefix="0" xfId="0">
      <alignment vertical="center"/>
    </xf>
    <xf numFmtId="0" fontId="1" fillId="4" borderId="22" applyAlignment="1" pivotButton="0" quotePrefix="0" xfId="0">
      <alignment vertical="center"/>
    </xf>
    <xf numFmtId="0" fontId="19" fillId="0" borderId="0" applyAlignment="1" pivotButton="0" quotePrefix="0" xfId="0">
      <alignment vertical="center"/>
    </xf>
    <xf numFmtId="0" fontId="10" fillId="3" borderId="21" applyAlignment="1" pivotButton="0" quotePrefix="0" xfId="0">
      <alignment vertical="center" wrapText="1"/>
    </xf>
    <xf numFmtId="0" fontId="5" fillId="2" borderId="22" applyAlignment="1" pivotButton="0" quotePrefix="0" xfId="0">
      <alignment vertical="center"/>
    </xf>
    <xf numFmtId="0" fontId="1" fillId="0" borderId="0" applyAlignment="1" pivotButton="0" quotePrefix="0" xfId="0">
      <alignment vertical="center"/>
    </xf>
    <xf numFmtId="0" fontId="11" fillId="3" borderId="24" applyAlignment="1" pivotButton="0" quotePrefix="0" xfId="0">
      <alignment vertical="center" wrapText="1"/>
    </xf>
    <xf numFmtId="0" fontId="33" fillId="3" borderId="22" applyAlignment="1" pivotButton="0" quotePrefix="0" xfId="0">
      <alignment vertical="center" wrapText="1"/>
    </xf>
    <xf numFmtId="0" fontId="34" fillId="3" borderId="0" pivotButton="0" quotePrefix="0" xfId="0"/>
    <xf numFmtId="0" fontId="34" fillId="3" borderId="0" applyAlignment="1" pivotButton="0" quotePrefix="0" xfId="0">
      <alignment vertical="center"/>
    </xf>
    <xf numFmtId="0" fontId="11" fillId="4" borderId="24" applyAlignment="1" pivotButton="0" quotePrefix="0" xfId="0">
      <alignment vertical="center" wrapText="1"/>
    </xf>
    <xf numFmtId="0" fontId="33" fillId="4" borderId="22" applyAlignment="1" pivotButton="0" quotePrefix="0" xfId="0">
      <alignment vertical="center" wrapText="1"/>
    </xf>
    <xf numFmtId="0" fontId="35" fillId="4" borderId="0" applyAlignment="1" pivotButton="0" quotePrefix="0" xfId="0">
      <alignment horizontal="center" vertical="center"/>
    </xf>
    <xf numFmtId="0" fontId="35" fillId="4" borderId="0" applyAlignment="1" pivotButton="0" quotePrefix="0" xfId="0">
      <alignment vertical="center"/>
    </xf>
    <xf numFmtId="0" fontId="35" fillId="3" borderId="0" applyAlignment="1" pivotButton="0" quotePrefix="0" xfId="0">
      <alignment horizontal="center" vertical="center"/>
    </xf>
    <xf numFmtId="0" fontId="35" fillId="3" borderId="0" applyAlignment="1" pivotButton="0" quotePrefix="0" xfId="0">
      <alignment vertical="center"/>
    </xf>
    <xf numFmtId="0" fontId="1" fillId="3" borderId="0" pivotButton="0" quotePrefix="0" xfId="0"/>
    <xf numFmtId="0" fontId="36" fillId="3" borderId="0" applyAlignment="1" pivotButton="0" quotePrefix="0" xfId="0">
      <alignment vertical="center"/>
    </xf>
    <xf numFmtId="0" fontId="10" fillId="3" borderId="24" applyAlignment="1" pivotButton="0" quotePrefix="0" xfId="0">
      <alignment vertical="center" wrapText="1"/>
    </xf>
    <xf numFmtId="0" fontId="1" fillId="3" borderId="24" applyAlignment="1" pivotButton="0" quotePrefix="0" xfId="0">
      <alignment vertical="center"/>
    </xf>
    <xf numFmtId="0" fontId="34" fillId="3" borderId="24" applyAlignment="1" pivotButton="0" quotePrefix="0" xfId="0">
      <alignment horizontal="center" vertical="center"/>
    </xf>
    <xf numFmtId="0" fontId="37" fillId="3" borderId="22" applyAlignment="1" pivotButton="0" quotePrefix="0" xfId="0">
      <alignment horizontal="center" vertical="center"/>
    </xf>
    <xf numFmtId="0" fontId="38" fillId="2" borderId="26" applyAlignment="1" pivotButton="0" quotePrefix="0" xfId="0">
      <alignment horizontal="center" vertical="center"/>
    </xf>
    <xf numFmtId="0" fontId="5" fillId="2" borderId="34" applyAlignment="1" pivotButton="0" quotePrefix="0" xfId="0">
      <alignment horizontal="center" vertical="center"/>
    </xf>
    <xf numFmtId="0" fontId="9" fillId="4" borderId="34" applyAlignment="1" pivotButton="0" quotePrefix="0" xfId="0">
      <alignment vertical="center"/>
    </xf>
    <xf numFmtId="0" fontId="9" fillId="4" borderId="35" applyAlignment="1" pivotButton="0" quotePrefix="0" xfId="0">
      <alignment vertical="center"/>
    </xf>
    <xf numFmtId="0" fontId="1" fillId="3" borderId="34" applyAlignment="1" pivotButton="0" quotePrefix="0" xfId="0">
      <alignment vertical="center" wrapText="1"/>
    </xf>
    <xf numFmtId="0" fontId="1" fillId="3" borderId="34" applyAlignment="1" pivotButton="0" quotePrefix="0" xfId="0">
      <alignment vertical="center"/>
    </xf>
    <xf numFmtId="0" fontId="39" fillId="3" borderId="34" applyAlignment="1" pivotButton="0" quotePrefix="0" xfId="0">
      <alignment vertical="center" wrapText="1"/>
    </xf>
    <xf numFmtId="0" fontId="40" fillId="3" borderId="34" applyAlignment="1" pivotButton="0" quotePrefix="0" xfId="0">
      <alignment wrapText="1"/>
    </xf>
    <xf numFmtId="0" fontId="1" fillId="4" borderId="34" applyAlignment="1" pivotButton="0" quotePrefix="0" xfId="0">
      <alignment vertical="center"/>
    </xf>
    <xf numFmtId="0" fontId="41" fillId="4" borderId="34" applyAlignment="1" pivotButton="0" quotePrefix="0" xfId="0">
      <alignment vertical="center" wrapText="1"/>
    </xf>
    <xf numFmtId="0" fontId="1" fillId="4" borderId="34" applyAlignment="1" pivotButton="0" quotePrefix="0" xfId="0">
      <alignment vertical="center" wrapText="1"/>
    </xf>
    <xf numFmtId="0" fontId="42" fillId="4" borderId="0" applyAlignment="1" pivotButton="0" quotePrefix="0" xfId="0">
      <alignment horizontal="center" vertical="center"/>
    </xf>
    <xf numFmtId="0" fontId="33" fillId="4" borderId="0" applyAlignment="1" pivotButton="0" quotePrefix="0" xfId="0">
      <alignment horizontal="center" vertical="center"/>
    </xf>
    <xf numFmtId="0" fontId="33" fillId="4" borderId="0" applyAlignment="1" pivotButton="0" quotePrefix="0" xfId="0">
      <alignment vertical="center"/>
    </xf>
    <xf numFmtId="0" fontId="11" fillId="3" borderId="0" applyAlignment="1" pivotButton="0" quotePrefix="0" xfId="0">
      <alignment wrapText="1"/>
    </xf>
    <xf numFmtId="0" fontId="11" fillId="3" borderId="0" pivotButton="0" quotePrefix="0" xfId="0"/>
    <xf numFmtId="0" fontId="1" fillId="3" borderId="35" applyAlignment="1" pivotButton="0" quotePrefix="0" xfId="0">
      <alignment vertical="center" wrapText="1"/>
    </xf>
    <xf numFmtId="0" fontId="43" fillId="3" borderId="0" applyAlignment="1" pivotButton="0" quotePrefix="0" xfId="0">
      <alignment horizontal="center" vertical="center"/>
    </xf>
    <xf numFmtId="0" fontId="44" fillId="3" borderId="0" applyAlignment="1" pivotButton="0" quotePrefix="0" xfId="0">
      <alignment horizontal="center" vertical="center"/>
    </xf>
    <xf numFmtId="0" fontId="44" fillId="3" borderId="0" applyAlignment="1" pivotButton="0" quotePrefix="0" xfId="0">
      <alignment vertical="center"/>
    </xf>
    <xf numFmtId="0" fontId="1" fillId="4" borderId="35" applyAlignment="1" pivotButton="0" quotePrefix="0" xfId="0">
      <alignment vertical="center" wrapText="1"/>
    </xf>
    <xf numFmtId="0" fontId="42" fillId="3" borderId="0" applyAlignment="1" pivotButton="0" quotePrefix="0" xfId="0">
      <alignment horizontal="center" vertical="center"/>
    </xf>
    <xf numFmtId="0" fontId="45" fillId="3" borderId="34" applyAlignment="1" pivotButton="0" quotePrefix="0" xfId="0">
      <alignment vertical="center" wrapText="1"/>
    </xf>
    <xf numFmtId="0" fontId="1" fillId="4" borderId="34" applyAlignment="1" pivotButton="0" quotePrefix="0" xfId="0">
      <alignment vertical="center" wrapText="1"/>
    </xf>
    <xf numFmtId="0" fontId="1" fillId="4" borderId="34" applyAlignment="1" pivotButton="0" quotePrefix="0" xfId="0">
      <alignment vertical="center"/>
    </xf>
    <xf numFmtId="0" fontId="1" fillId="3" borderId="34" applyAlignment="1" pivotButton="0" quotePrefix="0" xfId="0">
      <alignment vertical="center"/>
    </xf>
    <xf numFmtId="0" fontId="45" fillId="4" borderId="34" applyAlignment="1" pivotButton="0" quotePrefix="0" xfId="0">
      <alignment vertical="center" wrapText="1"/>
    </xf>
    <xf numFmtId="0" fontId="1" fillId="4" borderId="35" applyAlignment="1" pivotButton="0" quotePrefix="0" xfId="0">
      <alignment vertical="center" wrapText="1"/>
    </xf>
    <xf numFmtId="0" fontId="1" fillId="3" borderId="34" applyAlignment="1" pivotButton="0" quotePrefix="0" xfId="0">
      <alignment vertical="center" wrapText="1"/>
    </xf>
    <xf numFmtId="0" fontId="1" fillId="3" borderId="35" applyAlignment="1" pivotButton="0" quotePrefix="0" xfId="0">
      <alignment vertical="center" wrapText="1"/>
    </xf>
    <xf numFmtId="0" fontId="46" fillId="4" borderId="0" applyAlignment="1" pivotButton="0" quotePrefix="0" xfId="0">
      <alignment horizontal="center" vertical="center"/>
    </xf>
    <xf numFmtId="0" fontId="47" fillId="4" borderId="34" applyAlignment="1" pivotButton="0" quotePrefix="0" xfId="0">
      <alignment vertical="center" wrapText="1"/>
    </xf>
    <xf numFmtId="0" fontId="48" fillId="0" borderId="0" applyAlignment="1" pivotButton="0" quotePrefix="0" xfId="0">
      <alignment vertical="center" wrapText="1"/>
    </xf>
    <xf numFmtId="0" fontId="49" fillId="2" borderId="0" applyAlignment="1" pivotButton="0" quotePrefix="0" xfId="0">
      <alignment horizontal="center" vertical="center" wrapText="1"/>
    </xf>
    <xf numFmtId="0" fontId="49" fillId="3" borderId="0" applyAlignment="1" pivotButton="0" quotePrefix="0" xfId="0">
      <alignment horizontal="center" vertical="center" wrapText="1"/>
    </xf>
    <xf numFmtId="0" fontId="19" fillId="0" borderId="0" applyAlignment="1" pivotButton="0" quotePrefix="0" xfId="0">
      <alignment/>
    </xf>
    <xf numFmtId="0" fontId="1" fillId="4" borderId="0" applyAlignment="1" pivotButton="0" quotePrefix="0" xfId="0">
      <alignment vertical="center" wrapText="1"/>
    </xf>
    <xf numFmtId="0" fontId="1" fillId="4" borderId="0" applyAlignment="1" pivotButton="0" quotePrefix="0" xfId="0">
      <alignment horizontal="center" vertical="center" wrapText="1"/>
    </xf>
    <xf numFmtId="0" fontId="50" fillId="4" borderId="0" applyAlignment="1" pivotButton="0" quotePrefix="0" xfId="0">
      <alignment horizontal="center" vertical="center" wrapText="1"/>
    </xf>
    <xf numFmtId="0" fontId="36" fillId="3" borderId="0" applyAlignment="1" pivotButton="0" quotePrefix="0" xfId="0">
      <alignment horizontal="center" vertical="center"/>
    </xf>
    <xf numFmtId="0" fontId="19" fillId="0" borderId="0" pivotButton="0" quotePrefix="0" xfId="0"/>
    <xf numFmtId="0" fontId="1" fillId="3" borderId="0" applyAlignment="1" pivotButton="0" quotePrefix="0" xfId="0">
      <alignment vertical="center" wrapText="1"/>
    </xf>
    <xf numFmtId="0" fontId="11" fillId="3" borderId="0" applyAlignment="1" pivotButton="0" quotePrefix="0" xfId="0">
      <alignment vertical="center" wrapText="1"/>
    </xf>
    <xf numFmtId="0" fontId="11" fillId="4" borderId="0" applyAlignment="1" pivotButton="0" quotePrefix="0" xfId="0">
      <alignment vertical="center" wrapText="1"/>
    </xf>
    <xf numFmtId="0" fontId="36" fillId="3" borderId="0" applyAlignment="1" pivotButton="0" quotePrefix="0" xfId="0">
      <alignment horizontal="center" vertical="center" wrapText="1"/>
    </xf>
    <xf numFmtId="0" fontId="19" fillId="0" borderId="0" applyAlignment="1" pivotButton="0" quotePrefix="0" xfId="0">
      <alignment vertical="center"/>
    </xf>
    <xf numFmtId="0" fontId="51" fillId="4" borderId="0" applyAlignment="1" pivotButton="0" quotePrefix="0" xfId="0">
      <alignment horizontal="center" vertical="center" wrapText="1"/>
    </xf>
    <xf numFmtId="0" fontId="1" fillId="3" borderId="0" applyAlignment="1" pivotButton="0" quotePrefix="0" xfId="0">
      <alignment vertical="center" wrapText="1"/>
    </xf>
    <xf numFmtId="0" fontId="19" fillId="0" borderId="0" applyAlignment="1" pivotButton="0" quotePrefix="0" xfId="0">
      <alignment horizontal="center"/>
    </xf>
    <xf numFmtId="0" fontId="52" fillId="3" borderId="0" applyAlignment="1" pivotButton="0" quotePrefix="0" xfId="0">
      <alignment horizontal="center" vertical="center" wrapText="1"/>
    </xf>
    <xf numFmtId="0" fontId="32" fillId="0" borderId="0" applyAlignment="1" pivotButton="0" quotePrefix="0" xfId="0">
      <alignment horizontal="center"/>
    </xf>
    <xf numFmtId="0" fontId="53" fillId="0" borderId="0" applyAlignment="1" pivotButton="0" quotePrefix="0" xfId="0">
      <alignment wrapText="1"/>
    </xf>
    <xf numFmtId="0" fontId="54" fillId="3" borderId="0" pivotButton="0" quotePrefix="0" xfId="0"/>
    <xf numFmtId="0" fontId="31" fillId="0" borderId="0" applyAlignment="1" pivotButton="0" quotePrefix="0" xfId="0">
      <alignment vertical="center" wrapText="1"/>
    </xf>
    <xf numFmtId="0" fontId="55" fillId="0" borderId="0" applyAlignment="1" pivotButton="0" quotePrefix="0" xfId="0">
      <alignment vertical="bottom"/>
    </xf>
    <xf numFmtId="0" fontId="55" fillId="0" borderId="0" applyAlignment="1" pivotButton="0" quotePrefix="0" xfId="0">
      <alignment vertical="bottom"/>
    </xf>
    <xf numFmtId="0" fontId="11" fillId="4" borderId="0" applyAlignment="1" pivotButton="0" quotePrefix="0" xfId="0">
      <alignment vertical="center" wrapText="1"/>
    </xf>
    <xf numFmtId="0" fontId="11" fillId="4" borderId="0" applyAlignment="1" pivotButton="0" quotePrefix="0" xfId="0">
      <alignment horizontal="center" vertical="center" wrapText="1"/>
    </xf>
    <xf numFmtId="0" fontId="56" fillId="3" borderId="32" applyAlignment="1" pivotButton="0" quotePrefix="0" xfId="0">
      <alignment vertical="center"/>
    </xf>
    <xf numFmtId="0" fontId="9" fillId="3" borderId="21" applyAlignment="1" pivotButton="0" quotePrefix="0" xfId="0">
      <alignment vertical="center" wrapText="1"/>
    </xf>
    <xf numFmtId="0" fontId="9" fillId="3" borderId="0" applyAlignment="1" pivotButton="0" quotePrefix="0" xfId="0">
      <alignment vertical="center" wrapText="1"/>
    </xf>
    <xf numFmtId="0" fontId="57" fillId="2" borderId="0" applyAlignment="1" pivotButton="0" quotePrefix="0" xfId="0">
      <alignment vertical="center" wrapText="1"/>
    </xf>
    <xf numFmtId="0" fontId="58" fillId="4" borderId="0" applyAlignment="1" pivotButton="0" quotePrefix="0" xfId="0">
      <alignment vertical="center" wrapText="1"/>
    </xf>
    <xf numFmtId="0" fontId="1" fillId="3" borderId="0" applyAlignment="1" pivotButton="0" quotePrefix="0" xfId="0">
      <alignment horizontal="center" vertical="center" wrapText="1"/>
    </xf>
    <xf numFmtId="0" fontId="59" fillId="4" borderId="0" applyAlignment="1" pivotButton="0" quotePrefix="0" xfId="0">
      <alignment horizontal="center" vertical="center" wrapText="1"/>
    </xf>
    <xf numFmtId="0" fontId="60"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22" fillId="3" borderId="0" applyAlignment="1" pivotButton="0" quotePrefix="1" xfId="0">
      <alignment horizontal="center" vertical="center" wrapText="1"/>
    </xf>
    <xf numFmtId="0" fontId="1" fillId="3" borderId="0" applyAlignment="1" pivotButton="0" quotePrefix="1" xfId="0">
      <alignment horizontal="center" vertical="center" wrapText="1"/>
    </xf>
    <xf numFmtId="0" fontId="1" fillId="3" borderId="0" applyAlignment="1" pivotButton="0" quotePrefix="0" xfId="0">
      <alignment vertical="center"/>
    </xf>
    <xf numFmtId="0" fontId="1" fillId="3" borderId="0" applyAlignment="1" pivotButton="0" quotePrefix="0" xfId="0">
      <alignment horizontal="left" vertical="center" wrapText="1"/>
    </xf>
    <xf numFmtId="0" fontId="1" fillId="0" borderId="31" applyAlignment="1" pivotButton="0" quotePrefix="0" xfId="0">
      <alignment vertical="center" wrapText="1"/>
    </xf>
    <xf numFmtId="3" fontId="1" fillId="3" borderId="0" applyAlignment="1" pivotButton="0" quotePrefix="0" xfId="0">
      <alignment horizontal="center" vertical="center" wrapText="1"/>
    </xf>
    <xf numFmtId="4" fontId="1" fillId="3" borderId="0" applyAlignment="1" pivotButton="0" quotePrefix="0" xfId="0">
      <alignment horizontal="center" vertical="center" wrapText="1"/>
    </xf>
    <xf numFmtId="164" fontId="1" fillId="5" borderId="0" applyAlignment="1" pivotButton="0" quotePrefix="0" xfId="0">
      <alignment vertical="center"/>
    </xf>
    <xf numFmtId="0" fontId="1" fillId="5" borderId="0" applyAlignment="1" pivotButton="0" quotePrefix="0" xfId="0">
      <alignment vertical="center"/>
    </xf>
    <xf numFmtId="164" fontId="1" fillId="3" borderId="0" applyAlignment="1" pivotButton="0" quotePrefix="0" xfId="0">
      <alignment vertical="center"/>
    </xf>
    <xf numFmtId="165" fontId="1" fillId="3" borderId="0" applyAlignment="1" pivotButton="0" quotePrefix="0" xfId="0">
      <alignment horizontal="right" vertical="center" wrapText="1"/>
    </xf>
    <xf numFmtId="166" fontId="1" fillId="3" borderId="0" applyAlignment="1" pivotButton="0" quotePrefix="0" xfId="0">
      <alignment horizontal="right" vertical="center" wrapText="1"/>
    </xf>
    <xf numFmtId="164" fontId="1" fillId="0" borderId="0" applyAlignment="1" pivotButton="0" quotePrefix="0" xfId="0">
      <alignment vertical="center"/>
    </xf>
    <xf numFmtId="0" fontId="1" fillId="3" borderId="0" applyAlignment="1" pivotButton="0" quotePrefix="0" xfId="0">
      <alignment vertical="center"/>
    </xf>
    <xf numFmtId="164" fontId="1" fillId="5" borderId="0" applyAlignment="1" pivotButton="0" quotePrefix="0" xfId="0">
      <alignment vertical="center"/>
    </xf>
    <xf numFmtId="0" fontId="1" fillId="5" borderId="0" applyAlignment="1" pivotButton="0" quotePrefix="0" xfId="0">
      <alignment vertical="center"/>
    </xf>
    <xf numFmtId="3" fontId="1" fillId="3" borderId="0" applyAlignment="1" pivotButton="0" quotePrefix="0" xfId="0">
      <alignment horizontal="center" vertical="center" wrapText="1"/>
    </xf>
    <xf numFmtId="4" fontId="1" fillId="3" borderId="0" applyAlignment="1" pivotButton="0" quotePrefix="0" xfId="0">
      <alignment horizontal="center" vertical="center" wrapText="1"/>
    </xf>
    <xf numFmtId="164" fontId="1" fillId="3" borderId="0" applyAlignment="1" pivotButton="0" quotePrefix="0" xfId="0">
      <alignment vertical="center"/>
    </xf>
    <xf numFmtId="0" fontId="0" fillId="0" borderId="0" pivotButton="0" quotePrefix="0" xfId="0"/>
    <xf numFmtId="0" fontId="0" fillId="0" borderId="2" pivotButton="0" quotePrefix="0" xfId="0"/>
    <xf numFmtId="0" fontId="0" fillId="0" borderId="4" pivotButton="0" quotePrefix="0" xfId="0"/>
    <xf numFmtId="0" fontId="7" fillId="2" borderId="3" applyAlignment="1" pivotButton="0" quotePrefix="0" xfId="0">
      <alignment vertical="center" wrapText="1"/>
    </xf>
    <xf numFmtId="0" fontId="8" fillId="2" borderId="3" applyAlignment="1" pivotButton="0" quotePrefix="0" xfId="0">
      <alignment vertical="center" wrapText="1"/>
    </xf>
    <xf numFmtId="0" fontId="1" fillId="4" borderId="3" applyAlignment="1" pivotButton="0" quotePrefix="0" xfId="0">
      <alignment horizontal="center" vertical="center" wrapText="1"/>
    </xf>
    <xf numFmtId="0" fontId="10" fillId="3" borderId="3" applyAlignment="1" pivotButton="0" quotePrefix="0" xfId="0">
      <alignment vertical="center" wrapText="1"/>
    </xf>
    <xf numFmtId="0" fontId="8" fillId="2" borderId="3" applyAlignment="1" pivotButton="0" quotePrefix="0" xfId="0">
      <alignment horizontal="left" vertical="center" wrapText="1"/>
    </xf>
    <xf numFmtId="0" fontId="1" fillId="4" borderId="3" applyAlignment="1" pivotButton="0" quotePrefix="0" xfId="0">
      <alignment horizontal="left" vertical="center" wrapText="1"/>
    </xf>
    <xf numFmtId="0" fontId="9" fillId="3" borderId="3" applyAlignment="1" pivotButton="0" quotePrefix="0" xfId="0">
      <alignment horizontal="left" vertical="center"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1" fillId="3" borderId="3" applyAlignment="1" pivotButton="0" quotePrefix="0" xfId="0">
      <alignment horizontal="left" vertical="center" wrapText="1"/>
    </xf>
    <xf numFmtId="0" fontId="0" fillId="0" borderId="14" pivotButton="0" quotePrefix="0" xfId="0"/>
    <xf numFmtId="0" fontId="12" fillId="2" borderId="3" applyAlignment="1" pivotButton="0" quotePrefix="0" xfId="0">
      <alignment horizontal="left" vertical="center" wrapText="1"/>
    </xf>
    <xf numFmtId="0" fontId="13" fillId="3" borderId="3" applyAlignment="1" pivotButton="0" quotePrefix="0" xfId="0">
      <alignment horizontal="center" vertical="center" wrapText="1"/>
    </xf>
    <xf numFmtId="0" fontId="14" fillId="3" borderId="3" applyAlignment="1" pivotButton="0" quotePrefix="0" xfId="0">
      <alignment horizontal="left" vertical="center" wrapText="1"/>
    </xf>
    <xf numFmtId="0" fontId="8" fillId="3" borderId="3" applyAlignment="1" pivotButton="0" quotePrefix="0" xfId="0">
      <alignment horizontal="left" vertical="center" wrapText="1"/>
    </xf>
    <xf numFmtId="0" fontId="14" fillId="2" borderId="3" applyAlignment="1" pivotButton="0" quotePrefix="0" xfId="0">
      <alignment horizontal="left" vertical="center" wrapText="1"/>
    </xf>
    <xf numFmtId="0" fontId="16" fillId="3" borderId="3" applyAlignment="1" pivotButton="0" quotePrefix="0" xfId="0">
      <alignment vertical="center" wrapText="1"/>
    </xf>
    <xf numFmtId="0" fontId="17" fillId="3" borderId="37"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18" fillId="3" borderId="37" applyAlignment="1" pivotButton="0" quotePrefix="0" xfId="0">
      <alignment horizontal="center" vertical="center" wrapText="1"/>
    </xf>
    <xf numFmtId="0" fontId="0" fillId="0" borderId="20" pivotButton="0" quotePrefix="0" xfId="0"/>
    <xf numFmtId="0" fontId="20" fillId="0" borderId="24" applyAlignment="1" pivotButton="0" quotePrefix="0" xfId="0">
      <alignment vertical="center" wrapText="1"/>
    </xf>
    <xf numFmtId="0" fontId="0" fillId="0" borderId="23" pivotButton="0" quotePrefix="0" xfId="0"/>
    <xf numFmtId="0" fontId="0" fillId="0" borderId="25" pivotButton="0" quotePrefix="0" xfId="0"/>
    <xf numFmtId="0" fontId="22" fillId="0" borderId="24" applyAlignment="1" pivotButton="0" quotePrefix="0" xfId="0">
      <alignment vertical="center"/>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9" fillId="3" borderId="24" applyAlignment="1" pivotButton="0" quotePrefix="0" xfId="0">
      <alignment vertical="center"/>
    </xf>
    <xf numFmtId="0" fontId="23" fillId="3" borderId="24" applyAlignment="1" pivotButton="0" quotePrefix="0" xfId="0">
      <alignment vertical="center" wrapText="1"/>
    </xf>
    <xf numFmtId="0" fontId="22" fillId="3" borderId="24" applyAlignment="1" pivotButton="0" quotePrefix="0" xfId="0">
      <alignment vertical="center"/>
    </xf>
    <xf numFmtId="0" fontId="27" fillId="0" borderId="24" applyAlignment="1" pivotButton="0" quotePrefix="0" xfId="0">
      <alignment vertical="center" wrapText="1"/>
    </xf>
    <xf numFmtId="0" fontId="5" fillId="2" borderId="24" applyAlignment="1" pivotButton="0" quotePrefix="0" xfId="0">
      <alignment vertical="center" wrapText="1"/>
    </xf>
    <xf numFmtId="0" fontId="28" fillId="3" borderId="24" applyAlignment="1" pivotButton="0" quotePrefix="0" xfId="0">
      <alignment vertical="center"/>
    </xf>
    <xf numFmtId="0" fontId="31" fillId="3" borderId="24" applyAlignment="1" pivotButton="0" quotePrefix="0" xfId="0">
      <alignment vertical="center"/>
    </xf>
    <xf numFmtId="0" fontId="32" fillId="3" borderId="30" applyAlignment="1" pivotButton="0" quotePrefix="0" xfId="0">
      <alignment vertical="center"/>
    </xf>
    <xf numFmtId="0" fontId="11" fillId="3" borderId="24" applyAlignment="1" pivotButton="0" quotePrefix="0" xfId="0">
      <alignment vertical="center"/>
    </xf>
    <xf numFmtId="0" fontId="11" fillId="4" borderId="24" applyAlignment="1" pivotButton="0" quotePrefix="0" xfId="0">
      <alignment vertical="center"/>
    </xf>
    <xf numFmtId="0" fontId="1" fillId="4" borderId="24" applyAlignment="1" pivotButton="0" quotePrefix="0" xfId="0">
      <alignment vertical="center"/>
    </xf>
    <xf numFmtId="0" fontId="33" fillId="3" borderId="24" applyAlignment="1" pivotButton="0" quotePrefix="0" xfId="0">
      <alignment vertical="center" wrapText="1"/>
    </xf>
    <xf numFmtId="0" fontId="33" fillId="4" borderId="24" applyAlignment="1" pivotButton="0" quotePrefix="0" xfId="0">
      <alignment vertical="center" wrapText="1"/>
    </xf>
    <xf numFmtId="0" fontId="37" fillId="3" borderId="24" applyAlignment="1" pivotButton="0" quotePrefix="0" xfId="0">
      <alignment horizontal="center" vertical="center"/>
    </xf>
    <xf numFmtId="0" fontId="38" fillId="2" borderId="21" applyAlignment="1" pivotButton="0" quotePrefix="0" xfId="0">
      <alignment horizontal="center" vertical="center"/>
    </xf>
    <xf numFmtId="0" fontId="56" fillId="3" borderId="31" applyAlignment="1" pivotButton="0" quotePrefix="0" xfId="0">
      <alignment vertical="center"/>
    </xf>
    <xf numFmtId="0" fontId="9" fillId="3" borderId="24" applyAlignment="1" pivotButton="0" quotePrefix="0" xfId="0">
      <alignment vertical="center" wrapText="1"/>
    </xf>
  </cellXfs>
  <cellStyles count="1">
    <cellStyle name="Normal" xfId="0" builtinId="0"/>
  </cellStyles>
  <dxfs count="4">
    <dxf>
      <font/>
      <fill>
        <patternFill/>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s>
  <tableStyles count="3" defaultTableStyle="TableStyleMedium9" defaultPivotStyle="PivotStyleLight16">
    <tableStyle name="CONTENT BATCHING-style" pivot="0" count="3">
      <tableStyleElement type="headerRow" dxfId="1"/>
      <tableStyleElement type="firstRowStripe" dxfId="2"/>
      <tableStyleElement type="secondRowStripe" dxfId="3"/>
    </tableStyle>
    <tableStyle name="CONTENT BATCHING-style 2" pivot="0" count="2">
      <tableStyleElement type="firstRowStripe" dxfId="2"/>
      <tableStyleElement type="secondRowStripe" dxfId="3"/>
    </tableStyle>
    <tableStyle name="CONTENT BATCHING-style 3"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drawing1.xml><?xml version="1.0" encoding="utf-8"?>
<wsDr xmlns="http://schemas.openxmlformats.org/drawingml/2006/spreadsheetDrawing">
  <oneCellAnchor>
    <from>
      <col>2</col>
      <colOff>428625</colOff>
      <row>36</row>
      <rowOff>38100</rowOff>
    </from>
    <ext cx="5429250" cy="3076575"/>
    <pic>
      <nvPicPr>
        <cNvPr id="0" name="image4.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16</col>
      <colOff>714375</colOff>
      <row>36</row>
      <rowOff>38100</rowOff>
    </from>
    <ext cx="5429250" cy="3076575"/>
    <pic>
      <nvPicPr>
        <cNvPr id="0" name="image6.jp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row>
      <rowOff>0</rowOff>
    </from>
    <ext cx="1190625" cy="390525"/>
    <pic>
      <nvPicPr>
        <cNvPr id="0" name="image1.jp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3</row>
      <rowOff>0</rowOff>
    </from>
    <ext cx="476250" cy="533400"/>
    <pic>
      <nvPicPr>
        <cNvPr id="0" name="image5.jp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40</row>
      <rowOff>0</rowOff>
    </from>
    <ext cx="1190625" cy="304800"/>
    <pic>
      <nvPicPr>
        <cNvPr id="0" name="image2.jp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41</row>
      <rowOff>0</rowOff>
    </from>
    <ext cx="1190625" cy="266700"/>
    <pic>
      <nvPicPr>
        <cNvPr id="0" name="image3.jp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97:AA100"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CONTENT BATCHING-style" showFirstColumn="1" showLastColumn="1" showRowStripes="1" showColumnStripes="0"/>
</table>
</file>

<file path=xl/tables/table2.xml><?xml version="1.0" encoding="utf-8"?>
<table xmlns="http://schemas.openxmlformats.org/spreadsheetml/2006/main" id="2" name="Table_2" displayName="Table_2" ref="A102:AA102"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CONTENT BATCHING-style 2" showFirstColumn="1" showLastColumn="1" showRowStripes="1" showColumnStripes="0"/>
</table>
</file>

<file path=xl/tables/table3.xml><?xml version="1.0" encoding="utf-8"?>
<table xmlns="http://schemas.openxmlformats.org/spreadsheetml/2006/main" id="3" name="Table_3" displayName="Table_3" ref="B104:AA104"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CONTENT BATCHING-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youtu.be/zezbJH6PysY?si=2FxbDvSWwFMqATQ-" TargetMode="External" Id="rId1"/><Relationship Type="http://schemas.openxmlformats.org/officeDocument/2006/relationships/hyperlink" Target="https://forms.gle/nrP582zE8sKjGact8" TargetMode="External" Id="rId2"/><Relationship Type="http://schemas.openxmlformats.org/officeDocument/2006/relationships/hyperlink" Target="https://lynk.id/fajarmuliawn/jg7p6nwdkvdx" TargetMode="External" Id="rId3"/><Relationship Type="http://schemas.openxmlformats.org/officeDocument/2006/relationships/hyperlink" Target="https://lynk.id/fajarmuliawn/jg7p6nwdkvdx" TargetMode="External" Id="rId4"/><Relationship Type="http://schemas.openxmlformats.org/officeDocument/2006/relationships/drawing" Target="/xl/drawings/drawing1.xml" Id="rId5"/></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outlinePr summaryBelow="1" summaryRight="1"/>
    <pageSetUpPr/>
  </sheetPr>
  <dimension ref="A1:AD245"/>
  <sheetViews>
    <sheetView showGridLines="0" workbookViewId="0">
      <selection activeCell="A1" sqref="A1"/>
    </sheetView>
  </sheetViews>
  <sheetFormatPr baseColWidth="8" defaultColWidth="14.43" defaultRowHeight="15" customHeight="1"/>
  <cols>
    <col width="6.29" customWidth="1" style="205" min="1" max="1"/>
    <col width="17.86" customWidth="1" style="205" min="2" max="2"/>
    <col width="24.71" customWidth="1" style="205" min="3" max="3"/>
    <col width="3" customWidth="1" style="205" min="4" max="4"/>
    <col width="8.710000000000001" customWidth="1" style="205" min="5" max="13"/>
    <col width="4.43" customWidth="1" style="205" min="14" max="14"/>
    <col width="0.43" customWidth="1" style="205" min="15" max="15"/>
    <col width="5.29" customWidth="1" style="205" min="16" max="16"/>
    <col width="120.14" customWidth="1" style="205" min="17" max="17"/>
    <col width="8.710000000000001" customWidth="1" style="205" min="18" max="30"/>
  </cols>
  <sheetData>
    <row r="1" ht="81" customHeight="1" s="205">
      <c r="A1" s="1" t="n"/>
      <c r="B1" s="2" t="inlineStr">
        <is>
          <t>Untuk menghindari ERROR jangan mengubah, menambah atau mengurangi kolom, isi berurutan dari sheet CONTENT PILLAR MAPPING  - SCRIPT PROMPT GENERATOR - HOOK GENERATOR - CAPTION GENERATOR - CONTENT BATCHING</t>
        </is>
      </c>
      <c r="R1" s="3" t="n"/>
      <c r="S1" s="3" t="n"/>
      <c r="T1" s="3" t="n"/>
      <c r="U1" s="3" t="n"/>
      <c r="V1" s="3" t="n"/>
      <c r="W1" s="3" t="n"/>
      <c r="X1" s="3" t="n"/>
      <c r="Y1" s="3" t="n"/>
      <c r="Z1" s="3" t="n"/>
      <c r="AA1" s="3" t="n"/>
      <c r="AB1" s="3" t="n"/>
      <c r="AC1" s="3" t="n"/>
      <c r="AD1" s="3" t="n"/>
    </row>
    <row r="2" ht="360" customHeight="1" s="205">
      <c r="B2" s="4" t="n"/>
      <c r="R2" s="1" t="n"/>
      <c r="S2" s="1" t="n"/>
      <c r="T2" s="1" t="n"/>
      <c r="U2" s="1" t="n"/>
      <c r="V2" s="1" t="n"/>
      <c r="W2" s="1" t="n"/>
      <c r="X2" s="1" t="n"/>
      <c r="Y2" s="1" t="n"/>
      <c r="Z2" s="1" t="n"/>
      <c r="AA2" s="1" t="n"/>
      <c r="AB2" s="1" t="n"/>
      <c r="AC2" s="1" t="n"/>
      <c r="AD2" s="1" t="n"/>
    </row>
    <row r="3" ht="154.5" customHeight="1" s="205">
      <c r="B3" s="5" t="inlineStr">
        <is>
          <t>Video Tutorial Penggunaan</t>
        </is>
      </c>
      <c r="R3" s="1" t="n"/>
      <c r="S3" s="1" t="n"/>
      <c r="T3" s="1" t="n"/>
      <c r="U3" s="1" t="n"/>
      <c r="V3" s="1" t="n"/>
      <c r="W3" s="1" t="n"/>
      <c r="X3" s="1" t="n"/>
      <c r="Y3" s="1" t="n"/>
      <c r="Z3" s="1" t="n"/>
      <c r="AA3" s="1" t="n"/>
      <c r="AB3" s="1" t="n"/>
      <c r="AC3" s="1" t="n"/>
      <c r="AD3" s="1" t="n"/>
    </row>
    <row r="4" ht="42" customHeight="1" s="205">
      <c r="A4" s="1" t="n"/>
      <c r="B4" s="6" t="n"/>
      <c r="R4" s="1" t="n"/>
      <c r="S4" s="1" t="n"/>
      <c r="T4" s="1" t="n"/>
      <c r="U4" s="1" t="n"/>
      <c r="V4" s="1" t="n"/>
      <c r="W4" s="1" t="n"/>
      <c r="X4" s="1" t="n"/>
      <c r="Y4" s="1" t="n"/>
      <c r="Z4" s="1" t="n"/>
      <c r="AA4" s="1" t="n"/>
      <c r="AB4" s="1" t="n"/>
      <c r="AC4" s="1" t="n"/>
      <c r="AD4" s="1" t="n"/>
    </row>
    <row r="5" ht="42" customHeight="1" s="205">
      <c r="A5" s="1" t="n"/>
      <c r="R5" s="1" t="n"/>
      <c r="S5" s="1" t="n"/>
      <c r="T5" s="1" t="n"/>
      <c r="U5" s="1" t="n"/>
      <c r="V5" s="1" t="n"/>
      <c r="W5" s="1" t="n"/>
      <c r="X5" s="1" t="n"/>
      <c r="Y5" s="1" t="n"/>
      <c r="Z5" s="1" t="n"/>
      <c r="AA5" s="1" t="n"/>
      <c r="AB5" s="1" t="n"/>
      <c r="AC5" s="1" t="n"/>
      <c r="AD5" s="1" t="n"/>
    </row>
    <row r="6" ht="42" customHeight="1" s="205">
      <c r="A6" s="1" t="n"/>
      <c r="R6" s="1" t="n"/>
      <c r="S6" s="1" t="n"/>
      <c r="T6" s="1" t="n"/>
      <c r="U6" s="1" t="n"/>
      <c r="V6" s="1" t="n"/>
      <c r="W6" s="1" t="n"/>
      <c r="X6" s="1" t="n"/>
      <c r="Y6" s="1" t="n"/>
      <c r="Z6" s="1" t="n"/>
      <c r="AA6" s="1" t="n"/>
      <c r="AB6" s="1" t="n"/>
      <c r="AC6" s="1" t="n"/>
      <c r="AD6" s="1" t="n"/>
    </row>
    <row r="7" ht="42" customHeight="1" s="205">
      <c r="A7" s="1" t="n"/>
      <c r="R7" s="1" t="n"/>
      <c r="S7" s="1" t="n"/>
      <c r="T7" s="1" t="n"/>
      <c r="U7" s="1" t="n"/>
      <c r="V7" s="1" t="n"/>
      <c r="W7" s="1" t="n"/>
      <c r="X7" s="1" t="n"/>
      <c r="Y7" s="1" t="n"/>
      <c r="Z7" s="1" t="n"/>
      <c r="AA7" s="1" t="n"/>
      <c r="AB7" s="1" t="n"/>
      <c r="AC7" s="1" t="n"/>
      <c r="AD7" s="1" t="n"/>
    </row>
    <row r="8" ht="42" customHeight="1" s="205">
      <c r="A8" s="1" t="n"/>
      <c r="R8" s="1" t="n"/>
      <c r="S8" s="1" t="n"/>
      <c r="T8" s="1" t="n"/>
      <c r="U8" s="1" t="n"/>
      <c r="V8" s="1" t="n"/>
      <c r="W8" s="1" t="n"/>
      <c r="X8" s="1" t="n"/>
      <c r="Y8" s="1" t="n"/>
      <c r="Z8" s="1" t="n"/>
      <c r="AA8" s="1" t="n"/>
      <c r="AB8" s="1" t="n"/>
      <c r="AC8" s="1" t="n"/>
      <c r="AD8" s="1" t="n"/>
    </row>
    <row r="9" ht="603" customHeight="1" s="205">
      <c r="A9" s="1" t="n"/>
      <c r="R9" s="1" t="n"/>
      <c r="S9" s="1" t="n"/>
      <c r="T9" s="1" t="n"/>
      <c r="U9" s="1" t="n"/>
      <c r="V9" s="1" t="n"/>
      <c r="W9" s="1" t="n"/>
      <c r="X9" s="1" t="n"/>
      <c r="Y9" s="1" t="n"/>
      <c r="Z9" s="1" t="n"/>
      <c r="AA9" s="1" t="n"/>
      <c r="AB9" s="1" t="n"/>
      <c r="AC9" s="1" t="n"/>
      <c r="AD9" s="1" t="n"/>
    </row>
    <row r="10" ht="42" customHeight="1" s="205">
      <c r="A10" s="1" t="n"/>
      <c r="B10" s="9" t="inlineStr">
        <is>
          <t>Kenalan dulu yuk!</t>
        </is>
      </c>
      <c r="C10" s="206" t="n"/>
      <c r="D10" s="9" t="n"/>
      <c r="E10" s="9" t="inlineStr">
        <is>
          <t>Tulis nama kamu di sini 🙌🏻</t>
        </is>
      </c>
      <c r="F10" s="207" t="n"/>
      <c r="G10" s="207" t="n"/>
      <c r="H10" s="207" t="n"/>
      <c r="I10" s="207" t="n"/>
      <c r="J10" s="207" t="n"/>
      <c r="K10" s="207" t="n"/>
      <c r="L10" s="207" t="n"/>
      <c r="M10" s="207" t="n"/>
      <c r="N10" s="207" t="n"/>
      <c r="O10" s="207" t="n"/>
      <c r="P10" s="207" t="n"/>
      <c r="Q10" s="206" t="n"/>
      <c r="R10" s="1" t="n"/>
      <c r="S10" s="1" t="n"/>
      <c r="T10" s="1" t="n"/>
      <c r="U10" s="1" t="n"/>
      <c r="V10" s="1" t="n"/>
      <c r="W10" s="1" t="n"/>
      <c r="X10" s="1" t="n"/>
      <c r="Y10" s="1" t="n"/>
      <c r="Z10" s="1" t="n"/>
      <c r="AA10" s="1" t="n"/>
      <c r="AB10" s="1" t="n"/>
      <c r="AC10" s="1" t="n"/>
      <c r="AD10" s="1" t="n"/>
    </row>
    <row r="11">
      <c r="A11" s="1" t="n"/>
      <c r="B11" s="11" t="n"/>
      <c r="C11" s="12" t="n"/>
      <c r="D11" s="12" t="n"/>
      <c r="E11" s="12" t="n"/>
      <c r="F11" s="12" t="n"/>
      <c r="G11" s="12" t="n"/>
      <c r="H11" s="12" t="n"/>
      <c r="I11" s="12" t="n"/>
      <c r="J11" s="12" t="n"/>
      <c r="K11" s="12" t="n"/>
      <c r="L11" s="12" t="n"/>
      <c r="M11" s="12" t="n"/>
      <c r="N11" s="12" t="n"/>
      <c r="O11" s="12" t="n"/>
      <c r="P11" s="11" t="n"/>
      <c r="Q11" s="12" t="n"/>
      <c r="R11" s="1" t="n"/>
      <c r="S11" s="1" t="n"/>
      <c r="T11" s="1" t="n"/>
      <c r="U11" s="1" t="n"/>
      <c r="V11" s="1" t="n"/>
      <c r="W11" s="1" t="n"/>
      <c r="X11" s="1" t="n"/>
      <c r="Y11" s="1" t="n"/>
      <c r="Z11" s="1" t="n"/>
      <c r="AA11" s="1" t="n"/>
      <c r="AB11" s="1" t="n"/>
      <c r="AC11" s="1" t="n"/>
      <c r="AD11" s="1" t="n"/>
    </row>
    <row r="12" ht="27.75" customHeight="1" s="205">
      <c r="A12" s="1" t="n"/>
      <c r="B12" s="208" t="inlineStr">
        <is>
          <t>Template ini dirancang sebagai alat fleksibel yang dapat kamu gunakan untuk:</t>
        </is>
      </c>
      <c r="C12" s="207" t="n"/>
      <c r="D12" s="207" t="n"/>
      <c r="E12" s="207" t="n"/>
      <c r="F12" s="207" t="n"/>
      <c r="G12" s="207" t="n"/>
      <c r="H12" s="207" t="n"/>
      <c r="I12" s="207" t="n"/>
      <c r="J12" s="207" t="n"/>
      <c r="K12" s="207" t="n"/>
      <c r="L12" s="207" t="n"/>
      <c r="M12" s="207" t="n"/>
      <c r="N12" s="207" t="n"/>
      <c r="O12" s="206" t="n"/>
      <c r="P12" s="209" t="inlineStr">
        <is>
          <t>Dengan template ini, kamu akan memiliki sistem terpadu untuk:</t>
        </is>
      </c>
      <c r="Q12" s="206" t="n"/>
      <c r="R12" s="1" t="n"/>
      <c r="S12" s="1" t="n"/>
      <c r="T12" s="1" t="n"/>
      <c r="U12" s="1" t="n"/>
      <c r="V12" s="1" t="n"/>
      <c r="W12" s="1" t="n"/>
      <c r="X12" s="1" t="n"/>
      <c r="Y12" s="1" t="n"/>
      <c r="Z12" s="1" t="n"/>
      <c r="AA12" s="1" t="n"/>
      <c r="AB12" s="1" t="n"/>
      <c r="AC12" s="1" t="n"/>
      <c r="AD12" s="1" t="n"/>
    </row>
    <row r="13">
      <c r="A13" s="1" t="n"/>
      <c r="B13" s="11" t="n">
        <v>1</v>
      </c>
      <c r="C13" s="12" t="inlineStr">
        <is>
          <t>Personal Branding/Pribadi: Mengembangkan konten untuk diri sendiri dan membangun otoritas personal.</t>
        </is>
      </c>
      <c r="D13" s="207" t="n"/>
      <c r="E13" s="207" t="n"/>
      <c r="F13" s="207" t="n"/>
      <c r="G13" s="207" t="n"/>
      <c r="H13" s="207" t="n"/>
      <c r="I13" s="207" t="n"/>
      <c r="J13" s="207" t="n"/>
      <c r="K13" s="207" t="n"/>
      <c r="L13" s="207" t="n"/>
      <c r="M13" s="207" t="n"/>
      <c r="N13" s="207" t="n"/>
      <c r="O13" s="206" t="n"/>
      <c r="P13" s="11" t="n">
        <v>1</v>
      </c>
      <c r="Q13" s="12" t="inlineStr">
        <is>
          <t>Concepting: Menentukan DNA konten dan pilar strategis.</t>
        </is>
      </c>
      <c r="R13" s="1" t="n"/>
      <c r="S13" s="1" t="n"/>
      <c r="T13" s="1" t="n"/>
      <c r="U13" s="1" t="n"/>
      <c r="V13" s="1" t="n"/>
      <c r="W13" s="1" t="n"/>
      <c r="X13" s="1" t="n"/>
      <c r="Y13" s="1" t="n"/>
      <c r="Z13" s="1" t="n"/>
      <c r="AA13" s="1" t="n"/>
      <c r="AB13" s="1" t="n"/>
      <c r="AC13" s="1" t="n"/>
      <c r="AD13" s="1" t="n"/>
    </row>
    <row r="14">
      <c r="A14" s="1" t="n"/>
      <c r="B14" s="11" t="n">
        <v>2</v>
      </c>
      <c r="C14" s="12" t="inlineStr">
        <is>
          <t>UMKM: Membuat strategi konten yang efektif untuk bisnis skala kecil/menengah.</t>
        </is>
      </c>
      <c r="D14" s="207" t="n"/>
      <c r="E14" s="207" t="n"/>
      <c r="F14" s="207" t="n"/>
      <c r="G14" s="207" t="n"/>
      <c r="H14" s="207" t="n"/>
      <c r="I14" s="207" t="n"/>
      <c r="J14" s="207" t="n"/>
      <c r="K14" s="207" t="n"/>
      <c r="L14" s="207" t="n"/>
      <c r="M14" s="207" t="n"/>
      <c r="N14" s="207" t="n"/>
      <c r="O14" s="206" t="n"/>
      <c r="P14" s="11" t="n">
        <v>2</v>
      </c>
      <c r="Q14" s="12" t="inlineStr">
        <is>
          <t>Scripting: Menghasilkan ide dan draf skrip siap pakai.</t>
        </is>
      </c>
      <c r="R14" s="1" t="n"/>
      <c r="S14" s="1" t="n"/>
      <c r="T14" s="1" t="n"/>
      <c r="U14" s="1" t="n"/>
      <c r="V14" s="1" t="n"/>
      <c r="W14" s="1" t="n"/>
      <c r="X14" s="1" t="n"/>
      <c r="Y14" s="1" t="n"/>
      <c r="Z14" s="1" t="n"/>
      <c r="AA14" s="1" t="n"/>
      <c r="AB14" s="1" t="n"/>
      <c r="AC14" s="1" t="n"/>
      <c r="AD14" s="1" t="n"/>
    </row>
    <row r="15">
      <c r="A15" s="1" t="n"/>
      <c r="B15" s="11" t="n">
        <v>3</v>
      </c>
      <c r="C15" s="12" t="inlineStr">
        <is>
          <t>Klien/Brand: Membantu klien atau brand Anda dalam memproduksi konten yang relevan dan strategis.</t>
        </is>
      </c>
      <c r="D15" s="207" t="n"/>
      <c r="E15" s="207" t="n"/>
      <c r="F15" s="207" t="n"/>
      <c r="G15" s="207" t="n"/>
      <c r="H15" s="207" t="n"/>
      <c r="I15" s="207" t="n"/>
      <c r="J15" s="207" t="n"/>
      <c r="K15" s="207" t="n"/>
      <c r="L15" s="207" t="n"/>
      <c r="M15" s="207" t="n"/>
      <c r="N15" s="207" t="n"/>
      <c r="O15" s="206" t="n"/>
      <c r="P15" s="11" t="n">
        <v>3</v>
      </c>
      <c r="Q15" s="12" t="inlineStr">
        <is>
          <t>Shooting &amp; Editing: Mengelola aset produksi dan melacak progres.</t>
        </is>
      </c>
      <c r="R15" s="1" t="n"/>
      <c r="S15" s="1" t="n"/>
      <c r="T15" s="1" t="n"/>
      <c r="U15" s="1" t="n"/>
      <c r="V15" s="1" t="n"/>
      <c r="W15" s="1" t="n"/>
      <c r="X15" s="1" t="n"/>
      <c r="Y15" s="1" t="n"/>
      <c r="Z15" s="1" t="n"/>
      <c r="AA15" s="1" t="n"/>
      <c r="AB15" s="1" t="n"/>
      <c r="AC15" s="1" t="n"/>
      <c r="AD15" s="1" t="n"/>
    </row>
    <row r="16">
      <c r="A16" s="1" t="n"/>
      <c r="B16" s="210" t="n"/>
      <c r="C16" s="207" t="n"/>
      <c r="D16" s="207" t="n"/>
      <c r="E16" s="207" t="n"/>
      <c r="F16" s="207" t="n"/>
      <c r="G16" s="207" t="n"/>
      <c r="H16" s="207" t="n"/>
      <c r="I16" s="207" t="n"/>
      <c r="J16" s="207" t="n"/>
      <c r="K16" s="207" t="n"/>
      <c r="L16" s="207" t="n"/>
      <c r="M16" s="207" t="n"/>
      <c r="N16" s="207" t="n"/>
      <c r="O16" s="206" t="n"/>
      <c r="P16" s="11" t="n">
        <v>4</v>
      </c>
      <c r="Q16" s="12" t="inlineStr">
        <is>
          <t>Posting &amp; Scheduling: Merencanakan dan menjadwalkan konten dengan mudah.</t>
        </is>
      </c>
      <c r="R16" s="1" t="n"/>
      <c r="S16" s="1" t="n"/>
      <c r="T16" s="1" t="n"/>
      <c r="U16" s="1" t="n"/>
      <c r="V16" s="1" t="n"/>
      <c r="W16" s="1" t="n"/>
      <c r="X16" s="1" t="n"/>
      <c r="Y16" s="1" t="n"/>
      <c r="Z16" s="1" t="n"/>
      <c r="AA16" s="1" t="n"/>
      <c r="AB16" s="1" t="n"/>
      <c r="AC16" s="1" t="n"/>
      <c r="AD16" s="1" t="n"/>
    </row>
    <row r="17" ht="45" customHeight="1" s="205">
      <c r="A17" s="1" t="n"/>
      <c r="B17" s="17" t="inlineStr">
        <is>
          <t>⚠️ Penting ⚠️</t>
        </is>
      </c>
      <c r="C17" s="211" t="inlineStr">
        <is>
          <t>Saat mengisi, pastikan untuk menyesuaikan Niche, Positioning, Tone of Voice, Target Audiens, dan elemen lainnya sesuai dengan niche atau bidang spesifik dari akun (pribadi/klien/UMKM/brand) yang sedang Anda kerjakan.</t>
        </is>
      </c>
      <c r="D17" s="207" t="n"/>
      <c r="E17" s="207" t="n"/>
      <c r="F17" s="207" t="n"/>
      <c r="G17" s="207" t="n"/>
      <c r="H17" s="207" t="n"/>
      <c r="I17" s="207" t="n"/>
      <c r="J17" s="207" t="n"/>
      <c r="K17" s="207" t="n"/>
      <c r="L17" s="207" t="n"/>
      <c r="M17" s="207" t="n"/>
      <c r="N17" s="207" t="n"/>
      <c r="O17" s="206" t="n"/>
      <c r="P17" s="11" t="n">
        <v>5</v>
      </c>
      <c r="Q17" s="12" t="inlineStr">
        <is>
          <t>Evaluating: Menganalisis kinerja untuk optimasi berkelanjutan.</t>
        </is>
      </c>
      <c r="R17" s="1" t="n"/>
      <c r="S17" s="1" t="n"/>
      <c r="T17" s="1" t="n"/>
      <c r="U17" s="1" t="n"/>
      <c r="V17" s="1" t="n"/>
      <c r="W17" s="1" t="n"/>
      <c r="X17" s="1" t="n"/>
      <c r="Y17" s="1" t="n"/>
      <c r="Z17" s="1" t="n"/>
      <c r="AA17" s="1" t="n"/>
      <c r="AB17" s="1" t="n"/>
      <c r="AC17" s="1" t="n"/>
      <c r="AD17" s="1" t="n"/>
    </row>
    <row r="18">
      <c r="A18" s="1" t="n"/>
      <c r="B18" s="210" t="n"/>
      <c r="C18" s="207" t="n"/>
      <c r="D18" s="207" t="n"/>
      <c r="E18" s="207" t="n"/>
      <c r="F18" s="207" t="n"/>
      <c r="G18" s="207" t="n"/>
      <c r="H18" s="207" t="n"/>
      <c r="I18" s="207" t="n"/>
      <c r="J18" s="207" t="n"/>
      <c r="K18" s="207" t="n"/>
      <c r="L18" s="207" t="n"/>
      <c r="M18" s="207" t="n"/>
      <c r="N18" s="207" t="n"/>
      <c r="O18" s="207" t="n"/>
      <c r="P18" s="207" t="n"/>
      <c r="Q18" s="206" t="n"/>
      <c r="R18" s="1" t="n"/>
      <c r="S18" s="1" t="n"/>
      <c r="T18" s="1" t="n"/>
      <c r="U18" s="1" t="n"/>
      <c r="V18" s="1" t="n"/>
      <c r="W18" s="1" t="n"/>
      <c r="X18" s="1" t="n"/>
      <c r="Y18" s="1" t="n"/>
      <c r="Z18" s="1" t="n"/>
      <c r="AA18" s="1" t="n"/>
      <c r="AB18" s="1" t="n"/>
      <c r="AC18" s="1" t="n"/>
      <c r="AD18" s="1" t="n"/>
    </row>
    <row r="19" ht="28.5" customHeight="1" s="205">
      <c r="A19" s="1" t="n"/>
      <c r="B19" s="212" t="inlineStr">
        <is>
          <t>Prasyarat Penting:</t>
        </is>
      </c>
      <c r="C19" s="207" t="n"/>
      <c r="D19" s="207" t="n"/>
      <c r="E19" s="207" t="n"/>
      <c r="F19" s="207" t="n"/>
      <c r="G19" s="207" t="n"/>
      <c r="H19" s="207" t="n"/>
      <c r="I19" s="207" t="n"/>
      <c r="J19" s="207" t="n"/>
      <c r="K19" s="207" t="n"/>
      <c r="L19" s="207" t="n"/>
      <c r="M19" s="207" t="n"/>
      <c r="N19" s="207" t="n"/>
      <c r="O19" s="206" t="n"/>
      <c r="P19" s="209" t="inlineStr">
        <is>
          <t>Alur Penggunaan Template:</t>
        </is>
      </c>
      <c r="Q19" s="206" t="n"/>
      <c r="R19" s="1" t="n"/>
      <c r="S19" s="1" t="n"/>
      <c r="T19" s="1" t="n"/>
      <c r="U19" s="1" t="n"/>
      <c r="V19" s="1" t="n"/>
      <c r="W19" s="1" t="n"/>
      <c r="X19" s="1" t="n"/>
      <c r="Y19" s="1" t="n"/>
      <c r="Z19" s="1" t="n"/>
      <c r="AA19" s="1" t="n"/>
      <c r="AB19" s="1" t="n"/>
      <c r="AC19" s="1" t="n"/>
      <c r="AD19" s="1" t="n"/>
    </row>
    <row r="20">
      <c r="A20" s="1" t="n"/>
      <c r="B20" s="213" t="inlineStr">
        <is>
          <t>Untuk hasil optimal, pastikan kamu memiliki:</t>
        </is>
      </c>
      <c r="C20" s="207" t="n"/>
      <c r="D20" s="207" t="n"/>
      <c r="E20" s="207" t="n"/>
      <c r="F20" s="207" t="n"/>
      <c r="G20" s="207" t="n"/>
      <c r="H20" s="207" t="n"/>
      <c r="I20" s="207" t="n"/>
      <c r="J20" s="207" t="n"/>
      <c r="K20" s="207" t="n"/>
      <c r="L20" s="207" t="n"/>
      <c r="M20" s="207" t="n"/>
      <c r="N20" s="207" t="n"/>
      <c r="O20" s="206" t="n"/>
      <c r="P20" s="11" t="n">
        <v>1</v>
      </c>
      <c r="Q20" s="12" t="inlineStr">
        <is>
          <t>Definisikan Fondasi Konten: Isi detail di 'CONTENT PILLAR MAPPING'.</t>
        </is>
      </c>
      <c r="R20" s="1" t="n"/>
      <c r="S20" s="1" t="n"/>
      <c r="T20" s="1" t="n"/>
      <c r="U20" s="1" t="n"/>
      <c r="V20" s="1" t="n"/>
      <c r="W20" s="1" t="n"/>
      <c r="X20" s="1" t="n"/>
      <c r="Y20" s="1" t="n"/>
      <c r="Z20" s="1" t="n"/>
      <c r="AA20" s="1" t="n"/>
      <c r="AB20" s="1" t="n"/>
      <c r="AC20" s="1" t="n"/>
      <c r="AD20" s="1" t="n"/>
    </row>
    <row r="21" ht="15.75" customHeight="1" s="205">
      <c r="A21" s="1" t="n"/>
      <c r="B21" s="214" t="inlineStr">
        <is>
          <t>Chrome atau Safari dan ChatGPT atau Gemini</t>
        </is>
      </c>
      <c r="C21" s="215" t="n"/>
      <c r="D21" s="215" t="n"/>
      <c r="E21" s="215" t="n"/>
      <c r="F21" s="215" t="n"/>
      <c r="G21" s="215" t="n"/>
      <c r="H21" s="215" t="n"/>
      <c r="I21" s="215" t="n"/>
      <c r="J21" s="215" t="n"/>
      <c r="K21" s="215" t="n"/>
      <c r="L21" s="215" t="n"/>
      <c r="M21" s="215" t="n"/>
      <c r="N21" s="215" t="n"/>
      <c r="O21" s="216" t="n"/>
      <c r="P21" s="11" t="n">
        <v>2</v>
      </c>
      <c r="Q21" s="12" t="inlineStr">
        <is>
          <t>Hasilkan Content Pillar: Gunakan prompt di 'CONTENT PILLAR MAPPING'.</t>
        </is>
      </c>
      <c r="R21" s="1" t="n"/>
      <c r="S21" s="1" t="n"/>
      <c r="T21" s="1" t="n"/>
      <c r="U21" s="1" t="n"/>
      <c r="V21" s="1" t="n"/>
      <c r="W21" s="1" t="n"/>
      <c r="X21" s="1" t="n"/>
      <c r="Y21" s="1" t="n"/>
      <c r="Z21" s="1" t="n"/>
      <c r="AA21" s="1" t="n"/>
      <c r="AB21" s="1" t="n"/>
      <c r="AC21" s="1" t="n"/>
      <c r="AD21" s="1" t="n"/>
    </row>
    <row r="22" ht="15.75" customHeight="1" s="205">
      <c r="A22" s="1" t="n"/>
      <c r="B22" s="217" t="n"/>
      <c r="O22" s="218" t="n"/>
      <c r="P22" s="11" t="n">
        <v>3</v>
      </c>
      <c r="Q22" s="12" t="inlineStr">
        <is>
          <t>Buat Ide &amp; Skrip Konten: Gunakan 'SCRIPT PROMPT GENERATOR'.</t>
        </is>
      </c>
      <c r="R22" s="1" t="n"/>
      <c r="S22" s="1" t="n"/>
      <c r="T22" s="1" t="n"/>
      <c r="U22" s="1" t="n"/>
      <c r="V22" s="1" t="n"/>
      <c r="W22" s="1" t="n"/>
      <c r="X22" s="1" t="n"/>
      <c r="Y22" s="1" t="n"/>
      <c r="Z22" s="1" t="n"/>
      <c r="AA22" s="1" t="n"/>
      <c r="AB22" s="1" t="n"/>
      <c r="AC22" s="1" t="n"/>
      <c r="AD22" s="1" t="n"/>
    </row>
    <row r="23" ht="15.75" customHeight="1" s="205">
      <c r="A23" s="1" t="n"/>
      <c r="B23" s="217" t="n"/>
      <c r="O23" s="218" t="n"/>
      <c r="P23" s="11" t="n">
        <v>4</v>
      </c>
      <c r="Q23" s="12" t="inlineStr">
        <is>
          <t>Atur Produksi &amp; Jadwal: Gunakan 'BATCHING KONTEN'.</t>
        </is>
      </c>
      <c r="R23" s="1" t="n"/>
      <c r="S23" s="1" t="n"/>
      <c r="T23" s="1" t="n"/>
      <c r="U23" s="1" t="n"/>
      <c r="V23" s="1" t="n"/>
      <c r="W23" s="1" t="n"/>
      <c r="X23" s="1" t="n"/>
      <c r="Y23" s="1" t="n"/>
      <c r="Z23" s="1" t="n"/>
      <c r="AA23" s="1" t="n"/>
      <c r="AB23" s="1" t="n"/>
      <c r="AC23" s="1" t="n"/>
      <c r="AD23" s="1" t="n"/>
    </row>
    <row r="24" ht="15.75" customHeight="1" s="205">
      <c r="A24" s="1" t="n"/>
      <c r="B24" s="219" t="n"/>
      <c r="C24" s="220" t="n"/>
      <c r="D24" s="220" t="n"/>
      <c r="E24" s="220" t="n"/>
      <c r="F24" s="220" t="n"/>
      <c r="G24" s="220" t="n"/>
      <c r="H24" s="220" t="n"/>
      <c r="I24" s="220" t="n"/>
      <c r="J24" s="220" t="n"/>
      <c r="K24" s="220" t="n"/>
      <c r="L24" s="220" t="n"/>
      <c r="M24" s="220" t="n"/>
      <c r="N24" s="220" t="n"/>
      <c r="O24" s="221" t="n"/>
      <c r="P24" s="11" t="n">
        <v>5</v>
      </c>
      <c r="Q24" s="12" t="inlineStr">
        <is>
          <t>Tinjau Hasil Akhir: Lihat skrip di 'HASIL KONTEN'."</t>
        </is>
      </c>
      <c r="R24" s="1" t="n"/>
      <c r="S24" s="1" t="n"/>
      <c r="T24" s="1" t="n"/>
      <c r="U24" s="1" t="n"/>
      <c r="V24" s="1" t="n"/>
      <c r="W24" s="1" t="n"/>
      <c r="X24" s="1" t="n"/>
      <c r="Y24" s="1" t="n"/>
      <c r="Z24" s="1" t="n"/>
      <c r="AA24" s="1" t="n"/>
      <c r="AB24" s="1" t="n"/>
      <c r="AC24" s="1" t="n"/>
      <c r="AD24" s="1" t="n"/>
    </row>
    <row r="25" ht="15.75" customHeight="1" s="205">
      <c r="A25" s="1" t="n"/>
      <c r="B25" s="12" t="inlineStr">
        <is>
          <t xml:space="preserve">
</t>
        </is>
      </c>
      <c r="C25" s="207" t="n"/>
      <c r="D25" s="207" t="n"/>
      <c r="E25" s="207" t="n"/>
      <c r="F25" s="207" t="n"/>
      <c r="G25" s="207" t="n"/>
      <c r="H25" s="207" t="n"/>
      <c r="I25" s="207" t="n"/>
      <c r="J25" s="207" t="n"/>
      <c r="K25" s="207" t="n"/>
      <c r="L25" s="207" t="n"/>
      <c r="M25" s="207" t="n"/>
      <c r="N25" s="207" t="n"/>
      <c r="O25" s="207" t="n"/>
      <c r="P25" s="207" t="n"/>
      <c r="Q25" s="206" t="n"/>
      <c r="R25" s="1" t="n"/>
      <c r="S25" s="1" t="n"/>
      <c r="T25" s="1" t="n"/>
      <c r="U25" s="1" t="n"/>
      <c r="V25" s="1" t="n"/>
      <c r="W25" s="1" t="n"/>
      <c r="X25" s="1" t="n"/>
      <c r="Y25" s="1" t="n"/>
      <c r="Z25" s="1" t="n"/>
      <c r="AA25" s="1" t="n"/>
      <c r="AB25" s="1" t="n"/>
      <c r="AC25" s="1" t="n"/>
      <c r="AD25" s="1" t="n"/>
    </row>
    <row r="26" ht="30.75" customHeight="1" s="205">
      <c r="A26" s="1" t="n"/>
      <c r="B26" s="212" t="inlineStr">
        <is>
          <t>Langkah Awal Krusial: Memahami Niche &amp; Content Pillar</t>
        </is>
      </c>
      <c r="C26" s="207" t="n"/>
      <c r="D26" s="207" t="n"/>
      <c r="E26" s="207" t="n"/>
      <c r="F26" s="207" t="n"/>
      <c r="G26" s="207" t="n"/>
      <c r="H26" s="207" t="n"/>
      <c r="I26" s="207" t="n"/>
      <c r="J26" s="207" t="n"/>
      <c r="K26" s="207" t="n"/>
      <c r="L26" s="207" t="n"/>
      <c r="M26" s="207" t="n"/>
      <c r="N26" s="207" t="n"/>
      <c r="O26" s="206" t="n"/>
      <c r="P26" s="212" t="inlineStr">
        <is>
          <t>Penjelasan Singkat Setiap Sheet:</t>
        </is>
      </c>
      <c r="Q26" s="206" t="n"/>
      <c r="R26" s="1" t="n"/>
      <c r="S26" s="1" t="n"/>
      <c r="T26" s="1" t="n"/>
      <c r="U26" s="1" t="n"/>
      <c r="V26" s="1" t="n"/>
      <c r="W26" s="1" t="n"/>
      <c r="X26" s="1" t="n"/>
      <c r="Y26" s="1" t="n"/>
      <c r="Z26" s="1" t="n"/>
      <c r="AA26" s="1" t="n"/>
      <c r="AB26" s="1" t="n"/>
      <c r="AC26" s="1" t="n"/>
      <c r="AD26" s="1" t="n"/>
    </row>
    <row r="27" ht="15.75" customHeight="1" s="205">
      <c r="A27" s="1" t="n"/>
      <c r="B27" s="222" t="inlineStr">
        <is>
          <t>Template ini bekerja paling efektif jika kamu memahami niche dan positioningmu. Informasi ini adalah fondasi semua prompt AI.</t>
        </is>
      </c>
      <c r="C27" s="207" t="n"/>
      <c r="D27" s="207" t="n"/>
      <c r="E27" s="207" t="n"/>
      <c r="F27" s="207" t="n"/>
      <c r="G27" s="207" t="n"/>
      <c r="H27" s="207" t="n"/>
      <c r="I27" s="207" t="n"/>
      <c r="J27" s="207" t="n"/>
      <c r="K27" s="207" t="n"/>
      <c r="L27" s="207" t="n"/>
      <c r="M27" s="207" t="n"/>
      <c r="N27" s="207" t="n"/>
      <c r="O27" s="206" t="n"/>
      <c r="P27" s="11" t="n">
        <v>1</v>
      </c>
      <c r="Q27" s="12" t="inlineStr">
        <is>
          <t>CONTENT PILLAR MAPPING: Menentukan DNA konten &amp; pilar strategis.</t>
        </is>
      </c>
      <c r="R27" s="1" t="n"/>
      <c r="S27" s="1" t="n"/>
      <c r="T27" s="1" t="n"/>
      <c r="U27" s="1" t="n"/>
      <c r="V27" s="1" t="n"/>
      <c r="W27" s="1" t="n"/>
      <c r="X27" s="1" t="n"/>
      <c r="Y27" s="1" t="n"/>
      <c r="Z27" s="1" t="n"/>
      <c r="AA27" s="1" t="n"/>
      <c r="AB27" s="1" t="n"/>
      <c r="AC27" s="1" t="n"/>
      <c r="AD27" s="1" t="n"/>
    </row>
    <row r="28" ht="15.75" customHeight="1" s="205">
      <c r="A28" s="1" t="n"/>
      <c r="B28" s="213" t="inlineStr">
        <is>
          <t>Apa itu Niche &amp; Content Pillar?</t>
        </is>
      </c>
      <c r="C28" s="207" t="n"/>
      <c r="D28" s="207" t="n"/>
      <c r="E28" s="207" t="n"/>
      <c r="F28" s="207" t="n"/>
      <c r="G28" s="207" t="n"/>
      <c r="H28" s="207" t="n"/>
      <c r="I28" s="207" t="n"/>
      <c r="J28" s="207" t="n"/>
      <c r="K28" s="207" t="n"/>
      <c r="L28" s="207" t="n"/>
      <c r="M28" s="207" t="n"/>
      <c r="N28" s="207" t="n"/>
      <c r="O28" s="206" t="n"/>
      <c r="P28" s="11" t="n">
        <v>2</v>
      </c>
      <c r="Q28" s="12" t="inlineStr">
        <is>
          <t>SCRIPT PROMPT GENERATOR: Menghasilkan ide &amp; skrip konten.</t>
        </is>
      </c>
      <c r="R28" s="1" t="n"/>
      <c r="S28" s="1" t="n"/>
      <c r="T28" s="1" t="n"/>
      <c r="U28" s="1" t="n"/>
      <c r="V28" s="1" t="n"/>
      <c r="W28" s="1" t="n"/>
      <c r="X28" s="1" t="n"/>
      <c r="Y28" s="1" t="n"/>
      <c r="Z28" s="1" t="n"/>
      <c r="AA28" s="1" t="n"/>
      <c r="AB28" s="1" t="n"/>
      <c r="AC28" s="1" t="n"/>
      <c r="AD28" s="1" t="n"/>
    </row>
    <row r="29" ht="15.75" customHeight="1" s="205">
      <c r="A29" s="1" t="n"/>
      <c r="B29" s="11" t="n">
        <v>1</v>
      </c>
      <c r="C29" s="12" t="inlineStr">
        <is>
          <t>Niche: Bidang luas yang kamu geluti</t>
        </is>
      </c>
      <c r="D29" s="207" t="n"/>
      <c r="E29" s="207" t="n"/>
      <c r="F29" s="207" t="n"/>
      <c r="G29" s="207" t="n"/>
      <c r="H29" s="207" t="n"/>
      <c r="I29" s="207" t="n"/>
      <c r="J29" s="207" t="n"/>
      <c r="K29" s="207" t="n"/>
      <c r="L29" s="207" t="n"/>
      <c r="M29" s="207" t="n"/>
      <c r="N29" s="207" t="n"/>
      <c r="O29" s="206" t="n"/>
      <c r="P29" s="11" t="n">
        <v>3</v>
      </c>
      <c r="Q29" s="12" t="inlineStr">
        <is>
          <t>BATCHING KONTEN: Mengelola produksi &amp; jadwal konten.</t>
        </is>
      </c>
      <c r="R29" s="1" t="n"/>
      <c r="S29" s="1" t="n"/>
      <c r="T29" s="1" t="n"/>
      <c r="U29" s="1" t="n"/>
      <c r="V29" s="1" t="n"/>
      <c r="W29" s="1" t="n"/>
      <c r="X29" s="1" t="n"/>
      <c r="Y29" s="1" t="n"/>
      <c r="Z29" s="1" t="n"/>
      <c r="AA29" s="1" t="n"/>
      <c r="AB29" s="1" t="n"/>
      <c r="AC29" s="1" t="n"/>
      <c r="AD29" s="1" t="n"/>
    </row>
    <row r="30" ht="15.75" customHeight="1" s="205">
      <c r="A30" s="1" t="n"/>
      <c r="B30" s="11" t="n">
        <v>2</v>
      </c>
      <c r="C30" s="12" t="inlineStr">
        <is>
          <t xml:space="preserve"> Content Pillar: Topik utama yang mendukung nichemu.</t>
        </is>
      </c>
      <c r="D30" s="207" t="n"/>
      <c r="E30" s="207" t="n"/>
      <c r="F30" s="207" t="n"/>
      <c r="G30" s="207" t="n"/>
      <c r="H30" s="207" t="n"/>
      <c r="I30" s="207" t="n"/>
      <c r="J30" s="207" t="n"/>
      <c r="K30" s="207" t="n"/>
      <c r="L30" s="207" t="n"/>
      <c r="M30" s="207" t="n"/>
      <c r="N30" s="207" t="n"/>
      <c r="O30" s="206" t="n"/>
      <c r="P30" s="223" t="n"/>
      <c r="Q30" s="223" t="n"/>
      <c r="R30" s="1" t="n"/>
      <c r="S30" s="1" t="n"/>
      <c r="T30" s="1" t="n"/>
      <c r="U30" s="1" t="n"/>
      <c r="V30" s="1" t="n"/>
      <c r="W30" s="1" t="n"/>
      <c r="X30" s="1" t="n"/>
      <c r="Y30" s="1" t="n"/>
      <c r="Z30" s="1" t="n"/>
      <c r="AA30" s="1" t="n"/>
      <c r="AB30" s="1" t="n"/>
      <c r="AC30" s="1" t="n"/>
      <c r="AD30" s="1" t="n"/>
    </row>
    <row r="31" ht="15.75" customHeight="1" s="205">
      <c r="A31" s="1" t="n"/>
      <c r="B31" s="11" t="n"/>
      <c r="C31" s="207" t="n"/>
      <c r="D31" s="207" t="n"/>
      <c r="E31" s="207" t="n"/>
      <c r="F31" s="207" t="n"/>
      <c r="G31" s="207" t="n"/>
      <c r="H31" s="207" t="n"/>
      <c r="I31" s="207" t="n"/>
      <c r="J31" s="207" t="n"/>
      <c r="K31" s="207" t="n"/>
      <c r="L31" s="207" t="n"/>
      <c r="M31" s="207" t="n"/>
      <c r="N31" s="207" t="n"/>
      <c r="O31" s="207" t="n"/>
      <c r="P31" s="207" t="n"/>
      <c r="Q31" s="206" t="n"/>
      <c r="R31" s="1" t="n"/>
      <c r="S31" s="1" t="n"/>
      <c r="T31" s="1" t="n"/>
      <c r="U31" s="1" t="n"/>
      <c r="V31" s="1" t="n"/>
      <c r="W31" s="1" t="n"/>
      <c r="X31" s="1" t="n"/>
      <c r="Y31" s="1" t="n"/>
      <c r="Z31" s="1" t="n"/>
      <c r="AA31" s="1" t="n"/>
      <c r="AB31" s="1" t="n"/>
      <c r="AC31" s="1" t="n"/>
      <c r="AD31" s="1" t="n"/>
    </row>
    <row r="32" ht="33" customHeight="1" s="205">
      <c r="A32" s="1" t="n"/>
      <c r="B32" s="224" t="inlineStr">
        <is>
          <t>Berikan Feedback &amp; Testimoni: Dapatkan FREE ACCESS EBOOK CONTENT PILLAR</t>
        </is>
      </c>
      <c r="C32" s="207" t="n"/>
      <c r="D32" s="207" t="n"/>
      <c r="E32" s="207" t="n"/>
      <c r="F32" s="207" t="n"/>
      <c r="G32" s="207" t="n"/>
      <c r="H32" s="207" t="n"/>
      <c r="I32" s="207" t="n"/>
      <c r="J32" s="207" t="n"/>
      <c r="K32" s="207" t="n"/>
      <c r="L32" s="207" t="n"/>
      <c r="M32" s="207" t="n"/>
      <c r="N32" s="207" t="n"/>
      <c r="O32" s="206" t="n"/>
      <c r="P32" s="224" t="inlineStr">
        <is>
          <t>Berikan Feedback &amp; Testimoni: Dapatkan FREE Template Kalender 1 Tahun dengan mengisi feedback &amp; testimoni</t>
        </is>
      </c>
      <c r="Q32" s="206" t="n"/>
      <c r="R32" s="1" t="n"/>
      <c r="S32" s="1" t="n"/>
      <c r="T32" s="1" t="n"/>
      <c r="U32" s="1" t="n"/>
      <c r="V32" s="1" t="n"/>
      <c r="W32" s="1" t="n"/>
      <c r="X32" s="1" t="n"/>
      <c r="Y32" s="1" t="n"/>
      <c r="Z32" s="1" t="n"/>
      <c r="AA32" s="1" t="n"/>
      <c r="AB32" s="1" t="n"/>
      <c r="AC32" s="1" t="n"/>
      <c r="AD32" s="1" t="n"/>
    </row>
    <row r="33" ht="15.75" customHeight="1" s="205">
      <c r="A33" s="1" t="n"/>
      <c r="B33" s="225" t="inlineStr">
        <is>
          <t>🙌🏻 LINK FEEDBACK &amp; TESTIMONI 🙌🏻</t>
        </is>
      </c>
      <c r="C33" s="215" t="n"/>
      <c r="D33" s="215" t="n"/>
      <c r="E33" s="215" t="n"/>
      <c r="F33" s="215" t="n"/>
      <c r="G33" s="215" t="n"/>
      <c r="H33" s="215" t="n"/>
      <c r="I33" s="215" t="n"/>
      <c r="J33" s="215" t="n"/>
      <c r="K33" s="215" t="n"/>
      <c r="L33" s="215" t="n"/>
      <c r="M33" s="215" t="n"/>
      <c r="N33" s="215" t="n"/>
      <c r="O33" s="215" t="n"/>
      <c r="P33" s="215" t="n"/>
      <c r="Q33" s="216" t="n"/>
      <c r="R33" s="1" t="n"/>
      <c r="S33" s="1" t="n"/>
      <c r="T33" s="1" t="n"/>
      <c r="U33" s="1" t="n"/>
      <c r="V33" s="1" t="n"/>
      <c r="W33" s="1" t="n"/>
      <c r="X33" s="1" t="n"/>
      <c r="Y33" s="1" t="n"/>
      <c r="Z33" s="1" t="n"/>
      <c r="AA33" s="1" t="n"/>
      <c r="AB33" s="1" t="n"/>
      <c r="AC33" s="1" t="n"/>
      <c r="AD33" s="1" t="n"/>
    </row>
    <row r="34" ht="15.75" customHeight="1" s="205">
      <c r="A34" s="1" t="n"/>
      <c r="B34" s="217" t="n"/>
      <c r="Q34" s="218" t="n"/>
      <c r="R34" s="1" t="n"/>
      <c r="S34" s="1" t="n"/>
      <c r="T34" s="1" t="n"/>
      <c r="U34" s="1" t="n"/>
      <c r="V34" s="1" t="n"/>
      <c r="W34" s="1" t="n"/>
      <c r="X34" s="1" t="n"/>
      <c r="Y34" s="1" t="n"/>
      <c r="Z34" s="1" t="n"/>
      <c r="AA34" s="1" t="n"/>
      <c r="AB34" s="1" t="n"/>
      <c r="AC34" s="1" t="n"/>
      <c r="AD34" s="1" t="n"/>
    </row>
    <row r="35" ht="15.75" customHeight="1" s="205">
      <c r="A35" s="1" t="n"/>
      <c r="B35" s="217" t="n"/>
      <c r="Q35" s="218" t="n"/>
      <c r="R35" s="1" t="n"/>
      <c r="S35" s="1" t="n"/>
      <c r="T35" s="1" t="n"/>
      <c r="U35" s="1" t="n"/>
      <c r="V35" s="1" t="n"/>
      <c r="W35" s="1" t="n"/>
      <c r="X35" s="1" t="n"/>
      <c r="Y35" s="1" t="n"/>
      <c r="Z35" s="1" t="n"/>
      <c r="AA35" s="1" t="n"/>
      <c r="AB35" s="1" t="n"/>
      <c r="AC35" s="1" t="n"/>
      <c r="AD35" s="1" t="n"/>
    </row>
    <row r="36" ht="15.75" customHeight="1" s="205">
      <c r="A36" s="1" t="n"/>
      <c r="B36" s="219" t="n"/>
      <c r="C36" s="220" t="n"/>
      <c r="D36" s="220" t="n"/>
      <c r="E36" s="220" t="n"/>
      <c r="F36" s="220" t="n"/>
      <c r="G36" s="220" t="n"/>
      <c r="H36" s="220" t="n"/>
      <c r="I36" s="220" t="n"/>
      <c r="J36" s="220" t="n"/>
      <c r="K36" s="220" t="n"/>
      <c r="L36" s="220" t="n"/>
      <c r="M36" s="220" t="n"/>
      <c r="N36" s="220" t="n"/>
      <c r="O36" s="220" t="n"/>
      <c r="P36" s="220" t="n"/>
      <c r="Q36" s="221" t="n"/>
      <c r="R36" s="1" t="n"/>
      <c r="S36" s="1" t="n"/>
      <c r="T36" s="1" t="n"/>
      <c r="U36" s="1" t="n"/>
      <c r="V36" s="1" t="n"/>
      <c r="W36" s="1" t="n"/>
      <c r="X36" s="1" t="n"/>
      <c r="Y36" s="1" t="n"/>
      <c r="Z36" s="1" t="n"/>
      <c r="AA36" s="1" t="n"/>
      <c r="AB36" s="1" t="n"/>
      <c r="AC36" s="1" t="n"/>
      <c r="AD36" s="1" t="n"/>
    </row>
    <row r="37" ht="264" customHeight="1" s="205">
      <c r="A37" s="1" t="n"/>
      <c r="B37" s="226" t="n"/>
      <c r="C37" s="207" t="n"/>
      <c r="D37" s="207" t="n"/>
      <c r="E37" s="207" t="n"/>
      <c r="F37" s="207" t="n"/>
      <c r="G37" s="207" t="n"/>
      <c r="H37" s="207" t="n"/>
      <c r="I37" s="207" t="n"/>
      <c r="J37" s="207" t="n"/>
      <c r="K37" s="207" t="n"/>
      <c r="L37" s="207" t="n"/>
      <c r="M37" s="207" t="n"/>
      <c r="N37" s="207" t="n"/>
      <c r="O37" s="206" t="n"/>
      <c r="P37" s="227" t="n"/>
      <c r="Q37" s="206" t="n"/>
      <c r="R37" s="1" t="n"/>
      <c r="S37" s="1" t="n"/>
      <c r="T37" s="1" t="n"/>
      <c r="U37" s="1" t="n"/>
      <c r="V37" s="1" t="n"/>
      <c r="W37" s="1" t="n"/>
      <c r="X37" s="1" t="n"/>
      <c r="Y37" s="1" t="n"/>
      <c r="Z37" s="1" t="n"/>
      <c r="AA37" s="1" t="n"/>
      <c r="AB37" s="1" t="n"/>
      <c r="AC37" s="1" t="n"/>
      <c r="AD37" s="1" t="n"/>
    </row>
    <row r="38" ht="36.75" customHeight="1" s="205">
      <c r="A38" s="1" t="n"/>
      <c r="B38" s="228" t="inlineStr">
        <is>
          <t>Masih Bingung? Hubungi Saya!</t>
        </is>
      </c>
      <c r="C38" s="207" t="n"/>
      <c r="D38" s="207" t="n"/>
      <c r="E38" s="207" t="n"/>
      <c r="F38" s="207" t="n"/>
      <c r="G38" s="207" t="n"/>
      <c r="H38" s="207" t="n"/>
      <c r="I38" s="207" t="n"/>
      <c r="J38" s="207" t="n"/>
      <c r="K38" s="207" t="n"/>
      <c r="L38" s="207" t="n"/>
      <c r="M38" s="207" t="n"/>
      <c r="N38" s="207" t="n"/>
      <c r="O38" s="206" t="n"/>
      <c r="P38" s="212" t="inlineStr">
        <is>
          <t>Hak Cipta &amp; Afiliasi:</t>
        </is>
      </c>
      <c r="Q38" s="206" t="n"/>
      <c r="R38" s="1" t="n"/>
      <c r="S38" s="1" t="n"/>
      <c r="T38" s="1" t="n"/>
      <c r="U38" s="1" t="n"/>
      <c r="V38" s="1" t="n"/>
      <c r="W38" s="1" t="n"/>
      <c r="X38" s="1" t="n"/>
      <c r="Y38" s="1" t="n"/>
      <c r="Z38" s="1" t="n"/>
      <c r="AA38" s="1" t="n"/>
      <c r="AB38" s="1" t="n"/>
      <c r="AC38" s="1" t="n"/>
      <c r="AD38" s="1" t="n"/>
    </row>
    <row r="39" ht="15.75" customHeight="1" s="205">
      <c r="A39" s="1" t="n"/>
      <c r="B39" s="39" t="inlineStr">
        <is>
          <t>Jika ada pertanyaan, jangan ragu DM saya di IG: @fajarmuliawn</t>
        </is>
      </c>
      <c r="R39" s="1" t="n"/>
      <c r="S39" s="1" t="n"/>
      <c r="T39" s="1" t="n"/>
      <c r="U39" s="1" t="n"/>
      <c r="V39" s="1" t="n"/>
      <c r="W39" s="1" t="n"/>
      <c r="X39" s="1" t="n"/>
      <c r="Y39" s="1" t="n"/>
      <c r="Z39" s="1" t="n"/>
      <c r="AA39" s="1" t="n"/>
      <c r="AB39" s="1" t="n"/>
      <c r="AC39" s="1" t="n"/>
      <c r="AD39" s="1" t="n"/>
    </row>
    <row r="40" ht="28.5" customHeight="1" s="205">
      <c r="A40" s="1" t="n"/>
      <c r="R40" s="1" t="n"/>
      <c r="S40" s="1" t="n"/>
      <c r="T40" s="1" t="n"/>
      <c r="U40" s="1" t="n"/>
      <c r="V40" s="1" t="n"/>
      <c r="W40" s="1" t="n"/>
      <c r="X40" s="1" t="n"/>
      <c r="Y40" s="1" t="n"/>
      <c r="Z40" s="1" t="n"/>
      <c r="AA40" s="1" t="n"/>
      <c r="AB40" s="1" t="n"/>
      <c r="AC40" s="1" t="n"/>
      <c r="AD40" s="1" t="n"/>
    </row>
    <row r="41" ht="337.5" customHeight="1" s="205">
      <c r="A41" s="1" t="n"/>
      <c r="B41" s="40" t="n"/>
      <c r="R41" s="1" t="n"/>
      <c r="S41" s="1" t="n"/>
      <c r="T41" s="1" t="n"/>
      <c r="U41" s="1" t="n"/>
      <c r="V41" s="1" t="n"/>
      <c r="W41" s="1" t="n"/>
      <c r="X41" s="1" t="n"/>
      <c r="Y41" s="1" t="n"/>
      <c r="Z41" s="1" t="n"/>
      <c r="AA41" s="1" t="n"/>
      <c r="AB41" s="1" t="n"/>
      <c r="AC41" s="1" t="n"/>
      <c r="AD41" s="1" t="n"/>
    </row>
    <row r="42" ht="289.5" customHeight="1" s="205">
      <c r="A42" s="1" t="n"/>
      <c r="B42" s="41" t="n"/>
      <c r="R42" s="1" t="n"/>
      <c r="S42" s="1" t="n"/>
      <c r="T42" s="1" t="n"/>
      <c r="U42" s="1" t="n"/>
      <c r="V42" s="1" t="n"/>
      <c r="W42" s="1" t="n"/>
      <c r="X42" s="1" t="n"/>
      <c r="Y42" s="1" t="n"/>
      <c r="Z42" s="1" t="n"/>
      <c r="AA42" s="1" t="n"/>
      <c r="AB42" s="1" t="n"/>
      <c r="AC42" s="1" t="n"/>
      <c r="AD42" s="1" t="n"/>
    </row>
    <row r="43" ht="15.75" customHeight="1" s="205">
      <c r="A43" s="1" t="n"/>
      <c r="B43" s="229" t="inlineStr">
        <is>
          <t>Ingin menjual kembali template ini? Dapatkan link affiliate kamu di sini 👉🏻</t>
        </is>
      </c>
      <c r="C43" s="215" t="n"/>
      <c r="D43" s="215" t="n"/>
      <c r="E43" s="215" t="n"/>
      <c r="F43" s="215" t="n"/>
      <c r="G43" s="215" t="n"/>
      <c r="H43" s="215" t="n"/>
      <c r="I43" s="215" t="n"/>
      <c r="J43" s="215" t="n"/>
      <c r="K43" s="215" t="n"/>
      <c r="L43" s="215" t="n"/>
      <c r="M43" s="215" t="n"/>
      <c r="N43" s="215" t="n"/>
      <c r="O43" s="216" t="n"/>
      <c r="P43" s="230" t="inlineStr">
        <is>
          <t>🙌🏻 LINK AFFILIATE 🙌🏻</t>
        </is>
      </c>
      <c r="Q43" s="231" t="n"/>
      <c r="R43" s="1" t="n"/>
      <c r="S43" s="1" t="n"/>
      <c r="T43" s="1" t="n"/>
      <c r="U43" s="1" t="n"/>
      <c r="V43" s="1" t="n"/>
      <c r="W43" s="1" t="n"/>
      <c r="X43" s="1" t="n"/>
      <c r="Y43" s="1" t="n"/>
      <c r="Z43" s="1" t="n"/>
      <c r="AA43" s="1" t="n"/>
      <c r="AB43" s="1" t="n"/>
      <c r="AC43" s="1" t="n"/>
      <c r="AD43" s="1" t="n"/>
    </row>
    <row r="44" ht="15.75" customHeight="1" s="205">
      <c r="A44" s="1" t="n"/>
      <c r="B44" s="217" t="n"/>
      <c r="O44" s="218" t="n"/>
      <c r="P44" s="232" t="n"/>
      <c r="Q44" s="233" t="n"/>
      <c r="R44" s="1" t="n"/>
      <c r="S44" s="1" t="n"/>
      <c r="T44" s="1" t="n"/>
      <c r="U44" s="1" t="n"/>
      <c r="V44" s="1" t="n"/>
      <c r="W44" s="1" t="n"/>
      <c r="X44" s="1" t="n"/>
      <c r="Y44" s="1" t="n"/>
      <c r="Z44" s="1" t="n"/>
      <c r="AA44" s="1" t="n"/>
      <c r="AB44" s="1" t="n"/>
      <c r="AC44" s="1" t="n"/>
      <c r="AD44" s="1" t="n"/>
    </row>
    <row r="45" ht="64.5" customHeight="1" s="205">
      <c r="A45" s="1" t="n"/>
      <c r="B45" s="219" t="n"/>
      <c r="C45" s="220" t="n"/>
      <c r="D45" s="220" t="n"/>
      <c r="E45" s="220" t="n"/>
      <c r="F45" s="220" t="n"/>
      <c r="G45" s="220" t="n"/>
      <c r="H45" s="220" t="n"/>
      <c r="I45" s="220" t="n"/>
      <c r="J45" s="220" t="n"/>
      <c r="K45" s="220" t="n"/>
      <c r="L45" s="220" t="n"/>
      <c r="M45" s="220" t="n"/>
      <c r="N45" s="220" t="n"/>
      <c r="O45" s="221" t="n"/>
      <c r="P45" s="234" t="inlineStr">
        <is>
          <t>https://lynk.id/fajarmuliawn/jg7p6nwdkvdx</t>
        </is>
      </c>
      <c r="Q45" s="235" t="n"/>
      <c r="R45" s="1" t="n"/>
      <c r="S45" s="1" t="n"/>
      <c r="T45" s="1" t="n"/>
      <c r="U45" s="1" t="n"/>
      <c r="V45" s="1" t="n"/>
      <c r="W45" s="1" t="n"/>
      <c r="X45" s="1" t="n"/>
      <c r="Y45" s="1" t="n"/>
      <c r="Z45" s="1" t="n"/>
      <c r="AA45" s="1" t="n"/>
      <c r="AB45" s="1" t="n"/>
      <c r="AC45" s="1" t="n"/>
      <c r="AD45" s="1" t="n"/>
    </row>
    <row r="46" ht="15.75" customHeight="1" s="205">
      <c r="A46" s="1" t="n"/>
      <c r="B46" s="4" t="n"/>
      <c r="C46" s="1" t="n"/>
      <c r="D46" s="1" t="n"/>
      <c r="E46" s="1" t="n"/>
      <c r="F46" s="1" t="n"/>
      <c r="G46" s="1" t="n"/>
      <c r="H46" s="1" t="n"/>
      <c r="I46" s="1" t="n"/>
      <c r="J46" s="1" t="n"/>
      <c r="K46" s="1" t="n"/>
      <c r="L46" s="1" t="n"/>
      <c r="M46" s="1" t="n"/>
      <c r="N46" s="1" t="n"/>
      <c r="O46" s="1" t="n"/>
      <c r="P46" s="4" t="n"/>
      <c r="Q46" s="1" t="n"/>
      <c r="R46" s="1" t="n"/>
      <c r="S46" s="1" t="n"/>
      <c r="T46" s="1" t="n"/>
      <c r="U46" s="1" t="n"/>
      <c r="V46" s="1" t="n"/>
      <c r="W46" s="1" t="n"/>
      <c r="X46" s="1" t="n"/>
      <c r="Y46" s="1" t="n"/>
      <c r="Z46" s="1" t="n"/>
      <c r="AA46" s="1" t="n"/>
      <c r="AB46" s="1" t="n"/>
      <c r="AC46" s="1" t="n"/>
      <c r="AD46" s="1" t="n"/>
    </row>
    <row r="47" ht="15.75" customHeight="1" s="205">
      <c r="A47" s="1" t="n"/>
      <c r="B47" s="49" t="n"/>
      <c r="C47" s="50" t="n"/>
      <c r="D47" s="1" t="n"/>
      <c r="E47" s="1" t="n"/>
      <c r="F47" s="1" t="n"/>
      <c r="G47" s="1" t="n"/>
      <c r="H47" s="1" t="n"/>
      <c r="I47" s="1" t="n"/>
      <c r="J47" s="1" t="n"/>
      <c r="K47" s="1" t="n"/>
      <c r="L47" s="1" t="n"/>
      <c r="M47" s="1" t="n"/>
      <c r="N47" s="1" t="n"/>
      <c r="O47" s="1" t="n"/>
      <c r="P47" s="4" t="n"/>
      <c r="Q47" s="1" t="n"/>
      <c r="R47" s="1" t="n"/>
      <c r="S47" s="1" t="n"/>
      <c r="T47" s="1" t="n"/>
      <c r="U47" s="1" t="n"/>
      <c r="V47" s="1" t="n"/>
      <c r="W47" s="1" t="n"/>
      <c r="X47" s="1" t="n"/>
      <c r="Y47" s="1" t="n"/>
      <c r="Z47" s="1" t="n"/>
      <c r="AA47" s="1" t="n"/>
      <c r="AB47" s="1" t="n"/>
      <c r="AC47" s="1" t="n"/>
      <c r="AD47" s="1" t="n"/>
    </row>
    <row r="48" ht="15.75" customHeight="1" s="205">
      <c r="A48" s="1" t="n"/>
      <c r="B48" s="49" t="n"/>
      <c r="C48" s="50" t="n"/>
      <c r="D48" s="1" t="n"/>
      <c r="E48" s="1" t="n"/>
      <c r="F48" s="1" t="n"/>
      <c r="G48" s="1" t="n"/>
      <c r="H48" s="1" t="n"/>
      <c r="I48" s="1" t="n"/>
      <c r="J48" s="1" t="n"/>
      <c r="K48" s="1" t="n"/>
      <c r="L48" s="1" t="n"/>
      <c r="M48" s="1" t="n"/>
      <c r="N48" s="1" t="n"/>
      <c r="O48" s="1" t="n"/>
      <c r="P48" s="4" t="n"/>
      <c r="Q48" s="1" t="n"/>
      <c r="R48" s="1" t="n"/>
      <c r="S48" s="1" t="n"/>
      <c r="T48" s="1" t="n"/>
      <c r="U48" s="1" t="n"/>
      <c r="V48" s="1" t="n"/>
      <c r="W48" s="1" t="n"/>
      <c r="X48" s="1" t="n"/>
      <c r="Y48" s="1" t="n"/>
      <c r="Z48" s="1" t="n"/>
      <c r="AA48" s="1" t="n"/>
      <c r="AB48" s="1" t="n"/>
      <c r="AC48" s="1" t="n"/>
      <c r="AD48" s="1" t="n"/>
    </row>
    <row r="49" ht="15.75" customHeight="1" s="205">
      <c r="A49" s="1" t="n"/>
      <c r="B49" s="4" t="n"/>
      <c r="C49" s="1" t="n"/>
      <c r="D49" s="1" t="n"/>
      <c r="E49" s="1" t="n"/>
      <c r="F49" s="1" t="n"/>
      <c r="G49" s="1" t="n"/>
      <c r="H49" s="1" t="n"/>
      <c r="I49" s="1" t="n"/>
      <c r="J49" s="1" t="n"/>
      <c r="K49" s="1" t="n"/>
      <c r="L49" s="1" t="n"/>
      <c r="M49" s="1" t="n"/>
      <c r="N49" s="1" t="n"/>
      <c r="O49" s="1" t="n"/>
      <c r="P49" s="4" t="n"/>
      <c r="Q49" s="1" t="n"/>
      <c r="R49" s="1" t="n"/>
      <c r="S49" s="1" t="n"/>
      <c r="T49" s="1" t="n"/>
      <c r="U49" s="1" t="n"/>
      <c r="V49" s="1" t="n"/>
      <c r="W49" s="1" t="n"/>
      <c r="X49" s="1" t="n"/>
      <c r="Y49" s="1" t="n"/>
      <c r="Z49" s="1" t="n"/>
      <c r="AA49" s="1" t="n"/>
      <c r="AB49" s="1" t="n"/>
      <c r="AC49" s="1" t="n"/>
      <c r="AD49" s="1" t="n"/>
    </row>
    <row r="50" ht="15.75" customHeight="1" s="205">
      <c r="A50" s="1" t="n"/>
      <c r="B50" s="49" t="n"/>
      <c r="C50" s="50" t="n"/>
      <c r="D50" s="1" t="n"/>
      <c r="E50" s="1" t="n"/>
      <c r="F50" s="1" t="n"/>
      <c r="G50" s="1" t="n"/>
      <c r="H50" s="1" t="n"/>
      <c r="I50" s="1" t="n"/>
      <c r="J50" s="1" t="n"/>
      <c r="K50" s="1" t="n"/>
      <c r="L50" s="1" t="n"/>
      <c r="M50" s="1" t="n"/>
      <c r="N50" s="1" t="n"/>
      <c r="O50" s="1" t="n"/>
      <c r="P50" s="4" t="n"/>
      <c r="Q50" s="1" t="n"/>
      <c r="R50" s="1" t="n"/>
      <c r="S50" s="1" t="n"/>
      <c r="T50" s="1" t="n"/>
      <c r="U50" s="1" t="n"/>
      <c r="V50" s="1" t="n"/>
      <c r="W50" s="1" t="n"/>
      <c r="X50" s="1" t="n"/>
      <c r="Y50" s="1" t="n"/>
      <c r="Z50" s="1" t="n"/>
      <c r="AA50" s="1" t="n"/>
      <c r="AB50" s="1" t="n"/>
      <c r="AC50" s="1" t="n"/>
      <c r="AD50" s="1" t="n"/>
    </row>
    <row r="51" ht="15.75" customHeight="1" s="205">
      <c r="A51" s="1" t="n"/>
      <c r="B51" s="4" t="n"/>
      <c r="C51" s="1" t="n"/>
      <c r="D51" s="1" t="n"/>
      <c r="E51" s="1" t="n"/>
      <c r="F51" s="1" t="n"/>
      <c r="G51" s="1" t="n"/>
      <c r="H51" s="1" t="n"/>
      <c r="I51" s="1" t="n"/>
      <c r="J51" s="1" t="n"/>
      <c r="K51" s="1" t="n"/>
      <c r="L51" s="1" t="n"/>
      <c r="M51" s="1" t="n"/>
      <c r="N51" s="1" t="n"/>
      <c r="O51" s="1" t="n"/>
      <c r="P51" s="4" t="n"/>
      <c r="Q51" s="1" t="n"/>
      <c r="R51" s="1" t="n"/>
      <c r="S51" s="1" t="n"/>
      <c r="T51" s="1" t="n"/>
      <c r="U51" s="1" t="n"/>
      <c r="V51" s="1" t="n"/>
      <c r="W51" s="1" t="n"/>
      <c r="X51" s="1" t="n"/>
      <c r="Y51" s="1" t="n"/>
      <c r="Z51" s="1" t="n"/>
      <c r="AA51" s="1" t="n"/>
      <c r="AB51" s="1" t="n"/>
      <c r="AC51" s="1" t="n"/>
      <c r="AD51" s="1" t="n"/>
    </row>
    <row r="52" ht="15.75" customHeight="1" s="205">
      <c r="A52" s="1" t="n"/>
      <c r="B52" s="4" t="n"/>
      <c r="C52" s="1" t="n"/>
      <c r="D52" s="1" t="n"/>
      <c r="E52" s="1" t="n"/>
      <c r="F52" s="1" t="n"/>
      <c r="G52" s="1" t="n"/>
      <c r="H52" s="1" t="n"/>
      <c r="I52" s="1" t="n"/>
      <c r="J52" s="1" t="n"/>
      <c r="K52" s="1" t="n"/>
      <c r="L52" s="1" t="n"/>
      <c r="M52" s="1" t="n"/>
      <c r="N52" s="1" t="n"/>
      <c r="O52" s="1" t="n"/>
      <c r="P52" s="4" t="n"/>
      <c r="Q52" s="1" t="n"/>
      <c r="R52" s="1" t="n"/>
      <c r="S52" s="1" t="n"/>
      <c r="T52" s="1" t="n"/>
      <c r="U52" s="1" t="n"/>
      <c r="V52" s="1" t="n"/>
      <c r="W52" s="1" t="n"/>
      <c r="X52" s="1" t="n"/>
      <c r="Y52" s="1" t="n"/>
      <c r="Z52" s="1" t="n"/>
      <c r="AA52" s="1" t="n"/>
      <c r="AB52" s="1" t="n"/>
      <c r="AC52" s="1" t="n"/>
      <c r="AD52" s="1" t="n"/>
    </row>
    <row r="53" ht="15.75" customHeight="1" s="205">
      <c r="A53" s="1" t="n"/>
      <c r="B53" s="49" t="n"/>
      <c r="C53" s="50" t="n"/>
      <c r="D53" s="1" t="n"/>
      <c r="E53" s="1" t="n"/>
      <c r="F53" s="1" t="n"/>
      <c r="G53" s="1" t="n"/>
      <c r="H53" s="1" t="n"/>
      <c r="I53" s="1" t="n"/>
      <c r="J53" s="1" t="n"/>
      <c r="K53" s="1" t="n"/>
      <c r="L53" s="1" t="n"/>
      <c r="M53" s="1" t="n"/>
      <c r="N53" s="1" t="n"/>
      <c r="O53" s="1" t="n"/>
      <c r="P53" s="4" t="n"/>
      <c r="Q53" s="1" t="n"/>
      <c r="R53" s="1" t="n"/>
      <c r="S53" s="1" t="n"/>
      <c r="T53" s="1" t="n"/>
      <c r="U53" s="1" t="n"/>
      <c r="V53" s="1" t="n"/>
      <c r="W53" s="1" t="n"/>
      <c r="X53" s="1" t="n"/>
      <c r="Y53" s="1" t="n"/>
      <c r="Z53" s="1" t="n"/>
      <c r="AA53" s="1" t="n"/>
      <c r="AB53" s="1" t="n"/>
      <c r="AC53" s="1" t="n"/>
      <c r="AD53" s="1" t="n"/>
    </row>
    <row r="54" ht="15.75" customHeight="1" s="205">
      <c r="A54" s="1" t="n"/>
      <c r="B54" s="4" t="n"/>
      <c r="C54" s="1" t="n"/>
      <c r="D54" s="1" t="n"/>
      <c r="E54" s="1" t="n"/>
      <c r="F54" s="1" t="n"/>
      <c r="G54" s="1" t="n"/>
      <c r="H54" s="1" t="n"/>
      <c r="I54" s="1" t="n"/>
      <c r="J54" s="1" t="n"/>
      <c r="K54" s="1" t="n"/>
      <c r="L54" s="1" t="n"/>
      <c r="M54" s="1" t="n"/>
      <c r="N54" s="1" t="n"/>
      <c r="O54" s="1" t="n"/>
      <c r="P54" s="4" t="n"/>
      <c r="Q54" s="1" t="n"/>
      <c r="R54" s="1" t="n"/>
      <c r="S54" s="1" t="n"/>
      <c r="T54" s="1" t="n"/>
      <c r="U54" s="1" t="n"/>
      <c r="V54" s="1" t="n"/>
      <c r="W54" s="1" t="n"/>
      <c r="X54" s="1" t="n"/>
      <c r="Y54" s="1" t="n"/>
      <c r="Z54" s="1" t="n"/>
      <c r="AA54" s="1" t="n"/>
      <c r="AB54" s="1" t="n"/>
      <c r="AC54" s="1" t="n"/>
      <c r="AD54" s="1" t="n"/>
    </row>
    <row r="55" ht="15.75" customHeight="1" s="205">
      <c r="A55" s="1" t="n"/>
      <c r="B55" s="4" t="n"/>
      <c r="C55" s="1" t="n"/>
      <c r="D55" s="1" t="n"/>
      <c r="E55" s="1" t="n"/>
      <c r="F55" s="1" t="n"/>
      <c r="G55" s="1" t="n"/>
      <c r="H55" s="1" t="n"/>
      <c r="I55" s="1" t="n"/>
      <c r="J55" s="1" t="n"/>
      <c r="K55" s="1" t="n"/>
      <c r="L55" s="1" t="n"/>
      <c r="M55" s="1" t="n"/>
      <c r="N55" s="1" t="n"/>
      <c r="O55" s="1" t="n"/>
      <c r="P55" s="4" t="n"/>
      <c r="Q55" s="1" t="n"/>
      <c r="R55" s="1" t="n"/>
      <c r="S55" s="1" t="n"/>
      <c r="T55" s="1" t="n"/>
      <c r="U55" s="1" t="n"/>
      <c r="V55" s="1" t="n"/>
      <c r="W55" s="1" t="n"/>
      <c r="X55" s="1" t="n"/>
      <c r="Y55" s="1" t="n"/>
      <c r="Z55" s="1" t="n"/>
      <c r="AA55" s="1" t="n"/>
      <c r="AB55" s="1" t="n"/>
      <c r="AC55" s="1" t="n"/>
      <c r="AD55" s="1" t="n"/>
    </row>
    <row r="56" ht="15.75" customHeight="1" s="205">
      <c r="A56" s="1" t="n"/>
      <c r="B56" s="49" t="n"/>
      <c r="C56" s="50" t="n"/>
      <c r="D56" s="1" t="n"/>
      <c r="E56" s="1" t="n"/>
      <c r="F56" s="1" t="n"/>
      <c r="G56" s="1" t="n"/>
      <c r="H56" s="1" t="n"/>
      <c r="I56" s="1" t="n"/>
      <c r="J56" s="1" t="n"/>
      <c r="K56" s="1" t="n"/>
      <c r="L56" s="1" t="n"/>
      <c r="M56" s="1" t="n"/>
      <c r="N56" s="1" t="n"/>
      <c r="O56" s="1" t="n"/>
      <c r="P56" s="4" t="n"/>
      <c r="Q56" s="1" t="n"/>
      <c r="R56" s="1" t="n"/>
      <c r="S56" s="1" t="n"/>
      <c r="T56" s="1" t="n"/>
      <c r="U56" s="1" t="n"/>
      <c r="V56" s="1" t="n"/>
      <c r="W56" s="1" t="n"/>
      <c r="X56" s="1" t="n"/>
      <c r="Y56" s="1" t="n"/>
      <c r="Z56" s="1" t="n"/>
      <c r="AA56" s="1" t="n"/>
      <c r="AB56" s="1" t="n"/>
      <c r="AC56" s="1" t="n"/>
      <c r="AD56" s="1" t="n"/>
    </row>
    <row r="57" ht="15.75" customHeight="1" s="205">
      <c r="A57" s="1" t="n"/>
      <c r="B57" s="49" t="n"/>
      <c r="C57" s="50" t="n"/>
      <c r="D57" s="1" t="n"/>
      <c r="E57" s="1" t="n"/>
      <c r="F57" s="1" t="n"/>
      <c r="G57" s="1" t="n"/>
      <c r="H57" s="1" t="n"/>
      <c r="I57" s="1" t="n"/>
      <c r="J57" s="1" t="n"/>
      <c r="K57" s="1" t="n"/>
      <c r="L57" s="1" t="n"/>
      <c r="M57" s="1" t="n"/>
      <c r="N57" s="1" t="n"/>
      <c r="O57" s="1" t="n"/>
      <c r="P57" s="4" t="n"/>
      <c r="Q57" s="1" t="n"/>
      <c r="R57" s="1" t="n"/>
      <c r="S57" s="1" t="n"/>
      <c r="T57" s="1" t="n"/>
      <c r="U57" s="1" t="n"/>
      <c r="V57" s="1" t="n"/>
      <c r="W57" s="1" t="n"/>
      <c r="X57" s="1" t="n"/>
      <c r="Y57" s="1" t="n"/>
      <c r="Z57" s="1" t="n"/>
      <c r="AA57" s="1" t="n"/>
      <c r="AB57" s="1" t="n"/>
      <c r="AC57" s="1" t="n"/>
      <c r="AD57" s="1" t="n"/>
    </row>
    <row r="58" ht="15.75" customHeight="1" s="205">
      <c r="A58" s="1" t="n"/>
      <c r="B58" s="49" t="n"/>
      <c r="C58" s="50" t="n"/>
      <c r="D58" s="1" t="n"/>
      <c r="E58" s="1" t="n"/>
      <c r="F58" s="1" t="n"/>
      <c r="G58" s="1" t="n"/>
      <c r="H58" s="1" t="n"/>
      <c r="I58" s="1" t="n"/>
      <c r="J58" s="1" t="n"/>
      <c r="K58" s="1" t="n"/>
      <c r="L58" s="1" t="n"/>
      <c r="M58" s="1" t="n"/>
      <c r="N58" s="1" t="n"/>
      <c r="O58" s="1" t="n"/>
      <c r="P58" s="4" t="n"/>
      <c r="Q58" s="1" t="n"/>
      <c r="R58" s="1" t="n"/>
      <c r="S58" s="1" t="n"/>
      <c r="T58" s="1" t="n"/>
      <c r="U58" s="1" t="n"/>
      <c r="V58" s="1" t="n"/>
      <c r="W58" s="1" t="n"/>
      <c r="X58" s="1" t="n"/>
      <c r="Y58" s="1" t="n"/>
      <c r="Z58" s="1" t="n"/>
      <c r="AA58" s="1" t="n"/>
      <c r="AB58" s="1" t="n"/>
      <c r="AC58" s="1" t="n"/>
      <c r="AD58" s="1" t="n"/>
    </row>
    <row r="59" ht="15.75" customHeight="1" s="205">
      <c r="A59" s="1" t="n"/>
      <c r="B59" s="49" t="n"/>
      <c r="C59" s="50" t="n"/>
      <c r="D59" s="1" t="n"/>
      <c r="E59" s="1" t="n"/>
      <c r="F59" s="1" t="n"/>
      <c r="G59" s="1" t="n"/>
      <c r="H59" s="1" t="n"/>
      <c r="I59" s="1" t="n"/>
      <c r="J59" s="1" t="n"/>
      <c r="K59" s="1" t="n"/>
      <c r="L59" s="1" t="n"/>
      <c r="M59" s="1" t="n"/>
      <c r="N59" s="1" t="n"/>
      <c r="O59" s="1" t="n"/>
      <c r="P59" s="4" t="n"/>
      <c r="Q59" s="1" t="n"/>
      <c r="R59" s="1" t="n"/>
      <c r="S59" s="1" t="n"/>
      <c r="T59" s="1" t="n"/>
      <c r="U59" s="1" t="n"/>
      <c r="V59" s="1" t="n"/>
      <c r="W59" s="1" t="n"/>
      <c r="X59" s="1" t="n"/>
      <c r="Y59" s="1" t="n"/>
      <c r="Z59" s="1" t="n"/>
      <c r="AA59" s="1" t="n"/>
      <c r="AB59" s="1" t="n"/>
      <c r="AC59" s="1" t="n"/>
      <c r="AD59" s="1" t="n"/>
    </row>
    <row r="60" ht="15.75" customHeight="1" s="205">
      <c r="A60" s="1" t="n"/>
      <c r="B60" s="49" t="n"/>
      <c r="C60" s="50" t="n"/>
      <c r="D60" s="1" t="n"/>
      <c r="E60" s="1" t="n"/>
      <c r="F60" s="1" t="n"/>
      <c r="G60" s="1" t="n"/>
      <c r="H60" s="1" t="n"/>
      <c r="I60" s="1" t="n"/>
      <c r="J60" s="1" t="n"/>
      <c r="K60" s="1" t="n"/>
      <c r="L60" s="1" t="n"/>
      <c r="M60" s="1" t="n"/>
      <c r="N60" s="1" t="n"/>
      <c r="O60" s="1" t="n"/>
      <c r="P60" s="4" t="n"/>
      <c r="Q60" s="1" t="n"/>
      <c r="R60" s="1" t="n"/>
      <c r="S60" s="1" t="n"/>
      <c r="T60" s="1" t="n"/>
      <c r="U60" s="1" t="n"/>
      <c r="V60" s="1" t="n"/>
      <c r="W60" s="1" t="n"/>
      <c r="X60" s="1" t="n"/>
      <c r="Y60" s="1" t="n"/>
      <c r="Z60" s="1" t="n"/>
      <c r="AA60" s="1" t="n"/>
      <c r="AB60" s="1" t="n"/>
      <c r="AC60" s="1" t="n"/>
      <c r="AD60" s="1" t="n"/>
    </row>
    <row r="61" ht="15.75" customHeight="1" s="205">
      <c r="A61" s="1" t="n"/>
      <c r="B61" s="4" t="n"/>
      <c r="C61" s="1" t="n"/>
      <c r="D61" s="1" t="n"/>
      <c r="E61" s="1" t="n"/>
      <c r="F61" s="1" t="n"/>
      <c r="G61" s="1" t="n"/>
      <c r="H61" s="1" t="n"/>
      <c r="I61" s="1" t="n"/>
      <c r="J61" s="1" t="n"/>
      <c r="K61" s="1" t="n"/>
      <c r="L61" s="1" t="n"/>
      <c r="M61" s="1" t="n"/>
      <c r="N61" s="1" t="n"/>
      <c r="O61" s="1" t="n"/>
      <c r="P61" s="4" t="n"/>
      <c r="Q61" s="1" t="n"/>
      <c r="R61" s="1" t="n"/>
      <c r="S61" s="1" t="n"/>
      <c r="T61" s="1" t="n"/>
      <c r="U61" s="1" t="n"/>
      <c r="V61" s="1" t="n"/>
      <c r="W61" s="1" t="n"/>
      <c r="X61" s="1" t="n"/>
      <c r="Y61" s="1" t="n"/>
      <c r="Z61" s="1" t="n"/>
      <c r="AA61" s="1" t="n"/>
      <c r="AB61" s="1" t="n"/>
      <c r="AC61" s="1" t="n"/>
      <c r="AD61" s="1" t="n"/>
    </row>
    <row r="62" ht="15.75" customHeight="1" s="205">
      <c r="A62" s="1" t="n"/>
      <c r="B62" s="4" t="n"/>
      <c r="C62" s="1" t="n"/>
      <c r="D62" s="1" t="n"/>
      <c r="E62" s="1" t="n"/>
      <c r="F62" s="1" t="n"/>
      <c r="G62" s="1" t="n"/>
      <c r="H62" s="1" t="n"/>
      <c r="I62" s="1" t="n"/>
      <c r="J62" s="1" t="n"/>
      <c r="K62" s="1" t="n"/>
      <c r="L62" s="1" t="n"/>
      <c r="M62" s="1" t="n"/>
      <c r="N62" s="1" t="n"/>
      <c r="O62" s="1" t="n"/>
      <c r="P62" s="4" t="n"/>
      <c r="Q62" s="1" t="n"/>
      <c r="R62" s="1" t="n"/>
      <c r="S62" s="1" t="n"/>
      <c r="T62" s="1" t="n"/>
      <c r="U62" s="1" t="n"/>
      <c r="V62" s="1" t="n"/>
      <c r="W62" s="1" t="n"/>
      <c r="X62" s="1" t="n"/>
      <c r="Y62" s="1" t="n"/>
      <c r="Z62" s="1" t="n"/>
      <c r="AA62" s="1" t="n"/>
      <c r="AB62" s="1" t="n"/>
      <c r="AC62" s="1" t="n"/>
      <c r="AD62" s="1" t="n"/>
    </row>
    <row r="63" ht="15.75" customHeight="1" s="205">
      <c r="A63" s="1" t="n"/>
      <c r="B63" s="4" t="n"/>
      <c r="C63" s="1" t="n"/>
      <c r="D63" s="1" t="n"/>
      <c r="E63" s="1" t="n"/>
      <c r="F63" s="1" t="n"/>
      <c r="G63" s="1" t="n"/>
      <c r="H63" s="1" t="n"/>
      <c r="I63" s="1" t="n"/>
      <c r="J63" s="1" t="n"/>
      <c r="K63" s="1" t="n"/>
      <c r="L63" s="1" t="n"/>
      <c r="M63" s="1" t="n"/>
      <c r="N63" s="1" t="n"/>
      <c r="O63" s="1" t="n"/>
      <c r="P63" s="4" t="n"/>
      <c r="Q63" s="1" t="n"/>
      <c r="R63" s="1" t="n"/>
      <c r="S63" s="1" t="n"/>
      <c r="T63" s="1" t="n"/>
      <c r="U63" s="1" t="n"/>
      <c r="V63" s="1" t="n"/>
      <c r="W63" s="1" t="n"/>
      <c r="X63" s="1" t="n"/>
      <c r="Y63" s="1" t="n"/>
      <c r="Z63" s="1" t="n"/>
      <c r="AA63" s="1" t="n"/>
      <c r="AB63" s="1" t="n"/>
      <c r="AC63" s="1" t="n"/>
      <c r="AD63" s="1" t="n"/>
    </row>
    <row r="64" ht="15.75" customHeight="1" s="205">
      <c r="A64" s="1" t="n"/>
      <c r="B64" s="4" t="n"/>
      <c r="C64" s="1" t="n"/>
      <c r="D64" s="1" t="n"/>
      <c r="E64" s="1" t="n"/>
      <c r="F64" s="1" t="n"/>
      <c r="G64" s="1" t="n"/>
      <c r="H64" s="1" t="n"/>
      <c r="I64" s="1" t="n"/>
      <c r="J64" s="1" t="n"/>
      <c r="K64" s="1" t="n"/>
      <c r="L64" s="1" t="n"/>
      <c r="M64" s="1" t="n"/>
      <c r="N64" s="1" t="n"/>
      <c r="O64" s="1" t="n"/>
      <c r="P64" s="4" t="n"/>
      <c r="Q64" s="1" t="n"/>
      <c r="R64" s="1" t="n"/>
      <c r="S64" s="1" t="n"/>
      <c r="T64" s="1" t="n"/>
      <c r="U64" s="1" t="n"/>
      <c r="V64" s="1" t="n"/>
      <c r="W64" s="1" t="n"/>
      <c r="X64" s="1" t="n"/>
      <c r="Y64" s="1" t="n"/>
      <c r="Z64" s="1" t="n"/>
      <c r="AA64" s="1" t="n"/>
      <c r="AB64" s="1" t="n"/>
      <c r="AC64" s="1" t="n"/>
      <c r="AD64" s="1" t="n"/>
    </row>
    <row r="65" ht="15.75" customHeight="1" s="205">
      <c r="A65" s="1" t="n"/>
      <c r="B65" s="4" t="n"/>
      <c r="C65" s="1" t="n"/>
      <c r="D65" s="1" t="n"/>
      <c r="E65" s="1" t="n"/>
      <c r="F65" s="1" t="n"/>
      <c r="G65" s="1" t="n"/>
      <c r="H65" s="1" t="n"/>
      <c r="I65" s="1" t="n"/>
      <c r="J65" s="1" t="n"/>
      <c r="K65" s="1" t="n"/>
      <c r="L65" s="1" t="n"/>
      <c r="M65" s="1" t="n"/>
      <c r="N65" s="1" t="n"/>
      <c r="O65" s="1" t="n"/>
      <c r="P65" s="4" t="n"/>
      <c r="Q65" s="1" t="n"/>
      <c r="R65" s="1" t="n"/>
      <c r="S65" s="1" t="n"/>
      <c r="T65" s="1" t="n"/>
      <c r="U65" s="1" t="n"/>
      <c r="V65" s="1" t="n"/>
      <c r="W65" s="1" t="n"/>
      <c r="X65" s="1" t="n"/>
      <c r="Y65" s="1" t="n"/>
      <c r="Z65" s="1" t="n"/>
      <c r="AA65" s="1" t="n"/>
      <c r="AB65" s="1" t="n"/>
      <c r="AC65" s="1" t="n"/>
      <c r="AD65" s="1" t="n"/>
    </row>
    <row r="66" ht="15.75" customHeight="1" s="205">
      <c r="A66" s="1" t="n"/>
      <c r="B66" s="4" t="n"/>
      <c r="C66" s="1" t="n"/>
      <c r="D66" s="1" t="n"/>
      <c r="E66" s="1" t="n"/>
      <c r="F66" s="1" t="n"/>
      <c r="G66" s="1" t="n"/>
      <c r="H66" s="1" t="n"/>
      <c r="I66" s="1" t="n"/>
      <c r="J66" s="1" t="n"/>
      <c r="K66" s="1" t="n"/>
      <c r="L66" s="1" t="n"/>
      <c r="M66" s="1" t="n"/>
      <c r="N66" s="1" t="n"/>
      <c r="O66" s="1" t="n"/>
      <c r="P66" s="4" t="n"/>
      <c r="Q66" s="1" t="n"/>
      <c r="R66" s="1" t="n"/>
      <c r="S66" s="1" t="n"/>
      <c r="T66" s="1" t="n"/>
      <c r="U66" s="1" t="n"/>
      <c r="V66" s="1" t="n"/>
      <c r="W66" s="1" t="n"/>
      <c r="X66" s="1" t="n"/>
      <c r="Y66" s="1" t="n"/>
      <c r="Z66" s="1" t="n"/>
      <c r="AA66" s="1" t="n"/>
      <c r="AB66" s="1" t="n"/>
      <c r="AC66" s="1" t="n"/>
      <c r="AD66" s="1" t="n"/>
    </row>
    <row r="67" ht="15.75" customHeight="1" s="205">
      <c r="A67" s="1" t="n"/>
      <c r="B67" s="4" t="n"/>
      <c r="C67" s="1" t="n"/>
      <c r="D67" s="1" t="n"/>
      <c r="E67" s="1" t="n"/>
      <c r="F67" s="1" t="n"/>
      <c r="G67" s="1" t="n"/>
      <c r="H67" s="1" t="n"/>
      <c r="I67" s="1" t="n"/>
      <c r="J67" s="1" t="n"/>
      <c r="K67" s="1" t="n"/>
      <c r="L67" s="1" t="n"/>
      <c r="M67" s="1" t="n"/>
      <c r="N67" s="1" t="n"/>
      <c r="O67" s="1" t="n"/>
      <c r="P67" s="4" t="n"/>
      <c r="Q67" s="1" t="n"/>
      <c r="R67" s="1" t="n"/>
      <c r="S67" s="1" t="n"/>
      <c r="T67" s="1" t="n"/>
      <c r="U67" s="1" t="n"/>
      <c r="V67" s="1" t="n"/>
      <c r="W67" s="1" t="n"/>
      <c r="X67" s="1" t="n"/>
      <c r="Y67" s="1" t="n"/>
      <c r="Z67" s="1" t="n"/>
      <c r="AA67" s="1" t="n"/>
      <c r="AB67" s="1" t="n"/>
      <c r="AC67" s="1" t="n"/>
      <c r="AD67" s="1" t="n"/>
    </row>
    <row r="68" ht="15.75" customHeight="1" s="205">
      <c r="A68" s="1" t="n"/>
      <c r="B68" s="4" t="n"/>
      <c r="C68" s="1" t="n"/>
      <c r="D68" s="1" t="n"/>
      <c r="E68" s="1" t="n"/>
      <c r="F68" s="1" t="n"/>
      <c r="G68" s="1" t="n"/>
      <c r="H68" s="1" t="n"/>
      <c r="I68" s="1" t="n"/>
      <c r="J68" s="1" t="n"/>
      <c r="K68" s="1" t="n"/>
      <c r="L68" s="1" t="n"/>
      <c r="M68" s="1" t="n"/>
      <c r="N68" s="1" t="n"/>
      <c r="O68" s="1" t="n"/>
      <c r="P68" s="4" t="n"/>
      <c r="Q68" s="1" t="n"/>
      <c r="R68" s="1" t="n"/>
      <c r="S68" s="1" t="n"/>
      <c r="T68" s="1" t="n"/>
      <c r="U68" s="1" t="n"/>
      <c r="V68" s="1" t="n"/>
      <c r="W68" s="1" t="n"/>
      <c r="X68" s="1" t="n"/>
      <c r="Y68" s="1" t="n"/>
      <c r="Z68" s="1" t="n"/>
      <c r="AA68" s="1" t="n"/>
      <c r="AB68" s="1" t="n"/>
      <c r="AC68" s="1" t="n"/>
      <c r="AD68" s="1" t="n"/>
    </row>
    <row r="69" ht="15.75" customHeight="1" s="205">
      <c r="A69" s="1" t="n"/>
      <c r="B69" s="4" t="n"/>
      <c r="C69" s="1" t="n"/>
      <c r="D69" s="1" t="n"/>
      <c r="E69" s="1" t="n"/>
      <c r="F69" s="1" t="n"/>
      <c r="G69" s="1" t="n"/>
      <c r="H69" s="1" t="n"/>
      <c r="I69" s="1" t="n"/>
      <c r="J69" s="1" t="n"/>
      <c r="K69" s="1" t="n"/>
      <c r="L69" s="1" t="n"/>
      <c r="M69" s="1" t="n"/>
      <c r="N69" s="1" t="n"/>
      <c r="O69" s="1" t="n"/>
      <c r="P69" s="4" t="n"/>
      <c r="Q69" s="1" t="n"/>
      <c r="R69" s="1" t="n"/>
      <c r="S69" s="1" t="n"/>
      <c r="T69" s="1" t="n"/>
      <c r="U69" s="1" t="n"/>
      <c r="V69" s="1" t="n"/>
      <c r="W69" s="1" t="n"/>
      <c r="X69" s="1" t="n"/>
      <c r="Y69" s="1" t="n"/>
      <c r="Z69" s="1" t="n"/>
      <c r="AA69" s="1" t="n"/>
      <c r="AB69" s="1" t="n"/>
      <c r="AC69" s="1" t="n"/>
      <c r="AD69" s="1" t="n"/>
    </row>
    <row r="70" ht="15.75" customHeight="1" s="205">
      <c r="A70" s="1" t="n"/>
      <c r="B70" s="4" t="n"/>
      <c r="C70" s="1" t="n"/>
      <c r="D70" s="1" t="n"/>
      <c r="E70" s="1" t="n"/>
      <c r="F70" s="1" t="n"/>
      <c r="G70" s="1" t="n"/>
      <c r="H70" s="1" t="n"/>
      <c r="I70" s="1" t="n"/>
      <c r="J70" s="1" t="n"/>
      <c r="K70" s="1" t="n"/>
      <c r="L70" s="1" t="n"/>
      <c r="M70" s="1" t="n"/>
      <c r="N70" s="1" t="n"/>
      <c r="O70" s="1" t="n"/>
      <c r="P70" s="4" t="n"/>
      <c r="Q70" s="1" t="n"/>
      <c r="R70" s="1" t="n"/>
      <c r="S70" s="1" t="n"/>
      <c r="T70" s="1" t="n"/>
      <c r="U70" s="1" t="n"/>
      <c r="V70" s="1" t="n"/>
      <c r="W70" s="1" t="n"/>
      <c r="X70" s="1" t="n"/>
      <c r="Y70" s="1" t="n"/>
      <c r="Z70" s="1" t="n"/>
      <c r="AA70" s="1" t="n"/>
      <c r="AB70" s="1" t="n"/>
      <c r="AC70" s="1" t="n"/>
      <c r="AD70" s="1" t="n"/>
    </row>
    <row r="71" ht="15.75" customHeight="1" s="205">
      <c r="A71" s="1" t="n"/>
      <c r="B71" s="4" t="n"/>
      <c r="C71" s="1" t="n"/>
      <c r="D71" s="1" t="n"/>
      <c r="E71" s="1" t="n"/>
      <c r="F71" s="1" t="n"/>
      <c r="G71" s="1" t="n"/>
      <c r="H71" s="1" t="n"/>
      <c r="I71" s="1" t="n"/>
      <c r="J71" s="1" t="n"/>
      <c r="K71" s="1" t="n"/>
      <c r="L71" s="1" t="n"/>
      <c r="M71" s="1" t="n"/>
      <c r="N71" s="1" t="n"/>
      <c r="O71" s="1" t="n"/>
      <c r="P71" s="4" t="n"/>
      <c r="Q71" s="1" t="n"/>
      <c r="R71" s="1" t="n"/>
      <c r="S71" s="1" t="n"/>
      <c r="T71" s="1" t="n"/>
      <c r="U71" s="1" t="n"/>
      <c r="V71" s="1" t="n"/>
      <c r="W71" s="1" t="n"/>
      <c r="X71" s="1" t="n"/>
      <c r="Y71" s="1" t="n"/>
      <c r="Z71" s="1" t="n"/>
      <c r="AA71" s="1" t="n"/>
      <c r="AB71" s="1" t="n"/>
      <c r="AC71" s="1" t="n"/>
      <c r="AD71" s="1" t="n"/>
    </row>
    <row r="72" ht="15.75" customHeight="1" s="205">
      <c r="A72" s="1" t="n"/>
      <c r="B72" s="4" t="n"/>
      <c r="C72" s="1" t="n"/>
      <c r="D72" s="1" t="n"/>
      <c r="E72" s="1" t="n"/>
      <c r="F72" s="1" t="n"/>
      <c r="G72" s="1" t="n"/>
      <c r="H72" s="1" t="n"/>
      <c r="I72" s="1" t="n"/>
      <c r="J72" s="1" t="n"/>
      <c r="K72" s="1" t="n"/>
      <c r="L72" s="1" t="n"/>
      <c r="M72" s="1" t="n"/>
      <c r="N72" s="1" t="n"/>
      <c r="O72" s="1" t="n"/>
      <c r="P72" s="4" t="n"/>
      <c r="Q72" s="1" t="n"/>
      <c r="R72" s="1" t="n"/>
      <c r="S72" s="1" t="n"/>
      <c r="T72" s="1" t="n"/>
      <c r="U72" s="1" t="n"/>
      <c r="V72" s="1" t="n"/>
      <c r="W72" s="1" t="n"/>
      <c r="X72" s="1" t="n"/>
      <c r="Y72" s="1" t="n"/>
      <c r="Z72" s="1" t="n"/>
      <c r="AA72" s="1" t="n"/>
      <c r="AB72" s="1" t="n"/>
      <c r="AC72" s="1" t="n"/>
      <c r="AD72" s="1" t="n"/>
    </row>
    <row r="73" ht="15.75" customHeight="1" s="205">
      <c r="A73" s="1" t="n"/>
      <c r="B73" s="4" t="n"/>
      <c r="C73" s="1" t="n"/>
      <c r="D73" s="1" t="n"/>
      <c r="E73" s="1" t="n"/>
      <c r="F73" s="1" t="n"/>
      <c r="G73" s="1" t="n"/>
      <c r="H73" s="1" t="n"/>
      <c r="I73" s="1" t="n"/>
      <c r="J73" s="1" t="n"/>
      <c r="K73" s="1" t="n"/>
      <c r="L73" s="1" t="n"/>
      <c r="M73" s="1" t="n"/>
      <c r="N73" s="1" t="n"/>
      <c r="O73" s="1" t="n"/>
      <c r="P73" s="4" t="n"/>
      <c r="Q73" s="1" t="n"/>
      <c r="R73" s="1" t="n"/>
      <c r="S73" s="1" t="n"/>
      <c r="T73" s="1" t="n"/>
      <c r="U73" s="1" t="n"/>
      <c r="V73" s="1" t="n"/>
      <c r="W73" s="1" t="n"/>
      <c r="X73" s="1" t="n"/>
      <c r="Y73" s="1" t="n"/>
      <c r="Z73" s="1" t="n"/>
      <c r="AA73" s="1" t="n"/>
      <c r="AB73" s="1" t="n"/>
      <c r="AC73" s="1" t="n"/>
      <c r="AD73" s="1" t="n"/>
    </row>
    <row r="74" ht="15.75" customHeight="1" s="205">
      <c r="A74" s="1" t="n"/>
      <c r="B74" s="4" t="n"/>
      <c r="C74" s="1" t="n"/>
      <c r="D74" s="1" t="n"/>
      <c r="E74" s="1" t="n"/>
      <c r="F74" s="1" t="n"/>
      <c r="G74" s="1" t="n"/>
      <c r="H74" s="1" t="n"/>
      <c r="I74" s="1" t="n"/>
      <c r="J74" s="1" t="n"/>
      <c r="K74" s="1" t="n"/>
      <c r="L74" s="1" t="n"/>
      <c r="M74" s="1" t="n"/>
      <c r="N74" s="1" t="n"/>
      <c r="O74" s="1" t="n"/>
      <c r="P74" s="4" t="n"/>
      <c r="Q74" s="1" t="n"/>
      <c r="R74" s="1" t="n"/>
      <c r="S74" s="1" t="n"/>
      <c r="T74" s="1" t="n"/>
      <c r="U74" s="1" t="n"/>
      <c r="V74" s="1" t="n"/>
      <c r="W74" s="1" t="n"/>
      <c r="X74" s="1" t="n"/>
      <c r="Y74" s="1" t="n"/>
      <c r="Z74" s="1" t="n"/>
      <c r="AA74" s="1" t="n"/>
      <c r="AB74" s="1" t="n"/>
      <c r="AC74" s="1" t="n"/>
      <c r="AD74" s="1" t="n"/>
    </row>
    <row r="75" ht="15.75" customHeight="1" s="205">
      <c r="A75" s="1" t="n"/>
      <c r="B75" s="4" t="n"/>
      <c r="C75" s="1" t="n"/>
      <c r="D75" s="1" t="n"/>
      <c r="E75" s="1" t="n"/>
      <c r="F75" s="1" t="n"/>
      <c r="G75" s="1" t="n"/>
      <c r="H75" s="1" t="n"/>
      <c r="I75" s="1" t="n"/>
      <c r="J75" s="1" t="n"/>
      <c r="K75" s="1" t="n"/>
      <c r="L75" s="1" t="n"/>
      <c r="M75" s="1" t="n"/>
      <c r="N75" s="1" t="n"/>
      <c r="O75" s="1" t="n"/>
      <c r="P75" s="4" t="n"/>
      <c r="Q75" s="1" t="n"/>
      <c r="R75" s="1" t="n"/>
      <c r="S75" s="1" t="n"/>
      <c r="T75" s="1" t="n"/>
      <c r="U75" s="1" t="n"/>
      <c r="V75" s="1" t="n"/>
      <c r="W75" s="1" t="n"/>
      <c r="X75" s="1" t="n"/>
      <c r="Y75" s="1" t="n"/>
      <c r="Z75" s="1" t="n"/>
      <c r="AA75" s="1" t="n"/>
      <c r="AB75" s="1" t="n"/>
      <c r="AC75" s="1" t="n"/>
      <c r="AD75" s="1" t="n"/>
    </row>
    <row r="76" ht="15.75" customHeight="1" s="205">
      <c r="A76" s="1" t="n"/>
      <c r="B76" s="4" t="n"/>
      <c r="C76" s="1" t="n"/>
      <c r="D76" s="1" t="n"/>
      <c r="E76" s="1" t="n"/>
      <c r="F76" s="1" t="n"/>
      <c r="G76" s="1" t="n"/>
      <c r="H76" s="1" t="n"/>
      <c r="I76" s="1" t="n"/>
      <c r="J76" s="1" t="n"/>
      <c r="K76" s="1" t="n"/>
      <c r="L76" s="1" t="n"/>
      <c r="M76" s="1" t="n"/>
      <c r="N76" s="1" t="n"/>
      <c r="O76" s="1" t="n"/>
      <c r="P76" s="4" t="n"/>
      <c r="Q76" s="1" t="n"/>
      <c r="R76" s="1" t="n"/>
      <c r="S76" s="1" t="n"/>
      <c r="T76" s="1" t="n"/>
      <c r="U76" s="1" t="n"/>
      <c r="V76" s="1" t="n"/>
      <c r="W76" s="1" t="n"/>
      <c r="X76" s="1" t="n"/>
      <c r="Y76" s="1" t="n"/>
      <c r="Z76" s="1" t="n"/>
      <c r="AA76" s="1" t="n"/>
      <c r="AB76" s="1" t="n"/>
      <c r="AC76" s="1" t="n"/>
      <c r="AD76" s="1" t="n"/>
    </row>
    <row r="77" ht="15.75" customHeight="1" s="205">
      <c r="A77" s="1" t="n"/>
      <c r="B77" s="4" t="n"/>
      <c r="C77" s="1" t="n"/>
      <c r="D77" s="1" t="n"/>
      <c r="E77" s="1" t="n"/>
      <c r="F77" s="1" t="n"/>
      <c r="G77" s="1" t="n"/>
      <c r="H77" s="1" t="n"/>
      <c r="I77" s="1" t="n"/>
      <c r="J77" s="1" t="n"/>
      <c r="K77" s="1" t="n"/>
      <c r="L77" s="1" t="n"/>
      <c r="M77" s="1" t="n"/>
      <c r="N77" s="1" t="n"/>
      <c r="O77" s="1" t="n"/>
      <c r="P77" s="4" t="n"/>
      <c r="Q77" s="1" t="n"/>
      <c r="R77" s="1" t="n"/>
      <c r="S77" s="1" t="n"/>
      <c r="T77" s="1" t="n"/>
      <c r="U77" s="1" t="n"/>
      <c r="V77" s="1" t="n"/>
      <c r="W77" s="1" t="n"/>
      <c r="X77" s="1" t="n"/>
      <c r="Y77" s="1" t="n"/>
      <c r="Z77" s="1" t="n"/>
      <c r="AA77" s="1" t="n"/>
      <c r="AB77" s="1" t="n"/>
      <c r="AC77" s="1" t="n"/>
      <c r="AD77" s="1" t="n"/>
    </row>
    <row r="78" ht="15.75" customHeight="1" s="205">
      <c r="A78" s="1" t="n"/>
      <c r="B78" s="4" t="n"/>
      <c r="C78" s="1" t="n"/>
      <c r="D78" s="1" t="n"/>
      <c r="E78" s="1" t="n"/>
      <c r="F78" s="1" t="n"/>
      <c r="G78" s="1" t="n"/>
      <c r="H78" s="1" t="n"/>
      <c r="I78" s="1" t="n"/>
      <c r="J78" s="1" t="n"/>
      <c r="K78" s="1" t="n"/>
      <c r="L78" s="1" t="n"/>
      <c r="M78" s="1" t="n"/>
      <c r="N78" s="1" t="n"/>
      <c r="O78" s="1" t="n"/>
      <c r="P78" s="4" t="n"/>
      <c r="Q78" s="1" t="n"/>
      <c r="R78" s="1" t="n"/>
      <c r="S78" s="1" t="n"/>
      <c r="T78" s="1" t="n"/>
      <c r="U78" s="1" t="n"/>
      <c r="V78" s="1" t="n"/>
      <c r="W78" s="1" t="n"/>
      <c r="X78" s="1" t="n"/>
      <c r="Y78" s="1" t="n"/>
      <c r="Z78" s="1" t="n"/>
      <c r="AA78" s="1" t="n"/>
      <c r="AB78" s="1" t="n"/>
      <c r="AC78" s="1" t="n"/>
      <c r="AD78" s="1" t="n"/>
    </row>
    <row r="79" ht="15.75" customHeight="1" s="205">
      <c r="A79" s="1" t="n"/>
      <c r="B79" s="4" t="n"/>
      <c r="C79" s="1" t="n"/>
      <c r="D79" s="1" t="n"/>
      <c r="E79" s="1" t="n"/>
      <c r="F79" s="1" t="n"/>
      <c r="G79" s="1" t="n"/>
      <c r="H79" s="1" t="n"/>
      <c r="I79" s="1" t="n"/>
      <c r="J79" s="1" t="n"/>
      <c r="K79" s="1" t="n"/>
      <c r="L79" s="1" t="n"/>
      <c r="M79" s="1" t="n"/>
      <c r="N79" s="1" t="n"/>
      <c r="O79" s="1" t="n"/>
      <c r="P79" s="4" t="n"/>
      <c r="Q79" s="1" t="n"/>
      <c r="R79" s="1" t="n"/>
      <c r="S79" s="1" t="n"/>
      <c r="T79" s="1" t="n"/>
      <c r="U79" s="1" t="n"/>
      <c r="V79" s="1" t="n"/>
      <c r="W79" s="1" t="n"/>
      <c r="X79" s="1" t="n"/>
      <c r="Y79" s="1" t="n"/>
      <c r="Z79" s="1" t="n"/>
      <c r="AA79" s="1" t="n"/>
      <c r="AB79" s="1" t="n"/>
      <c r="AC79" s="1" t="n"/>
      <c r="AD79" s="1" t="n"/>
    </row>
    <row r="80" ht="15.75" customHeight="1" s="205">
      <c r="A80" s="1" t="n"/>
      <c r="B80" s="4" t="n"/>
      <c r="C80" s="1" t="n"/>
      <c r="D80" s="1" t="n"/>
      <c r="E80" s="1" t="n"/>
      <c r="F80" s="1" t="n"/>
      <c r="G80" s="1" t="n"/>
      <c r="H80" s="1" t="n"/>
      <c r="I80" s="1" t="n"/>
      <c r="J80" s="1" t="n"/>
      <c r="K80" s="1" t="n"/>
      <c r="L80" s="1" t="n"/>
      <c r="M80" s="1" t="n"/>
      <c r="N80" s="1" t="n"/>
      <c r="O80" s="1" t="n"/>
      <c r="P80" s="4" t="n"/>
      <c r="Q80" s="1" t="n"/>
      <c r="R80" s="1" t="n"/>
      <c r="S80" s="1" t="n"/>
      <c r="T80" s="1" t="n"/>
      <c r="U80" s="1" t="n"/>
      <c r="V80" s="1" t="n"/>
      <c r="W80" s="1" t="n"/>
      <c r="X80" s="1" t="n"/>
      <c r="Y80" s="1" t="n"/>
      <c r="Z80" s="1" t="n"/>
      <c r="AA80" s="1" t="n"/>
      <c r="AB80" s="1" t="n"/>
      <c r="AC80" s="1" t="n"/>
      <c r="AD80" s="1" t="n"/>
    </row>
    <row r="81" ht="15.75" customHeight="1" s="205">
      <c r="A81" s="1" t="n"/>
      <c r="B81" s="4" t="n"/>
      <c r="C81" s="1" t="n"/>
      <c r="D81" s="1" t="n"/>
      <c r="E81" s="1" t="n"/>
      <c r="F81" s="1" t="n"/>
      <c r="G81" s="1" t="n"/>
      <c r="H81" s="1" t="n"/>
      <c r="I81" s="1" t="n"/>
      <c r="J81" s="1" t="n"/>
      <c r="K81" s="1" t="n"/>
      <c r="L81" s="1" t="n"/>
      <c r="M81" s="1" t="n"/>
      <c r="N81" s="1" t="n"/>
      <c r="O81" s="1" t="n"/>
      <c r="P81" s="4" t="n"/>
      <c r="Q81" s="1" t="n"/>
      <c r="R81" s="1" t="n"/>
      <c r="S81" s="1" t="n"/>
      <c r="T81" s="1" t="n"/>
      <c r="U81" s="1" t="n"/>
      <c r="V81" s="1" t="n"/>
      <c r="W81" s="1" t="n"/>
      <c r="X81" s="1" t="n"/>
      <c r="Y81" s="1" t="n"/>
      <c r="Z81" s="1" t="n"/>
      <c r="AA81" s="1" t="n"/>
      <c r="AB81" s="1" t="n"/>
      <c r="AC81" s="1" t="n"/>
      <c r="AD81" s="1" t="n"/>
    </row>
    <row r="82" ht="15.75" customHeight="1" s="205">
      <c r="A82" s="1" t="n"/>
      <c r="B82" s="4" t="n"/>
      <c r="C82" s="1" t="n"/>
      <c r="D82" s="1" t="n"/>
      <c r="E82" s="1" t="n"/>
      <c r="F82" s="1" t="n"/>
      <c r="G82" s="1" t="n"/>
      <c r="H82" s="1" t="n"/>
      <c r="I82" s="1" t="n"/>
      <c r="J82" s="1" t="n"/>
      <c r="K82" s="1" t="n"/>
      <c r="L82" s="1" t="n"/>
      <c r="M82" s="1" t="n"/>
      <c r="N82" s="1" t="n"/>
      <c r="O82" s="1" t="n"/>
      <c r="P82" s="4" t="n"/>
      <c r="Q82" s="1" t="n"/>
      <c r="R82" s="1" t="n"/>
      <c r="S82" s="1" t="n"/>
      <c r="T82" s="1" t="n"/>
      <c r="U82" s="1" t="n"/>
      <c r="V82" s="1" t="n"/>
      <c r="W82" s="1" t="n"/>
      <c r="X82" s="1" t="n"/>
      <c r="Y82" s="1" t="n"/>
      <c r="Z82" s="1" t="n"/>
      <c r="AA82" s="1" t="n"/>
      <c r="AB82" s="1" t="n"/>
      <c r="AC82" s="1" t="n"/>
      <c r="AD82" s="1" t="n"/>
    </row>
    <row r="83" ht="15.75" customHeight="1" s="205">
      <c r="A83" s="1" t="n"/>
      <c r="B83" s="4" t="n"/>
      <c r="C83" s="1" t="n"/>
      <c r="D83" s="1" t="n"/>
      <c r="E83" s="1" t="n"/>
      <c r="F83" s="1" t="n"/>
      <c r="G83" s="1" t="n"/>
      <c r="H83" s="1" t="n"/>
      <c r="I83" s="1" t="n"/>
      <c r="J83" s="1" t="n"/>
      <c r="K83" s="1" t="n"/>
      <c r="L83" s="1" t="n"/>
      <c r="M83" s="1" t="n"/>
      <c r="N83" s="1" t="n"/>
      <c r="O83" s="1" t="n"/>
      <c r="P83" s="4" t="n"/>
      <c r="Q83" s="1" t="n"/>
      <c r="R83" s="1" t="n"/>
      <c r="S83" s="1" t="n"/>
      <c r="T83" s="1" t="n"/>
      <c r="U83" s="1" t="n"/>
      <c r="V83" s="1" t="n"/>
      <c r="W83" s="1" t="n"/>
      <c r="X83" s="1" t="n"/>
      <c r="Y83" s="1" t="n"/>
      <c r="Z83" s="1" t="n"/>
      <c r="AA83" s="1" t="n"/>
      <c r="AB83" s="1" t="n"/>
      <c r="AC83" s="1" t="n"/>
      <c r="AD83" s="1" t="n"/>
    </row>
    <row r="84" ht="15.75" customHeight="1" s="205">
      <c r="A84" s="1" t="n"/>
      <c r="B84" s="4" t="n"/>
      <c r="C84" s="1" t="n"/>
      <c r="D84" s="1" t="n"/>
      <c r="E84" s="1" t="n"/>
      <c r="F84" s="1" t="n"/>
      <c r="G84" s="1" t="n"/>
      <c r="H84" s="1" t="n"/>
      <c r="I84" s="1" t="n"/>
      <c r="J84" s="1" t="n"/>
      <c r="K84" s="1" t="n"/>
      <c r="L84" s="1" t="n"/>
      <c r="M84" s="1" t="n"/>
      <c r="N84" s="1" t="n"/>
      <c r="O84" s="1" t="n"/>
      <c r="P84" s="4" t="n"/>
      <c r="Q84" s="1" t="n"/>
      <c r="R84" s="1" t="n"/>
      <c r="S84" s="1" t="n"/>
      <c r="T84" s="1" t="n"/>
      <c r="U84" s="1" t="n"/>
      <c r="V84" s="1" t="n"/>
      <c r="W84" s="1" t="n"/>
      <c r="X84" s="1" t="n"/>
      <c r="Y84" s="1" t="n"/>
      <c r="Z84" s="1" t="n"/>
      <c r="AA84" s="1" t="n"/>
      <c r="AB84" s="1" t="n"/>
      <c r="AC84" s="1" t="n"/>
      <c r="AD84" s="1" t="n"/>
    </row>
    <row r="85" ht="15.75" customHeight="1" s="205">
      <c r="A85" s="1" t="n"/>
      <c r="B85" s="4" t="n"/>
      <c r="C85" s="1" t="n"/>
      <c r="D85" s="1" t="n"/>
      <c r="E85" s="1" t="n"/>
      <c r="F85" s="1" t="n"/>
      <c r="G85" s="1" t="n"/>
      <c r="H85" s="1" t="n"/>
      <c r="I85" s="1" t="n"/>
      <c r="J85" s="1" t="n"/>
      <c r="K85" s="1" t="n"/>
      <c r="L85" s="1" t="n"/>
      <c r="M85" s="1" t="n"/>
      <c r="N85" s="1" t="n"/>
      <c r="O85" s="1" t="n"/>
      <c r="P85" s="4" t="n"/>
      <c r="Q85" s="1" t="n"/>
      <c r="R85" s="1" t="n"/>
      <c r="S85" s="1" t="n"/>
      <c r="T85" s="1" t="n"/>
      <c r="U85" s="1" t="n"/>
      <c r="V85" s="1" t="n"/>
      <c r="W85" s="1" t="n"/>
      <c r="X85" s="1" t="n"/>
      <c r="Y85" s="1" t="n"/>
      <c r="Z85" s="1" t="n"/>
      <c r="AA85" s="1" t="n"/>
      <c r="AB85" s="1" t="n"/>
      <c r="AC85" s="1" t="n"/>
      <c r="AD85" s="1" t="n"/>
    </row>
    <row r="86" ht="15.75" customHeight="1" s="205">
      <c r="A86" s="1" t="n"/>
      <c r="B86" s="4" t="n"/>
      <c r="C86" s="1" t="n"/>
      <c r="D86" s="1" t="n"/>
      <c r="E86" s="1" t="n"/>
      <c r="F86" s="1" t="n"/>
      <c r="G86" s="1" t="n"/>
      <c r="H86" s="1" t="n"/>
      <c r="I86" s="1" t="n"/>
      <c r="J86" s="1" t="n"/>
      <c r="K86" s="1" t="n"/>
      <c r="L86" s="1" t="n"/>
      <c r="M86" s="1" t="n"/>
      <c r="N86" s="1" t="n"/>
      <c r="O86" s="1" t="n"/>
      <c r="P86" s="4" t="n"/>
      <c r="Q86" s="1" t="n"/>
      <c r="R86" s="1" t="n"/>
      <c r="S86" s="1" t="n"/>
      <c r="T86" s="1" t="n"/>
      <c r="U86" s="1" t="n"/>
      <c r="V86" s="1" t="n"/>
      <c r="W86" s="1" t="n"/>
      <c r="X86" s="1" t="n"/>
      <c r="Y86" s="1" t="n"/>
      <c r="Z86" s="1" t="n"/>
      <c r="AA86" s="1" t="n"/>
      <c r="AB86" s="1" t="n"/>
      <c r="AC86" s="1" t="n"/>
      <c r="AD86" s="1" t="n"/>
    </row>
    <row r="87" ht="15.75" customHeight="1" s="205">
      <c r="A87" s="1" t="n"/>
      <c r="B87" s="4" t="n"/>
      <c r="C87" s="1" t="n"/>
      <c r="D87" s="1" t="n"/>
      <c r="E87" s="1" t="n"/>
      <c r="F87" s="1" t="n"/>
      <c r="G87" s="1" t="n"/>
      <c r="H87" s="1" t="n"/>
      <c r="I87" s="1" t="n"/>
      <c r="J87" s="1" t="n"/>
      <c r="K87" s="1" t="n"/>
      <c r="L87" s="1" t="n"/>
      <c r="M87" s="1" t="n"/>
      <c r="N87" s="1" t="n"/>
      <c r="O87" s="1" t="n"/>
      <c r="P87" s="4" t="n"/>
      <c r="Q87" s="1" t="n"/>
      <c r="R87" s="1" t="n"/>
      <c r="S87" s="1" t="n"/>
      <c r="T87" s="1" t="n"/>
      <c r="U87" s="1" t="n"/>
      <c r="V87" s="1" t="n"/>
      <c r="W87" s="1" t="n"/>
      <c r="X87" s="1" t="n"/>
      <c r="Y87" s="1" t="n"/>
      <c r="Z87" s="1" t="n"/>
      <c r="AA87" s="1" t="n"/>
      <c r="AB87" s="1" t="n"/>
      <c r="AC87" s="1" t="n"/>
      <c r="AD87" s="1" t="n"/>
    </row>
    <row r="88" ht="15.75" customHeight="1" s="205">
      <c r="A88" s="1" t="n"/>
      <c r="B88" s="4" t="n"/>
      <c r="C88" s="1" t="n"/>
      <c r="D88" s="1" t="n"/>
      <c r="E88" s="1" t="n"/>
      <c r="F88" s="1" t="n"/>
      <c r="G88" s="1" t="n"/>
      <c r="H88" s="1" t="n"/>
      <c r="I88" s="1" t="n"/>
      <c r="J88" s="1" t="n"/>
      <c r="K88" s="1" t="n"/>
      <c r="L88" s="1" t="n"/>
      <c r="M88" s="1" t="n"/>
      <c r="N88" s="1" t="n"/>
      <c r="O88" s="1" t="n"/>
      <c r="P88" s="4" t="n"/>
      <c r="Q88" s="1" t="n"/>
      <c r="R88" s="1" t="n"/>
      <c r="S88" s="1" t="n"/>
      <c r="T88" s="1" t="n"/>
      <c r="U88" s="1" t="n"/>
      <c r="V88" s="1" t="n"/>
      <c r="W88" s="1" t="n"/>
      <c r="X88" s="1" t="n"/>
      <c r="Y88" s="1" t="n"/>
      <c r="Z88" s="1" t="n"/>
      <c r="AA88" s="1" t="n"/>
      <c r="AB88" s="1" t="n"/>
      <c r="AC88" s="1" t="n"/>
      <c r="AD88" s="1" t="n"/>
    </row>
    <row r="89" ht="15.75" customHeight="1" s="205">
      <c r="A89" s="1" t="n"/>
      <c r="B89" s="4" t="n"/>
      <c r="C89" s="1" t="n"/>
      <c r="D89" s="1" t="n"/>
      <c r="E89" s="1" t="n"/>
      <c r="F89" s="1" t="n"/>
      <c r="G89" s="1" t="n"/>
      <c r="H89" s="1" t="n"/>
      <c r="I89" s="1" t="n"/>
      <c r="J89" s="1" t="n"/>
      <c r="K89" s="1" t="n"/>
      <c r="L89" s="1" t="n"/>
      <c r="M89" s="1" t="n"/>
      <c r="N89" s="1" t="n"/>
      <c r="O89" s="1" t="n"/>
      <c r="P89" s="4" t="n"/>
      <c r="Q89" s="1" t="n"/>
      <c r="R89" s="1" t="n"/>
      <c r="S89" s="1" t="n"/>
      <c r="T89" s="1" t="n"/>
      <c r="U89" s="1" t="n"/>
      <c r="V89" s="1" t="n"/>
      <c r="W89" s="1" t="n"/>
      <c r="X89" s="1" t="n"/>
      <c r="Y89" s="1" t="n"/>
      <c r="Z89" s="1" t="n"/>
      <c r="AA89" s="1" t="n"/>
      <c r="AB89" s="1" t="n"/>
      <c r="AC89" s="1" t="n"/>
      <c r="AD89" s="1" t="n"/>
    </row>
    <row r="90" ht="15.75" customHeight="1" s="205">
      <c r="A90" s="1" t="n"/>
      <c r="B90" s="4" t="n"/>
      <c r="C90" s="1" t="n"/>
      <c r="D90" s="1" t="n"/>
      <c r="E90" s="1" t="n"/>
      <c r="F90" s="1" t="n"/>
      <c r="G90" s="1" t="n"/>
      <c r="H90" s="1" t="n"/>
      <c r="I90" s="1" t="n"/>
      <c r="J90" s="1" t="n"/>
      <c r="K90" s="1" t="n"/>
      <c r="L90" s="1" t="n"/>
      <c r="M90" s="1" t="n"/>
      <c r="N90" s="1" t="n"/>
      <c r="O90" s="1" t="n"/>
      <c r="P90" s="4" t="n"/>
      <c r="Q90" s="1" t="n"/>
      <c r="R90" s="1" t="n"/>
      <c r="S90" s="1" t="n"/>
      <c r="T90" s="1" t="n"/>
      <c r="U90" s="1" t="n"/>
      <c r="V90" s="1" t="n"/>
      <c r="W90" s="1" t="n"/>
      <c r="X90" s="1" t="n"/>
      <c r="Y90" s="1" t="n"/>
      <c r="Z90" s="1" t="n"/>
      <c r="AA90" s="1" t="n"/>
      <c r="AB90" s="1" t="n"/>
      <c r="AC90" s="1" t="n"/>
      <c r="AD90" s="1" t="n"/>
    </row>
    <row r="91" ht="15.75" customHeight="1" s="205">
      <c r="A91" s="1" t="n"/>
      <c r="B91" s="4" t="n"/>
      <c r="C91" s="1" t="n"/>
      <c r="D91" s="1" t="n"/>
      <c r="E91" s="1" t="n"/>
      <c r="F91" s="1" t="n"/>
      <c r="G91" s="1" t="n"/>
      <c r="H91" s="1" t="n"/>
      <c r="I91" s="1" t="n"/>
      <c r="J91" s="1" t="n"/>
      <c r="K91" s="1" t="n"/>
      <c r="L91" s="1" t="n"/>
      <c r="M91" s="1" t="n"/>
      <c r="N91" s="1" t="n"/>
      <c r="O91" s="1" t="n"/>
      <c r="P91" s="4" t="n"/>
      <c r="Q91" s="1" t="n"/>
      <c r="R91" s="1" t="n"/>
      <c r="S91" s="1" t="n"/>
      <c r="T91" s="1" t="n"/>
      <c r="U91" s="1" t="n"/>
      <c r="V91" s="1" t="n"/>
      <c r="W91" s="1" t="n"/>
      <c r="X91" s="1" t="n"/>
      <c r="Y91" s="1" t="n"/>
      <c r="Z91" s="1" t="n"/>
      <c r="AA91" s="1" t="n"/>
      <c r="AB91" s="1" t="n"/>
      <c r="AC91" s="1" t="n"/>
      <c r="AD91" s="1" t="n"/>
    </row>
    <row r="92" ht="15.75" customHeight="1" s="205">
      <c r="A92" s="1" t="n"/>
      <c r="B92" s="4" t="n"/>
      <c r="C92" s="1" t="n"/>
      <c r="D92" s="1" t="n"/>
      <c r="E92" s="1" t="n"/>
      <c r="F92" s="1" t="n"/>
      <c r="G92" s="1" t="n"/>
      <c r="H92" s="1" t="n"/>
      <c r="I92" s="1" t="n"/>
      <c r="J92" s="1" t="n"/>
      <c r="K92" s="1" t="n"/>
      <c r="L92" s="1" t="n"/>
      <c r="M92" s="1" t="n"/>
      <c r="N92" s="1" t="n"/>
      <c r="O92" s="1" t="n"/>
      <c r="P92" s="4" t="n"/>
      <c r="Q92" s="1" t="n"/>
      <c r="R92" s="1" t="n"/>
      <c r="S92" s="1" t="n"/>
      <c r="T92" s="1" t="n"/>
      <c r="U92" s="1" t="n"/>
      <c r="V92" s="1" t="n"/>
      <c r="W92" s="1" t="n"/>
      <c r="X92" s="1" t="n"/>
      <c r="Y92" s="1" t="n"/>
      <c r="Z92" s="1" t="n"/>
      <c r="AA92" s="1" t="n"/>
      <c r="AB92" s="1" t="n"/>
      <c r="AC92" s="1" t="n"/>
      <c r="AD92" s="1" t="n"/>
    </row>
    <row r="93" ht="15.75" customHeight="1" s="205">
      <c r="A93" s="1" t="n"/>
      <c r="B93" s="4" t="n"/>
      <c r="C93" s="1" t="n"/>
      <c r="D93" s="1" t="n"/>
      <c r="E93" s="1" t="n"/>
      <c r="F93" s="1" t="n"/>
      <c r="G93" s="1" t="n"/>
      <c r="H93" s="1" t="n"/>
      <c r="I93" s="1" t="n"/>
      <c r="J93" s="1" t="n"/>
      <c r="K93" s="1" t="n"/>
      <c r="L93" s="1" t="n"/>
      <c r="M93" s="1" t="n"/>
      <c r="N93" s="1" t="n"/>
      <c r="O93" s="1" t="n"/>
      <c r="P93" s="4" t="n"/>
      <c r="Q93" s="1" t="n"/>
      <c r="R93" s="1" t="n"/>
      <c r="S93" s="1" t="n"/>
      <c r="T93" s="1" t="n"/>
      <c r="U93" s="1" t="n"/>
      <c r="V93" s="1" t="n"/>
      <c r="W93" s="1" t="n"/>
      <c r="X93" s="1" t="n"/>
      <c r="Y93" s="1" t="n"/>
      <c r="Z93" s="1" t="n"/>
      <c r="AA93" s="1" t="n"/>
      <c r="AB93" s="1" t="n"/>
      <c r="AC93" s="1" t="n"/>
      <c r="AD93" s="1" t="n"/>
    </row>
    <row r="94" ht="15.75" customHeight="1" s="205">
      <c r="A94" s="1" t="n"/>
      <c r="B94" s="4" t="n"/>
      <c r="C94" s="1" t="n"/>
      <c r="D94" s="1" t="n"/>
      <c r="E94" s="1" t="n"/>
      <c r="F94" s="1" t="n"/>
      <c r="G94" s="1" t="n"/>
      <c r="H94" s="1" t="n"/>
      <c r="I94" s="1" t="n"/>
      <c r="J94" s="1" t="n"/>
      <c r="K94" s="1" t="n"/>
      <c r="L94" s="1" t="n"/>
      <c r="M94" s="1" t="n"/>
      <c r="N94" s="1" t="n"/>
      <c r="O94" s="1" t="n"/>
      <c r="P94" s="4" t="n"/>
      <c r="Q94" s="1" t="n"/>
      <c r="R94" s="1" t="n"/>
      <c r="S94" s="1" t="n"/>
      <c r="T94" s="1" t="n"/>
      <c r="U94" s="1" t="n"/>
      <c r="V94" s="1" t="n"/>
      <c r="W94" s="1" t="n"/>
      <c r="X94" s="1" t="n"/>
      <c r="Y94" s="1" t="n"/>
      <c r="Z94" s="1" t="n"/>
      <c r="AA94" s="1" t="n"/>
      <c r="AB94" s="1" t="n"/>
      <c r="AC94" s="1" t="n"/>
      <c r="AD94" s="1" t="n"/>
    </row>
    <row r="95" ht="15.75" customHeight="1" s="205">
      <c r="A95" s="1" t="n"/>
      <c r="B95" s="4" t="n"/>
      <c r="C95" s="1" t="n"/>
      <c r="D95" s="1" t="n"/>
      <c r="E95" s="1" t="n"/>
      <c r="F95" s="1" t="n"/>
      <c r="G95" s="1" t="n"/>
      <c r="H95" s="1" t="n"/>
      <c r="I95" s="1" t="n"/>
      <c r="J95" s="1" t="n"/>
      <c r="K95" s="1" t="n"/>
      <c r="L95" s="1" t="n"/>
      <c r="M95" s="1" t="n"/>
      <c r="N95" s="1" t="n"/>
      <c r="O95" s="1" t="n"/>
      <c r="P95" s="4" t="n"/>
      <c r="Q95" s="1" t="n"/>
      <c r="R95" s="1" t="n"/>
      <c r="S95" s="1" t="n"/>
      <c r="T95" s="1" t="n"/>
      <c r="U95" s="1" t="n"/>
      <c r="V95" s="1" t="n"/>
      <c r="W95" s="1" t="n"/>
      <c r="X95" s="1" t="n"/>
      <c r="Y95" s="1" t="n"/>
      <c r="Z95" s="1" t="n"/>
      <c r="AA95" s="1" t="n"/>
      <c r="AB95" s="1" t="n"/>
      <c r="AC95" s="1" t="n"/>
      <c r="AD95" s="1" t="n"/>
    </row>
    <row r="96" ht="15.75" customHeight="1" s="205">
      <c r="A96" s="1" t="n"/>
      <c r="B96" s="4" t="n"/>
      <c r="C96" s="1" t="n"/>
      <c r="D96" s="1" t="n"/>
      <c r="E96" s="1" t="n"/>
      <c r="F96" s="1" t="n"/>
      <c r="G96" s="1" t="n"/>
      <c r="H96" s="1" t="n"/>
      <c r="I96" s="1" t="n"/>
      <c r="J96" s="1" t="n"/>
      <c r="K96" s="1" t="n"/>
      <c r="L96" s="1" t="n"/>
      <c r="M96" s="1" t="n"/>
      <c r="N96" s="1" t="n"/>
      <c r="O96" s="1" t="n"/>
      <c r="P96" s="4" t="n"/>
      <c r="Q96" s="1" t="n"/>
      <c r="R96" s="1" t="n"/>
      <c r="S96" s="1" t="n"/>
      <c r="T96" s="1" t="n"/>
      <c r="U96" s="1" t="n"/>
      <c r="V96" s="1" t="n"/>
      <c r="W96" s="1" t="n"/>
      <c r="X96" s="1" t="n"/>
      <c r="Y96" s="1" t="n"/>
      <c r="Z96" s="1" t="n"/>
      <c r="AA96" s="1" t="n"/>
      <c r="AB96" s="1" t="n"/>
      <c r="AC96" s="1" t="n"/>
      <c r="AD96" s="1" t="n"/>
    </row>
    <row r="97" ht="15.75" customHeight="1" s="205">
      <c r="A97" s="1" t="n"/>
      <c r="B97" s="4" t="n"/>
      <c r="C97" s="1" t="n"/>
      <c r="D97" s="1" t="n"/>
      <c r="E97" s="1" t="n"/>
      <c r="F97" s="1" t="n"/>
      <c r="G97" s="1" t="n"/>
      <c r="H97" s="1" t="n"/>
      <c r="I97" s="1" t="n"/>
      <c r="J97" s="1" t="n"/>
      <c r="K97" s="1" t="n"/>
      <c r="L97" s="1" t="n"/>
      <c r="M97" s="1" t="n"/>
      <c r="N97" s="1" t="n"/>
      <c r="O97" s="1" t="n"/>
      <c r="P97" s="4" t="n"/>
      <c r="Q97" s="1" t="n"/>
      <c r="R97" s="1" t="n"/>
      <c r="S97" s="1" t="n"/>
      <c r="T97" s="1" t="n"/>
      <c r="U97" s="1" t="n"/>
      <c r="V97" s="1" t="n"/>
      <c r="W97" s="1" t="n"/>
      <c r="X97" s="1" t="n"/>
      <c r="Y97" s="1" t="n"/>
      <c r="Z97" s="1" t="n"/>
      <c r="AA97" s="1" t="n"/>
      <c r="AB97" s="1" t="n"/>
      <c r="AC97" s="1" t="n"/>
      <c r="AD97" s="1" t="n"/>
    </row>
    <row r="98" ht="15.75" customHeight="1" s="205">
      <c r="A98" s="1" t="n"/>
      <c r="B98" s="4" t="n"/>
      <c r="C98" s="1" t="n"/>
      <c r="D98" s="1" t="n"/>
      <c r="E98" s="1" t="n"/>
      <c r="F98" s="1" t="n"/>
      <c r="G98" s="1" t="n"/>
      <c r="H98" s="1" t="n"/>
      <c r="I98" s="1" t="n"/>
      <c r="J98" s="1" t="n"/>
      <c r="K98" s="1" t="n"/>
      <c r="L98" s="1" t="n"/>
      <c r="M98" s="1" t="n"/>
      <c r="N98" s="1" t="n"/>
      <c r="O98" s="1" t="n"/>
      <c r="P98" s="4" t="n"/>
      <c r="Q98" s="1" t="n"/>
      <c r="R98" s="1" t="n"/>
      <c r="S98" s="1" t="n"/>
      <c r="T98" s="1" t="n"/>
      <c r="U98" s="1" t="n"/>
      <c r="V98" s="1" t="n"/>
      <c r="W98" s="1" t="n"/>
      <c r="X98" s="1" t="n"/>
      <c r="Y98" s="1" t="n"/>
      <c r="Z98" s="1" t="n"/>
      <c r="AA98" s="1" t="n"/>
      <c r="AB98" s="1" t="n"/>
      <c r="AC98" s="1" t="n"/>
      <c r="AD98" s="1" t="n"/>
    </row>
    <row r="99" ht="15.75" customHeight="1" s="205">
      <c r="A99" s="1" t="n"/>
      <c r="B99" s="4" t="n"/>
      <c r="C99" s="1" t="n"/>
      <c r="D99" s="1" t="n"/>
      <c r="E99" s="1" t="n"/>
      <c r="F99" s="1" t="n"/>
      <c r="G99" s="1" t="n"/>
      <c r="H99" s="1" t="n"/>
      <c r="I99" s="1" t="n"/>
      <c r="J99" s="1" t="n"/>
      <c r="K99" s="1" t="n"/>
      <c r="L99" s="1" t="n"/>
      <c r="M99" s="1" t="n"/>
      <c r="N99" s="1" t="n"/>
      <c r="O99" s="1" t="n"/>
      <c r="P99" s="4" t="n"/>
      <c r="Q99" s="1" t="n"/>
      <c r="R99" s="1" t="n"/>
      <c r="S99" s="1" t="n"/>
      <c r="T99" s="1" t="n"/>
      <c r="U99" s="1" t="n"/>
      <c r="V99" s="1" t="n"/>
      <c r="W99" s="1" t="n"/>
      <c r="X99" s="1" t="n"/>
      <c r="Y99" s="1" t="n"/>
      <c r="Z99" s="1" t="n"/>
      <c r="AA99" s="1" t="n"/>
      <c r="AB99" s="1" t="n"/>
      <c r="AC99" s="1" t="n"/>
      <c r="AD99" s="1" t="n"/>
    </row>
    <row r="100" ht="15.75" customHeight="1" s="205">
      <c r="A100" s="1" t="n"/>
      <c r="B100" s="4" t="n"/>
      <c r="C100" s="1" t="n"/>
      <c r="D100" s="1" t="n"/>
      <c r="E100" s="1" t="n"/>
      <c r="F100" s="1" t="n"/>
      <c r="G100" s="1" t="n"/>
      <c r="H100" s="1" t="n"/>
      <c r="I100" s="1" t="n"/>
      <c r="J100" s="1" t="n"/>
      <c r="K100" s="1" t="n"/>
      <c r="L100" s="1" t="n"/>
      <c r="M100" s="1" t="n"/>
      <c r="N100" s="1" t="n"/>
      <c r="O100" s="1" t="n"/>
      <c r="P100" s="4" t="n"/>
      <c r="Q100" s="1" t="n"/>
      <c r="R100" s="1" t="n"/>
      <c r="S100" s="1" t="n"/>
      <c r="T100" s="1" t="n"/>
      <c r="U100" s="1" t="n"/>
      <c r="V100" s="1" t="n"/>
      <c r="W100" s="1" t="n"/>
      <c r="X100" s="1" t="n"/>
      <c r="Y100" s="1" t="n"/>
      <c r="Z100" s="1" t="n"/>
      <c r="AA100" s="1" t="n"/>
      <c r="AB100" s="1" t="n"/>
      <c r="AC100" s="1" t="n"/>
      <c r="AD100" s="1" t="n"/>
    </row>
    <row r="101" ht="15.75" customHeight="1" s="205">
      <c r="A101" s="1" t="n"/>
      <c r="B101" s="4" t="n"/>
      <c r="C101" s="1" t="n"/>
      <c r="D101" s="1" t="n"/>
      <c r="E101" s="1" t="n"/>
      <c r="F101" s="1" t="n"/>
      <c r="G101" s="1" t="n"/>
      <c r="H101" s="1" t="n"/>
      <c r="I101" s="1" t="n"/>
      <c r="J101" s="1" t="n"/>
      <c r="K101" s="1" t="n"/>
      <c r="L101" s="1" t="n"/>
      <c r="M101" s="1" t="n"/>
      <c r="N101" s="1" t="n"/>
      <c r="O101" s="1" t="n"/>
      <c r="P101" s="4" t="n"/>
      <c r="Q101" s="1" t="n"/>
      <c r="R101" s="1" t="n"/>
      <c r="S101" s="1" t="n"/>
      <c r="T101" s="1" t="n"/>
      <c r="U101" s="1" t="n"/>
      <c r="V101" s="1" t="n"/>
      <c r="W101" s="1" t="n"/>
      <c r="X101" s="1" t="n"/>
      <c r="Y101" s="1" t="n"/>
      <c r="Z101" s="1" t="n"/>
      <c r="AA101" s="1" t="n"/>
      <c r="AB101" s="1" t="n"/>
      <c r="AC101" s="1" t="n"/>
      <c r="AD101" s="1" t="n"/>
    </row>
    <row r="102" ht="15.75" customHeight="1" s="205">
      <c r="A102" s="1" t="n"/>
      <c r="B102" s="4" t="n"/>
      <c r="C102" s="1" t="n"/>
      <c r="D102" s="1" t="n"/>
      <c r="E102" s="1" t="n"/>
      <c r="F102" s="1" t="n"/>
      <c r="G102" s="1" t="n"/>
      <c r="H102" s="1" t="n"/>
      <c r="I102" s="1" t="n"/>
      <c r="J102" s="1" t="n"/>
      <c r="K102" s="1" t="n"/>
      <c r="L102" s="1" t="n"/>
      <c r="M102" s="1" t="n"/>
      <c r="N102" s="1" t="n"/>
      <c r="O102" s="1" t="n"/>
      <c r="P102" s="4" t="n"/>
      <c r="Q102" s="1" t="n"/>
      <c r="R102" s="1" t="n"/>
      <c r="S102" s="1" t="n"/>
      <c r="T102" s="1" t="n"/>
      <c r="U102" s="1" t="n"/>
      <c r="V102" s="1" t="n"/>
      <c r="W102" s="1" t="n"/>
      <c r="X102" s="1" t="n"/>
      <c r="Y102" s="1" t="n"/>
      <c r="Z102" s="1" t="n"/>
      <c r="AA102" s="1" t="n"/>
      <c r="AB102" s="1" t="n"/>
      <c r="AC102" s="1" t="n"/>
      <c r="AD102" s="1" t="n"/>
    </row>
    <row r="103" ht="15.75" customHeight="1" s="205">
      <c r="A103" s="1" t="n"/>
      <c r="B103" s="4" t="n"/>
      <c r="C103" s="1" t="n"/>
      <c r="D103" s="1" t="n"/>
      <c r="E103" s="1" t="n"/>
      <c r="F103" s="1" t="n"/>
      <c r="G103" s="1" t="n"/>
      <c r="H103" s="1" t="n"/>
      <c r="I103" s="1" t="n"/>
      <c r="J103" s="1" t="n"/>
      <c r="K103" s="1" t="n"/>
      <c r="L103" s="1" t="n"/>
      <c r="M103" s="1" t="n"/>
      <c r="N103" s="1" t="n"/>
      <c r="O103" s="1" t="n"/>
      <c r="P103" s="4" t="n"/>
      <c r="Q103" s="1" t="n"/>
      <c r="R103" s="1" t="n"/>
      <c r="S103" s="1" t="n"/>
      <c r="T103" s="1" t="n"/>
      <c r="U103" s="1" t="n"/>
      <c r="V103" s="1" t="n"/>
      <c r="W103" s="1" t="n"/>
      <c r="X103" s="1" t="n"/>
      <c r="Y103" s="1" t="n"/>
      <c r="Z103" s="1" t="n"/>
      <c r="AA103" s="1" t="n"/>
      <c r="AB103" s="1" t="n"/>
      <c r="AC103" s="1" t="n"/>
      <c r="AD103" s="1" t="n"/>
    </row>
    <row r="104" ht="15.75" customHeight="1" s="205">
      <c r="A104" s="1" t="n"/>
      <c r="B104" s="4" t="n"/>
      <c r="C104" s="1" t="n"/>
      <c r="D104" s="1" t="n"/>
      <c r="E104" s="1" t="n"/>
      <c r="F104" s="1" t="n"/>
      <c r="G104" s="1" t="n"/>
      <c r="H104" s="1" t="n"/>
      <c r="I104" s="1" t="n"/>
      <c r="J104" s="1" t="n"/>
      <c r="K104" s="1" t="n"/>
      <c r="L104" s="1" t="n"/>
      <c r="M104" s="1" t="n"/>
      <c r="N104" s="1" t="n"/>
      <c r="O104" s="1" t="n"/>
      <c r="P104" s="4" t="n"/>
      <c r="Q104" s="1" t="n"/>
      <c r="R104" s="1" t="n"/>
      <c r="S104" s="1" t="n"/>
      <c r="T104" s="1" t="n"/>
      <c r="U104" s="1" t="n"/>
      <c r="V104" s="1" t="n"/>
      <c r="W104" s="1" t="n"/>
      <c r="X104" s="1" t="n"/>
      <c r="Y104" s="1" t="n"/>
      <c r="Z104" s="1" t="n"/>
      <c r="AA104" s="1" t="n"/>
      <c r="AB104" s="1" t="n"/>
      <c r="AC104" s="1" t="n"/>
      <c r="AD104" s="1" t="n"/>
    </row>
    <row r="105" ht="15.75" customHeight="1" s="205">
      <c r="A105" s="1" t="n"/>
      <c r="B105" s="4" t="n"/>
      <c r="C105" s="1" t="n"/>
      <c r="D105" s="1" t="n"/>
      <c r="E105" s="1" t="n"/>
      <c r="F105" s="1" t="n"/>
      <c r="G105" s="1" t="n"/>
      <c r="H105" s="1" t="n"/>
      <c r="I105" s="1" t="n"/>
      <c r="J105" s="1" t="n"/>
      <c r="K105" s="1" t="n"/>
      <c r="L105" s="1" t="n"/>
      <c r="M105" s="1" t="n"/>
      <c r="N105" s="1" t="n"/>
      <c r="O105" s="1" t="n"/>
      <c r="P105" s="4" t="n"/>
      <c r="Q105" s="1" t="n"/>
      <c r="R105" s="1" t="n"/>
      <c r="S105" s="1" t="n"/>
      <c r="T105" s="1" t="n"/>
      <c r="U105" s="1" t="n"/>
      <c r="V105" s="1" t="n"/>
      <c r="W105" s="1" t="n"/>
      <c r="X105" s="1" t="n"/>
      <c r="Y105" s="1" t="n"/>
      <c r="Z105" s="1" t="n"/>
      <c r="AA105" s="1" t="n"/>
      <c r="AB105" s="1" t="n"/>
      <c r="AC105" s="1" t="n"/>
      <c r="AD105" s="1" t="n"/>
    </row>
    <row r="106" ht="15.75" customHeight="1" s="205">
      <c r="A106" s="1" t="n"/>
      <c r="B106" s="4" t="n"/>
      <c r="C106" s="1" t="n"/>
      <c r="D106" s="1" t="n"/>
      <c r="E106" s="1" t="n"/>
      <c r="F106" s="1" t="n"/>
      <c r="G106" s="1" t="n"/>
      <c r="H106" s="1" t="n"/>
      <c r="I106" s="1" t="n"/>
      <c r="J106" s="1" t="n"/>
      <c r="K106" s="1" t="n"/>
      <c r="L106" s="1" t="n"/>
      <c r="M106" s="1" t="n"/>
      <c r="N106" s="1" t="n"/>
      <c r="O106" s="1" t="n"/>
      <c r="P106" s="4" t="n"/>
      <c r="Q106" s="1" t="n"/>
      <c r="R106" s="1" t="n"/>
      <c r="S106" s="1" t="n"/>
      <c r="T106" s="1" t="n"/>
      <c r="U106" s="1" t="n"/>
      <c r="V106" s="1" t="n"/>
      <c r="W106" s="1" t="n"/>
      <c r="X106" s="1" t="n"/>
      <c r="Y106" s="1" t="n"/>
      <c r="Z106" s="1" t="n"/>
      <c r="AA106" s="1" t="n"/>
      <c r="AB106" s="1" t="n"/>
      <c r="AC106" s="1" t="n"/>
      <c r="AD106" s="1" t="n"/>
    </row>
    <row r="107" ht="15.75" customHeight="1" s="205">
      <c r="A107" s="1" t="n"/>
      <c r="B107" s="4" t="n"/>
      <c r="C107" s="1" t="n"/>
      <c r="D107" s="1" t="n"/>
      <c r="E107" s="1" t="n"/>
      <c r="F107" s="1" t="n"/>
      <c r="G107" s="1" t="n"/>
      <c r="H107" s="1" t="n"/>
      <c r="I107" s="1" t="n"/>
      <c r="J107" s="1" t="n"/>
      <c r="K107" s="1" t="n"/>
      <c r="L107" s="1" t="n"/>
      <c r="M107" s="1" t="n"/>
      <c r="N107" s="1" t="n"/>
      <c r="O107" s="1" t="n"/>
      <c r="P107" s="4" t="n"/>
      <c r="Q107" s="1" t="n"/>
      <c r="R107" s="1" t="n"/>
      <c r="S107" s="1" t="n"/>
      <c r="T107" s="1" t="n"/>
      <c r="U107" s="1" t="n"/>
      <c r="V107" s="1" t="n"/>
      <c r="W107" s="1" t="n"/>
      <c r="X107" s="1" t="n"/>
      <c r="Y107" s="1" t="n"/>
      <c r="Z107" s="1" t="n"/>
      <c r="AA107" s="1" t="n"/>
      <c r="AB107" s="1" t="n"/>
      <c r="AC107" s="1" t="n"/>
      <c r="AD107" s="1" t="n"/>
    </row>
    <row r="108" ht="15.75" customHeight="1" s="205">
      <c r="A108" s="1" t="n"/>
      <c r="B108" s="4" t="n"/>
      <c r="C108" s="1" t="n"/>
      <c r="D108" s="1" t="n"/>
      <c r="E108" s="1" t="n"/>
      <c r="F108" s="1" t="n"/>
      <c r="G108" s="1" t="n"/>
      <c r="H108" s="1" t="n"/>
      <c r="I108" s="1" t="n"/>
      <c r="J108" s="1" t="n"/>
      <c r="K108" s="1" t="n"/>
      <c r="L108" s="1" t="n"/>
      <c r="M108" s="1" t="n"/>
      <c r="N108" s="1" t="n"/>
      <c r="O108" s="1" t="n"/>
      <c r="P108" s="4" t="n"/>
      <c r="Q108" s="1" t="n"/>
      <c r="R108" s="1" t="n"/>
      <c r="S108" s="1" t="n"/>
      <c r="T108" s="1" t="n"/>
      <c r="U108" s="1" t="n"/>
      <c r="V108" s="1" t="n"/>
      <c r="W108" s="1" t="n"/>
      <c r="X108" s="1" t="n"/>
      <c r="Y108" s="1" t="n"/>
      <c r="Z108" s="1" t="n"/>
      <c r="AA108" s="1" t="n"/>
      <c r="AB108" s="1" t="n"/>
      <c r="AC108" s="1" t="n"/>
      <c r="AD108" s="1" t="n"/>
    </row>
    <row r="109" ht="15.75" customHeight="1" s="205">
      <c r="A109" s="1" t="n"/>
      <c r="B109" s="4" t="n"/>
      <c r="C109" s="1" t="n"/>
      <c r="D109" s="1" t="n"/>
      <c r="E109" s="1" t="n"/>
      <c r="F109" s="1" t="n"/>
      <c r="G109" s="1" t="n"/>
      <c r="H109" s="1" t="n"/>
      <c r="I109" s="1" t="n"/>
      <c r="J109" s="1" t="n"/>
      <c r="K109" s="1" t="n"/>
      <c r="L109" s="1" t="n"/>
      <c r="M109" s="1" t="n"/>
      <c r="N109" s="1" t="n"/>
      <c r="O109" s="1" t="n"/>
      <c r="P109" s="4" t="n"/>
      <c r="Q109" s="1" t="n"/>
      <c r="R109" s="1" t="n"/>
      <c r="S109" s="1" t="n"/>
      <c r="T109" s="1" t="n"/>
      <c r="U109" s="1" t="n"/>
      <c r="V109" s="1" t="n"/>
      <c r="W109" s="1" t="n"/>
      <c r="X109" s="1" t="n"/>
      <c r="Y109" s="1" t="n"/>
      <c r="Z109" s="1" t="n"/>
      <c r="AA109" s="1" t="n"/>
      <c r="AB109" s="1" t="n"/>
      <c r="AC109" s="1" t="n"/>
      <c r="AD109" s="1" t="n"/>
    </row>
    <row r="110" ht="15.75" customHeight="1" s="205">
      <c r="A110" s="1" t="n"/>
      <c r="B110" s="4" t="n"/>
      <c r="C110" s="1" t="n"/>
      <c r="D110" s="1" t="n"/>
      <c r="E110" s="1" t="n"/>
      <c r="F110" s="1" t="n"/>
      <c r="G110" s="1" t="n"/>
      <c r="H110" s="1" t="n"/>
      <c r="I110" s="1" t="n"/>
      <c r="J110" s="1" t="n"/>
      <c r="K110" s="1" t="n"/>
      <c r="L110" s="1" t="n"/>
      <c r="M110" s="1" t="n"/>
      <c r="N110" s="1" t="n"/>
      <c r="O110" s="1" t="n"/>
      <c r="P110" s="4" t="n"/>
      <c r="Q110" s="1" t="n"/>
      <c r="R110" s="1" t="n"/>
      <c r="S110" s="1" t="n"/>
      <c r="T110" s="1" t="n"/>
      <c r="U110" s="1" t="n"/>
      <c r="V110" s="1" t="n"/>
      <c r="W110" s="1" t="n"/>
      <c r="X110" s="1" t="n"/>
      <c r="Y110" s="1" t="n"/>
      <c r="Z110" s="1" t="n"/>
      <c r="AA110" s="1" t="n"/>
      <c r="AB110" s="1" t="n"/>
      <c r="AC110" s="1" t="n"/>
      <c r="AD110" s="1" t="n"/>
    </row>
    <row r="111" ht="15.75" customHeight="1" s="205">
      <c r="A111" s="1" t="n"/>
      <c r="B111" s="4" t="n"/>
      <c r="C111" s="1" t="n"/>
      <c r="D111" s="1" t="n"/>
      <c r="E111" s="1" t="n"/>
      <c r="F111" s="1" t="n"/>
      <c r="G111" s="1" t="n"/>
      <c r="H111" s="1" t="n"/>
      <c r="I111" s="1" t="n"/>
      <c r="J111" s="1" t="n"/>
      <c r="K111" s="1" t="n"/>
      <c r="L111" s="1" t="n"/>
      <c r="M111" s="1" t="n"/>
      <c r="N111" s="1" t="n"/>
      <c r="O111" s="1" t="n"/>
      <c r="P111" s="4" t="n"/>
      <c r="Q111" s="1" t="n"/>
      <c r="R111" s="1" t="n"/>
      <c r="S111" s="1" t="n"/>
      <c r="T111" s="1" t="n"/>
      <c r="U111" s="1" t="n"/>
      <c r="V111" s="1" t="n"/>
      <c r="W111" s="1" t="n"/>
      <c r="X111" s="1" t="n"/>
      <c r="Y111" s="1" t="n"/>
      <c r="Z111" s="1" t="n"/>
      <c r="AA111" s="1" t="n"/>
      <c r="AB111" s="1" t="n"/>
      <c r="AC111" s="1" t="n"/>
      <c r="AD111" s="1" t="n"/>
    </row>
    <row r="112" ht="15.75" customHeight="1" s="205">
      <c r="A112" s="1" t="n"/>
      <c r="B112" s="4" t="n"/>
      <c r="C112" s="1" t="n"/>
      <c r="D112" s="1" t="n"/>
      <c r="E112" s="1" t="n"/>
      <c r="F112" s="1" t="n"/>
      <c r="G112" s="1" t="n"/>
      <c r="H112" s="1" t="n"/>
      <c r="I112" s="1" t="n"/>
      <c r="J112" s="1" t="n"/>
      <c r="K112" s="1" t="n"/>
      <c r="L112" s="1" t="n"/>
      <c r="M112" s="1" t="n"/>
      <c r="N112" s="1" t="n"/>
      <c r="O112" s="1" t="n"/>
      <c r="P112" s="4" t="n"/>
      <c r="Q112" s="1" t="n"/>
      <c r="R112" s="1" t="n"/>
      <c r="S112" s="1" t="n"/>
      <c r="T112" s="1" t="n"/>
      <c r="U112" s="1" t="n"/>
      <c r="V112" s="1" t="n"/>
      <c r="W112" s="1" t="n"/>
      <c r="X112" s="1" t="n"/>
      <c r="Y112" s="1" t="n"/>
      <c r="Z112" s="1" t="n"/>
      <c r="AA112" s="1" t="n"/>
      <c r="AB112" s="1" t="n"/>
      <c r="AC112" s="1" t="n"/>
      <c r="AD112" s="1" t="n"/>
    </row>
    <row r="113" ht="15.75" customHeight="1" s="205">
      <c r="A113" s="1" t="n"/>
      <c r="B113" s="4" t="n"/>
      <c r="C113" s="1" t="n"/>
      <c r="D113" s="1" t="n"/>
      <c r="E113" s="1" t="n"/>
      <c r="F113" s="1" t="n"/>
      <c r="G113" s="1" t="n"/>
      <c r="H113" s="1" t="n"/>
      <c r="I113" s="1" t="n"/>
      <c r="J113" s="1" t="n"/>
      <c r="K113" s="1" t="n"/>
      <c r="L113" s="1" t="n"/>
      <c r="M113" s="1" t="n"/>
      <c r="N113" s="1" t="n"/>
      <c r="O113" s="1" t="n"/>
      <c r="P113" s="4" t="n"/>
      <c r="Q113" s="1" t="n"/>
      <c r="R113" s="1" t="n"/>
      <c r="S113" s="1" t="n"/>
      <c r="T113" s="1" t="n"/>
      <c r="U113" s="1" t="n"/>
      <c r="V113" s="1" t="n"/>
      <c r="W113" s="1" t="n"/>
      <c r="X113" s="1" t="n"/>
      <c r="Y113" s="1" t="n"/>
      <c r="Z113" s="1" t="n"/>
      <c r="AA113" s="1" t="n"/>
      <c r="AB113" s="1" t="n"/>
      <c r="AC113" s="1" t="n"/>
      <c r="AD113" s="1" t="n"/>
    </row>
    <row r="114" ht="15.75" customHeight="1" s="205">
      <c r="A114" s="1" t="n"/>
      <c r="B114" s="4" t="n"/>
      <c r="C114" s="1" t="n"/>
      <c r="D114" s="1" t="n"/>
      <c r="E114" s="1" t="n"/>
      <c r="F114" s="1" t="n"/>
      <c r="G114" s="1" t="n"/>
      <c r="H114" s="1" t="n"/>
      <c r="I114" s="1" t="n"/>
      <c r="J114" s="1" t="n"/>
      <c r="K114" s="1" t="n"/>
      <c r="L114" s="1" t="n"/>
      <c r="M114" s="1" t="n"/>
      <c r="N114" s="1" t="n"/>
      <c r="O114" s="1" t="n"/>
      <c r="P114" s="4" t="n"/>
      <c r="Q114" s="1" t="n"/>
      <c r="R114" s="1" t="n"/>
      <c r="S114" s="1" t="n"/>
      <c r="T114" s="1" t="n"/>
      <c r="U114" s="1" t="n"/>
      <c r="V114" s="1" t="n"/>
      <c r="W114" s="1" t="n"/>
      <c r="X114" s="1" t="n"/>
      <c r="Y114" s="1" t="n"/>
      <c r="Z114" s="1" t="n"/>
      <c r="AA114" s="1" t="n"/>
      <c r="AB114" s="1" t="n"/>
      <c r="AC114" s="1" t="n"/>
      <c r="AD114" s="1" t="n"/>
    </row>
    <row r="115" ht="15.75" customHeight="1" s="205">
      <c r="A115" s="1" t="n"/>
      <c r="B115" s="4" t="n"/>
      <c r="C115" s="1" t="n"/>
      <c r="D115" s="1" t="n"/>
      <c r="E115" s="1" t="n"/>
      <c r="F115" s="1" t="n"/>
      <c r="G115" s="1" t="n"/>
      <c r="H115" s="1" t="n"/>
      <c r="I115" s="1" t="n"/>
      <c r="J115" s="1" t="n"/>
      <c r="K115" s="1" t="n"/>
      <c r="L115" s="1" t="n"/>
      <c r="M115" s="1" t="n"/>
      <c r="N115" s="1" t="n"/>
      <c r="O115" s="1" t="n"/>
      <c r="P115" s="4" t="n"/>
      <c r="Q115" s="1" t="n"/>
      <c r="R115" s="1" t="n"/>
      <c r="S115" s="1" t="n"/>
      <c r="T115" s="1" t="n"/>
      <c r="U115" s="1" t="n"/>
      <c r="V115" s="1" t="n"/>
      <c r="W115" s="1" t="n"/>
      <c r="X115" s="1" t="n"/>
      <c r="Y115" s="1" t="n"/>
      <c r="Z115" s="1" t="n"/>
      <c r="AA115" s="1" t="n"/>
      <c r="AB115" s="1" t="n"/>
      <c r="AC115" s="1" t="n"/>
      <c r="AD115" s="1" t="n"/>
    </row>
    <row r="116" ht="15.75" customHeight="1" s="205">
      <c r="A116" s="1" t="n"/>
      <c r="B116" s="4" t="n"/>
      <c r="C116" s="1" t="n"/>
      <c r="D116" s="1" t="n"/>
      <c r="E116" s="1" t="n"/>
      <c r="F116" s="1" t="n"/>
      <c r="G116" s="1" t="n"/>
      <c r="H116" s="1" t="n"/>
      <c r="I116" s="1" t="n"/>
      <c r="J116" s="1" t="n"/>
      <c r="K116" s="1" t="n"/>
      <c r="L116" s="1" t="n"/>
      <c r="M116" s="1" t="n"/>
      <c r="N116" s="1" t="n"/>
      <c r="O116" s="1" t="n"/>
      <c r="P116" s="4" t="n"/>
      <c r="Q116" s="1" t="n"/>
      <c r="R116" s="1" t="n"/>
      <c r="S116" s="1" t="n"/>
      <c r="T116" s="1" t="n"/>
      <c r="U116" s="1" t="n"/>
      <c r="V116" s="1" t="n"/>
      <c r="W116" s="1" t="n"/>
      <c r="X116" s="1" t="n"/>
      <c r="Y116" s="1" t="n"/>
      <c r="Z116" s="1" t="n"/>
      <c r="AA116" s="1" t="n"/>
      <c r="AB116" s="1" t="n"/>
      <c r="AC116" s="1" t="n"/>
      <c r="AD116" s="1" t="n"/>
    </row>
    <row r="117" ht="15.75" customHeight="1" s="205">
      <c r="A117" s="1" t="n"/>
      <c r="B117" s="4" t="n"/>
      <c r="C117" s="1" t="n"/>
      <c r="D117" s="1" t="n"/>
      <c r="E117" s="1" t="n"/>
      <c r="F117" s="1" t="n"/>
      <c r="G117" s="1" t="n"/>
      <c r="H117" s="1" t="n"/>
      <c r="I117" s="1" t="n"/>
      <c r="J117" s="1" t="n"/>
      <c r="K117" s="1" t="n"/>
      <c r="L117" s="1" t="n"/>
      <c r="M117" s="1" t="n"/>
      <c r="N117" s="1" t="n"/>
      <c r="O117" s="1" t="n"/>
      <c r="P117" s="4" t="n"/>
      <c r="Q117" s="1" t="n"/>
      <c r="R117" s="1" t="n"/>
      <c r="S117" s="1" t="n"/>
      <c r="T117" s="1" t="n"/>
      <c r="U117" s="1" t="n"/>
      <c r="V117" s="1" t="n"/>
      <c r="W117" s="1" t="n"/>
      <c r="X117" s="1" t="n"/>
      <c r="Y117" s="1" t="n"/>
      <c r="Z117" s="1" t="n"/>
      <c r="AA117" s="1" t="n"/>
      <c r="AB117" s="1" t="n"/>
      <c r="AC117" s="1" t="n"/>
      <c r="AD117" s="1" t="n"/>
    </row>
    <row r="118" ht="15.75" customHeight="1" s="205">
      <c r="A118" s="1" t="n"/>
      <c r="B118" s="4" t="n"/>
      <c r="C118" s="1" t="n"/>
      <c r="D118" s="1" t="n"/>
      <c r="E118" s="1" t="n"/>
      <c r="F118" s="1" t="n"/>
      <c r="G118" s="1" t="n"/>
      <c r="H118" s="1" t="n"/>
      <c r="I118" s="1" t="n"/>
      <c r="J118" s="1" t="n"/>
      <c r="K118" s="1" t="n"/>
      <c r="L118" s="1" t="n"/>
      <c r="M118" s="1" t="n"/>
      <c r="N118" s="1" t="n"/>
      <c r="O118" s="1" t="n"/>
      <c r="P118" s="4" t="n"/>
      <c r="Q118" s="1" t="n"/>
      <c r="R118" s="1" t="n"/>
      <c r="S118" s="1" t="n"/>
      <c r="T118" s="1" t="n"/>
      <c r="U118" s="1" t="n"/>
      <c r="V118" s="1" t="n"/>
      <c r="W118" s="1" t="n"/>
      <c r="X118" s="1" t="n"/>
      <c r="Y118" s="1" t="n"/>
      <c r="Z118" s="1" t="n"/>
      <c r="AA118" s="1" t="n"/>
      <c r="AB118" s="1" t="n"/>
      <c r="AC118" s="1" t="n"/>
      <c r="AD118" s="1" t="n"/>
    </row>
    <row r="119" ht="15.75" customHeight="1" s="205">
      <c r="A119" s="1" t="n"/>
      <c r="B119" s="4" t="n"/>
      <c r="C119" s="1" t="n"/>
      <c r="D119" s="1" t="n"/>
      <c r="E119" s="1" t="n"/>
      <c r="F119" s="1" t="n"/>
      <c r="G119" s="1" t="n"/>
      <c r="H119" s="1" t="n"/>
      <c r="I119" s="1" t="n"/>
      <c r="J119" s="1" t="n"/>
      <c r="K119" s="1" t="n"/>
      <c r="L119" s="1" t="n"/>
      <c r="M119" s="1" t="n"/>
      <c r="N119" s="1" t="n"/>
      <c r="O119" s="1" t="n"/>
      <c r="P119" s="4" t="n"/>
      <c r="Q119" s="1" t="n"/>
      <c r="R119" s="1" t="n"/>
      <c r="S119" s="1" t="n"/>
      <c r="T119" s="1" t="n"/>
      <c r="U119" s="1" t="n"/>
      <c r="V119" s="1" t="n"/>
      <c r="W119" s="1" t="n"/>
      <c r="X119" s="1" t="n"/>
      <c r="Y119" s="1" t="n"/>
      <c r="Z119" s="1" t="n"/>
      <c r="AA119" s="1" t="n"/>
      <c r="AB119" s="1" t="n"/>
      <c r="AC119" s="1" t="n"/>
      <c r="AD119" s="1" t="n"/>
    </row>
    <row r="120" ht="15.75" customHeight="1" s="205">
      <c r="A120" s="1" t="n"/>
      <c r="B120" s="4" t="n"/>
      <c r="C120" s="1" t="n"/>
      <c r="D120" s="1" t="n"/>
      <c r="E120" s="1" t="n"/>
      <c r="F120" s="1" t="n"/>
      <c r="G120" s="1" t="n"/>
      <c r="H120" s="1" t="n"/>
      <c r="I120" s="1" t="n"/>
      <c r="J120" s="1" t="n"/>
      <c r="K120" s="1" t="n"/>
      <c r="L120" s="1" t="n"/>
      <c r="M120" s="1" t="n"/>
      <c r="N120" s="1" t="n"/>
      <c r="O120" s="1" t="n"/>
      <c r="P120" s="4" t="n"/>
      <c r="Q120" s="1" t="n"/>
      <c r="R120" s="1" t="n"/>
      <c r="S120" s="1" t="n"/>
      <c r="T120" s="1" t="n"/>
      <c r="U120" s="1" t="n"/>
      <c r="V120" s="1" t="n"/>
      <c r="W120" s="1" t="n"/>
      <c r="X120" s="1" t="n"/>
      <c r="Y120" s="1" t="n"/>
      <c r="Z120" s="1" t="n"/>
      <c r="AA120" s="1" t="n"/>
      <c r="AB120" s="1" t="n"/>
      <c r="AC120" s="1" t="n"/>
      <c r="AD120" s="1" t="n"/>
    </row>
    <row r="121" ht="15.75" customHeight="1" s="205">
      <c r="A121" s="1" t="n"/>
      <c r="B121" s="4" t="n"/>
      <c r="C121" s="1" t="n"/>
      <c r="D121" s="1" t="n"/>
      <c r="E121" s="1" t="n"/>
      <c r="F121" s="1" t="n"/>
      <c r="G121" s="1" t="n"/>
      <c r="H121" s="1" t="n"/>
      <c r="I121" s="1" t="n"/>
      <c r="J121" s="1" t="n"/>
      <c r="K121" s="1" t="n"/>
      <c r="L121" s="1" t="n"/>
      <c r="M121" s="1" t="n"/>
      <c r="N121" s="1" t="n"/>
      <c r="O121" s="1" t="n"/>
      <c r="P121" s="4" t="n"/>
      <c r="Q121" s="1" t="n"/>
      <c r="R121" s="1" t="n"/>
      <c r="S121" s="1" t="n"/>
      <c r="T121" s="1" t="n"/>
      <c r="U121" s="1" t="n"/>
      <c r="V121" s="1" t="n"/>
      <c r="W121" s="1" t="n"/>
      <c r="X121" s="1" t="n"/>
      <c r="Y121" s="1" t="n"/>
      <c r="Z121" s="1" t="n"/>
      <c r="AA121" s="1" t="n"/>
      <c r="AB121" s="1" t="n"/>
      <c r="AC121" s="1" t="n"/>
      <c r="AD121" s="1" t="n"/>
    </row>
    <row r="122" ht="15.75" customHeight="1" s="205">
      <c r="A122" s="1" t="n"/>
      <c r="B122" s="4" t="n"/>
      <c r="C122" s="1" t="n"/>
      <c r="D122" s="1" t="n"/>
      <c r="E122" s="1" t="n"/>
      <c r="F122" s="1" t="n"/>
      <c r="G122" s="1" t="n"/>
      <c r="H122" s="1" t="n"/>
      <c r="I122" s="1" t="n"/>
      <c r="J122" s="1" t="n"/>
      <c r="K122" s="1" t="n"/>
      <c r="L122" s="1" t="n"/>
      <c r="M122" s="1" t="n"/>
      <c r="N122" s="1" t="n"/>
      <c r="O122" s="1" t="n"/>
      <c r="P122" s="4" t="n"/>
      <c r="Q122" s="1" t="n"/>
      <c r="R122" s="1" t="n"/>
      <c r="S122" s="1" t="n"/>
      <c r="T122" s="1" t="n"/>
      <c r="U122" s="1" t="n"/>
      <c r="V122" s="1" t="n"/>
      <c r="W122" s="1" t="n"/>
      <c r="X122" s="1" t="n"/>
      <c r="Y122" s="1" t="n"/>
      <c r="Z122" s="1" t="n"/>
      <c r="AA122" s="1" t="n"/>
      <c r="AB122" s="1" t="n"/>
      <c r="AC122" s="1" t="n"/>
      <c r="AD122" s="1" t="n"/>
    </row>
    <row r="123" ht="15.75" customHeight="1" s="205">
      <c r="A123" s="1" t="n"/>
      <c r="B123" s="4" t="n"/>
      <c r="C123" s="1" t="n"/>
      <c r="D123" s="1" t="n"/>
      <c r="E123" s="1" t="n"/>
      <c r="F123" s="1" t="n"/>
      <c r="G123" s="1" t="n"/>
      <c r="H123" s="1" t="n"/>
      <c r="I123" s="1" t="n"/>
      <c r="J123" s="1" t="n"/>
      <c r="K123" s="1" t="n"/>
      <c r="L123" s="1" t="n"/>
      <c r="M123" s="1" t="n"/>
      <c r="N123" s="1" t="n"/>
      <c r="O123" s="1" t="n"/>
      <c r="P123" s="4" t="n"/>
      <c r="Q123" s="1" t="n"/>
      <c r="R123" s="1" t="n"/>
      <c r="S123" s="1" t="n"/>
      <c r="T123" s="1" t="n"/>
      <c r="U123" s="1" t="n"/>
      <c r="V123" s="1" t="n"/>
      <c r="W123" s="1" t="n"/>
      <c r="X123" s="1" t="n"/>
      <c r="Y123" s="1" t="n"/>
      <c r="Z123" s="1" t="n"/>
      <c r="AA123" s="1" t="n"/>
      <c r="AB123" s="1" t="n"/>
      <c r="AC123" s="1" t="n"/>
      <c r="AD123" s="1" t="n"/>
    </row>
    <row r="124" ht="15.75" customHeight="1" s="205">
      <c r="A124" s="1" t="n"/>
      <c r="B124" s="4" t="n"/>
      <c r="C124" s="1" t="n"/>
      <c r="D124" s="1" t="n"/>
      <c r="E124" s="1" t="n"/>
      <c r="F124" s="1" t="n"/>
      <c r="G124" s="1" t="n"/>
      <c r="H124" s="1" t="n"/>
      <c r="I124" s="1" t="n"/>
      <c r="J124" s="1" t="n"/>
      <c r="K124" s="1" t="n"/>
      <c r="L124" s="1" t="n"/>
      <c r="M124" s="1" t="n"/>
      <c r="N124" s="1" t="n"/>
      <c r="O124" s="1" t="n"/>
      <c r="P124" s="4" t="n"/>
      <c r="Q124" s="1" t="n"/>
      <c r="R124" s="1" t="n"/>
      <c r="S124" s="1" t="n"/>
      <c r="T124" s="1" t="n"/>
      <c r="U124" s="1" t="n"/>
      <c r="V124" s="1" t="n"/>
      <c r="W124" s="1" t="n"/>
      <c r="X124" s="1" t="n"/>
      <c r="Y124" s="1" t="n"/>
      <c r="Z124" s="1" t="n"/>
      <c r="AA124" s="1" t="n"/>
      <c r="AB124" s="1" t="n"/>
      <c r="AC124" s="1" t="n"/>
      <c r="AD124" s="1" t="n"/>
    </row>
    <row r="125" ht="15.75" customHeight="1" s="205">
      <c r="A125" s="1" t="n"/>
      <c r="B125" s="4" t="n"/>
      <c r="C125" s="1" t="n"/>
      <c r="D125" s="1" t="n"/>
      <c r="E125" s="1" t="n"/>
      <c r="F125" s="1" t="n"/>
      <c r="G125" s="1" t="n"/>
      <c r="H125" s="1" t="n"/>
      <c r="I125" s="1" t="n"/>
      <c r="J125" s="1" t="n"/>
      <c r="K125" s="1" t="n"/>
      <c r="L125" s="1" t="n"/>
      <c r="M125" s="1" t="n"/>
      <c r="N125" s="1" t="n"/>
      <c r="O125" s="1" t="n"/>
      <c r="P125" s="4" t="n"/>
      <c r="Q125" s="1" t="n"/>
      <c r="R125" s="1" t="n"/>
      <c r="S125" s="1" t="n"/>
      <c r="T125" s="1" t="n"/>
      <c r="U125" s="1" t="n"/>
      <c r="V125" s="1" t="n"/>
      <c r="W125" s="1" t="n"/>
      <c r="X125" s="1" t="n"/>
      <c r="Y125" s="1" t="n"/>
      <c r="Z125" s="1" t="n"/>
      <c r="AA125" s="1" t="n"/>
      <c r="AB125" s="1" t="n"/>
      <c r="AC125" s="1" t="n"/>
      <c r="AD125" s="1" t="n"/>
    </row>
    <row r="126" ht="15.75" customHeight="1" s="205">
      <c r="A126" s="1" t="n"/>
      <c r="B126" s="4" t="n"/>
      <c r="C126" s="1" t="n"/>
      <c r="D126" s="1" t="n"/>
      <c r="E126" s="1" t="n"/>
      <c r="F126" s="1" t="n"/>
      <c r="G126" s="1" t="n"/>
      <c r="H126" s="1" t="n"/>
      <c r="I126" s="1" t="n"/>
      <c r="J126" s="1" t="n"/>
      <c r="K126" s="1" t="n"/>
      <c r="L126" s="1" t="n"/>
      <c r="M126" s="1" t="n"/>
      <c r="N126" s="1" t="n"/>
      <c r="O126" s="1" t="n"/>
      <c r="P126" s="4" t="n"/>
      <c r="Q126" s="1" t="n"/>
      <c r="R126" s="1" t="n"/>
      <c r="S126" s="1" t="n"/>
      <c r="T126" s="1" t="n"/>
      <c r="U126" s="1" t="n"/>
      <c r="V126" s="1" t="n"/>
      <c r="W126" s="1" t="n"/>
      <c r="X126" s="1" t="n"/>
      <c r="Y126" s="1" t="n"/>
      <c r="Z126" s="1" t="n"/>
      <c r="AA126" s="1" t="n"/>
      <c r="AB126" s="1" t="n"/>
      <c r="AC126" s="1" t="n"/>
      <c r="AD126" s="1" t="n"/>
    </row>
    <row r="127" ht="15.75" customHeight="1" s="205">
      <c r="A127" s="1" t="n"/>
      <c r="B127" s="4" t="n"/>
      <c r="C127" s="1" t="n"/>
      <c r="D127" s="1" t="n"/>
      <c r="E127" s="1" t="n"/>
      <c r="F127" s="1" t="n"/>
      <c r="G127" s="1" t="n"/>
      <c r="H127" s="1" t="n"/>
      <c r="I127" s="1" t="n"/>
      <c r="J127" s="1" t="n"/>
      <c r="K127" s="1" t="n"/>
      <c r="L127" s="1" t="n"/>
      <c r="M127" s="1" t="n"/>
      <c r="N127" s="1" t="n"/>
      <c r="O127" s="1" t="n"/>
      <c r="P127" s="4" t="n"/>
      <c r="Q127" s="1" t="n"/>
      <c r="R127" s="1" t="n"/>
      <c r="S127" s="1" t="n"/>
      <c r="T127" s="1" t="n"/>
      <c r="U127" s="1" t="n"/>
      <c r="V127" s="1" t="n"/>
      <c r="W127" s="1" t="n"/>
      <c r="X127" s="1" t="n"/>
      <c r="Y127" s="1" t="n"/>
      <c r="Z127" s="1" t="n"/>
      <c r="AA127" s="1" t="n"/>
      <c r="AB127" s="1" t="n"/>
      <c r="AC127" s="1" t="n"/>
      <c r="AD127" s="1" t="n"/>
    </row>
    <row r="128" ht="15.75" customHeight="1" s="205">
      <c r="A128" s="1" t="n"/>
      <c r="B128" s="4" t="n"/>
      <c r="C128" s="1" t="n"/>
      <c r="D128" s="1" t="n"/>
      <c r="E128" s="1" t="n"/>
      <c r="F128" s="1" t="n"/>
      <c r="G128" s="1" t="n"/>
      <c r="H128" s="1" t="n"/>
      <c r="I128" s="1" t="n"/>
      <c r="J128" s="1" t="n"/>
      <c r="K128" s="1" t="n"/>
      <c r="L128" s="1" t="n"/>
      <c r="M128" s="1" t="n"/>
      <c r="N128" s="1" t="n"/>
      <c r="O128" s="1" t="n"/>
      <c r="P128" s="4" t="n"/>
      <c r="Q128" s="1" t="n"/>
      <c r="R128" s="1" t="n"/>
      <c r="S128" s="1" t="n"/>
      <c r="T128" s="1" t="n"/>
      <c r="U128" s="1" t="n"/>
      <c r="V128" s="1" t="n"/>
      <c r="W128" s="1" t="n"/>
      <c r="X128" s="1" t="n"/>
      <c r="Y128" s="1" t="n"/>
      <c r="Z128" s="1" t="n"/>
      <c r="AA128" s="1" t="n"/>
      <c r="AB128" s="1" t="n"/>
      <c r="AC128" s="1" t="n"/>
      <c r="AD128" s="1" t="n"/>
    </row>
    <row r="129" ht="15.75" customHeight="1" s="205">
      <c r="A129" s="1" t="n"/>
      <c r="B129" s="4" t="n"/>
      <c r="C129" s="1" t="n"/>
      <c r="D129" s="1" t="n"/>
      <c r="E129" s="1" t="n"/>
      <c r="F129" s="1" t="n"/>
      <c r="G129" s="1" t="n"/>
      <c r="H129" s="1" t="n"/>
      <c r="I129" s="1" t="n"/>
      <c r="J129" s="1" t="n"/>
      <c r="K129" s="1" t="n"/>
      <c r="L129" s="1" t="n"/>
      <c r="M129" s="1" t="n"/>
      <c r="N129" s="1" t="n"/>
      <c r="O129" s="1" t="n"/>
      <c r="P129" s="4" t="n"/>
      <c r="Q129" s="1" t="n"/>
      <c r="R129" s="1" t="n"/>
      <c r="S129" s="1" t="n"/>
      <c r="T129" s="1" t="n"/>
      <c r="U129" s="1" t="n"/>
      <c r="V129" s="1" t="n"/>
      <c r="W129" s="1" t="n"/>
      <c r="X129" s="1" t="n"/>
      <c r="Y129" s="1" t="n"/>
      <c r="Z129" s="1" t="n"/>
      <c r="AA129" s="1" t="n"/>
      <c r="AB129" s="1" t="n"/>
      <c r="AC129" s="1" t="n"/>
      <c r="AD129" s="1" t="n"/>
    </row>
    <row r="130" ht="15.75" customHeight="1" s="205">
      <c r="A130" s="1" t="n"/>
      <c r="B130" s="4" t="n"/>
      <c r="C130" s="1" t="n"/>
      <c r="D130" s="1" t="n"/>
      <c r="E130" s="1" t="n"/>
      <c r="F130" s="1" t="n"/>
      <c r="G130" s="1" t="n"/>
      <c r="H130" s="1" t="n"/>
      <c r="I130" s="1" t="n"/>
      <c r="J130" s="1" t="n"/>
      <c r="K130" s="1" t="n"/>
      <c r="L130" s="1" t="n"/>
      <c r="M130" s="1" t="n"/>
      <c r="N130" s="1" t="n"/>
      <c r="O130" s="1" t="n"/>
      <c r="P130" s="4" t="n"/>
      <c r="Q130" s="1" t="n"/>
      <c r="R130" s="1" t="n"/>
      <c r="S130" s="1" t="n"/>
      <c r="T130" s="1" t="n"/>
      <c r="U130" s="1" t="n"/>
      <c r="V130" s="1" t="n"/>
      <c r="W130" s="1" t="n"/>
      <c r="X130" s="1" t="n"/>
      <c r="Y130" s="1" t="n"/>
      <c r="Z130" s="1" t="n"/>
      <c r="AA130" s="1" t="n"/>
      <c r="AB130" s="1" t="n"/>
      <c r="AC130" s="1" t="n"/>
      <c r="AD130" s="1" t="n"/>
    </row>
    <row r="131" ht="15.75" customHeight="1" s="205">
      <c r="A131" s="1" t="n"/>
      <c r="B131" s="4" t="n"/>
      <c r="C131" s="1" t="n"/>
      <c r="D131" s="1" t="n"/>
      <c r="E131" s="1" t="n"/>
      <c r="F131" s="1" t="n"/>
      <c r="G131" s="1" t="n"/>
      <c r="H131" s="1" t="n"/>
      <c r="I131" s="1" t="n"/>
      <c r="J131" s="1" t="n"/>
      <c r="K131" s="1" t="n"/>
      <c r="L131" s="1" t="n"/>
      <c r="M131" s="1" t="n"/>
      <c r="N131" s="1" t="n"/>
      <c r="O131" s="1" t="n"/>
      <c r="P131" s="4" t="n"/>
      <c r="Q131" s="1" t="n"/>
      <c r="R131" s="1" t="n"/>
      <c r="S131" s="1" t="n"/>
      <c r="T131" s="1" t="n"/>
      <c r="U131" s="1" t="n"/>
      <c r="V131" s="1" t="n"/>
      <c r="W131" s="1" t="n"/>
      <c r="X131" s="1" t="n"/>
      <c r="Y131" s="1" t="n"/>
      <c r="Z131" s="1" t="n"/>
      <c r="AA131" s="1" t="n"/>
      <c r="AB131" s="1" t="n"/>
      <c r="AC131" s="1" t="n"/>
      <c r="AD131" s="1" t="n"/>
    </row>
    <row r="132" ht="15.75" customHeight="1" s="205">
      <c r="A132" s="1" t="n"/>
      <c r="B132" s="4" t="n"/>
      <c r="C132" s="1" t="n"/>
      <c r="D132" s="1" t="n"/>
      <c r="E132" s="1" t="n"/>
      <c r="F132" s="1" t="n"/>
      <c r="G132" s="1" t="n"/>
      <c r="H132" s="1" t="n"/>
      <c r="I132" s="1" t="n"/>
      <c r="J132" s="1" t="n"/>
      <c r="K132" s="1" t="n"/>
      <c r="L132" s="1" t="n"/>
      <c r="M132" s="1" t="n"/>
      <c r="N132" s="1" t="n"/>
      <c r="O132" s="1" t="n"/>
      <c r="P132" s="4" t="n"/>
      <c r="Q132" s="1" t="n"/>
      <c r="R132" s="1" t="n"/>
      <c r="S132" s="1" t="n"/>
      <c r="T132" s="1" t="n"/>
      <c r="U132" s="1" t="n"/>
      <c r="V132" s="1" t="n"/>
      <c r="W132" s="1" t="n"/>
      <c r="X132" s="1" t="n"/>
      <c r="Y132" s="1" t="n"/>
      <c r="Z132" s="1" t="n"/>
      <c r="AA132" s="1" t="n"/>
      <c r="AB132" s="1" t="n"/>
      <c r="AC132" s="1" t="n"/>
      <c r="AD132" s="1" t="n"/>
    </row>
    <row r="133" ht="15.75" customHeight="1" s="205">
      <c r="A133" s="1" t="n"/>
      <c r="B133" s="4" t="n"/>
      <c r="C133" s="1" t="n"/>
      <c r="D133" s="1" t="n"/>
      <c r="E133" s="1" t="n"/>
      <c r="F133" s="1" t="n"/>
      <c r="G133" s="1" t="n"/>
      <c r="H133" s="1" t="n"/>
      <c r="I133" s="1" t="n"/>
      <c r="J133" s="1" t="n"/>
      <c r="K133" s="1" t="n"/>
      <c r="L133" s="1" t="n"/>
      <c r="M133" s="1" t="n"/>
      <c r="N133" s="1" t="n"/>
      <c r="O133" s="1" t="n"/>
      <c r="P133" s="4" t="n"/>
      <c r="Q133" s="1" t="n"/>
      <c r="R133" s="1" t="n"/>
      <c r="S133" s="1" t="n"/>
      <c r="T133" s="1" t="n"/>
      <c r="U133" s="1" t="n"/>
      <c r="V133" s="1" t="n"/>
      <c r="W133" s="1" t="n"/>
      <c r="X133" s="1" t="n"/>
      <c r="Y133" s="1" t="n"/>
      <c r="Z133" s="1" t="n"/>
      <c r="AA133" s="1" t="n"/>
      <c r="AB133" s="1" t="n"/>
      <c r="AC133" s="1" t="n"/>
      <c r="AD133" s="1" t="n"/>
    </row>
    <row r="134" ht="15.75" customHeight="1" s="205">
      <c r="A134" s="1" t="n"/>
      <c r="B134" s="4" t="n"/>
      <c r="C134" s="1" t="n"/>
      <c r="D134" s="1" t="n"/>
      <c r="E134" s="1" t="n"/>
      <c r="F134" s="1" t="n"/>
      <c r="G134" s="1" t="n"/>
      <c r="H134" s="1" t="n"/>
      <c r="I134" s="1" t="n"/>
      <c r="J134" s="1" t="n"/>
      <c r="K134" s="1" t="n"/>
      <c r="L134" s="1" t="n"/>
      <c r="M134" s="1" t="n"/>
      <c r="N134" s="1" t="n"/>
      <c r="O134" s="1" t="n"/>
      <c r="P134" s="4" t="n"/>
      <c r="Q134" s="1" t="n"/>
      <c r="R134" s="1" t="n"/>
      <c r="S134" s="1" t="n"/>
      <c r="T134" s="1" t="n"/>
      <c r="U134" s="1" t="n"/>
      <c r="V134" s="1" t="n"/>
      <c r="W134" s="1" t="n"/>
      <c r="X134" s="1" t="n"/>
      <c r="Y134" s="1" t="n"/>
      <c r="Z134" s="1" t="n"/>
      <c r="AA134" s="1" t="n"/>
      <c r="AB134" s="1" t="n"/>
      <c r="AC134" s="1" t="n"/>
      <c r="AD134" s="1" t="n"/>
    </row>
    <row r="135" ht="15.75" customHeight="1" s="205">
      <c r="A135" s="1" t="n"/>
      <c r="B135" s="4" t="n"/>
      <c r="C135" s="1" t="n"/>
      <c r="D135" s="1" t="n"/>
      <c r="E135" s="1" t="n"/>
      <c r="F135" s="1" t="n"/>
      <c r="G135" s="1" t="n"/>
      <c r="H135" s="1" t="n"/>
      <c r="I135" s="1" t="n"/>
      <c r="J135" s="1" t="n"/>
      <c r="K135" s="1" t="n"/>
      <c r="L135" s="1" t="n"/>
      <c r="M135" s="1" t="n"/>
      <c r="N135" s="1" t="n"/>
      <c r="O135" s="1" t="n"/>
      <c r="P135" s="4" t="n"/>
      <c r="Q135" s="1" t="n"/>
      <c r="R135" s="1" t="n"/>
      <c r="S135" s="1" t="n"/>
      <c r="T135" s="1" t="n"/>
      <c r="U135" s="1" t="n"/>
      <c r="V135" s="1" t="n"/>
      <c r="W135" s="1" t="n"/>
      <c r="X135" s="1" t="n"/>
      <c r="Y135" s="1" t="n"/>
      <c r="Z135" s="1" t="n"/>
      <c r="AA135" s="1" t="n"/>
      <c r="AB135" s="1" t="n"/>
      <c r="AC135" s="1" t="n"/>
      <c r="AD135" s="1" t="n"/>
    </row>
    <row r="136" ht="15.75" customHeight="1" s="205">
      <c r="A136" s="1" t="n"/>
      <c r="B136" s="4" t="n"/>
      <c r="C136" s="1" t="n"/>
      <c r="D136" s="1" t="n"/>
      <c r="E136" s="1" t="n"/>
      <c r="F136" s="1" t="n"/>
      <c r="G136" s="1" t="n"/>
      <c r="H136" s="1" t="n"/>
      <c r="I136" s="1" t="n"/>
      <c r="J136" s="1" t="n"/>
      <c r="K136" s="1" t="n"/>
      <c r="L136" s="1" t="n"/>
      <c r="M136" s="1" t="n"/>
      <c r="N136" s="1" t="n"/>
      <c r="O136" s="1" t="n"/>
      <c r="P136" s="4" t="n"/>
      <c r="Q136" s="1" t="n"/>
      <c r="R136" s="1" t="n"/>
      <c r="S136" s="1" t="n"/>
      <c r="T136" s="1" t="n"/>
      <c r="U136" s="1" t="n"/>
      <c r="V136" s="1" t="n"/>
      <c r="W136" s="1" t="n"/>
      <c r="X136" s="1" t="n"/>
      <c r="Y136" s="1" t="n"/>
      <c r="Z136" s="1" t="n"/>
      <c r="AA136" s="1" t="n"/>
      <c r="AB136" s="1" t="n"/>
      <c r="AC136" s="1" t="n"/>
      <c r="AD136" s="1" t="n"/>
    </row>
    <row r="137" ht="15.75" customHeight="1" s="205">
      <c r="A137" s="1" t="n"/>
      <c r="B137" s="4" t="n"/>
      <c r="C137" s="1" t="n"/>
      <c r="D137" s="1" t="n"/>
      <c r="E137" s="1" t="n"/>
      <c r="F137" s="1" t="n"/>
      <c r="G137" s="1" t="n"/>
      <c r="H137" s="1" t="n"/>
      <c r="I137" s="1" t="n"/>
      <c r="J137" s="1" t="n"/>
      <c r="K137" s="1" t="n"/>
      <c r="L137" s="1" t="n"/>
      <c r="M137" s="1" t="n"/>
      <c r="N137" s="1" t="n"/>
      <c r="O137" s="1" t="n"/>
      <c r="P137" s="4" t="n"/>
      <c r="Q137" s="1" t="n"/>
      <c r="R137" s="1" t="n"/>
      <c r="S137" s="1" t="n"/>
      <c r="T137" s="1" t="n"/>
      <c r="U137" s="1" t="n"/>
      <c r="V137" s="1" t="n"/>
      <c r="W137" s="1" t="n"/>
      <c r="X137" s="1" t="n"/>
      <c r="Y137" s="1" t="n"/>
      <c r="Z137" s="1" t="n"/>
      <c r="AA137" s="1" t="n"/>
      <c r="AB137" s="1" t="n"/>
      <c r="AC137" s="1" t="n"/>
      <c r="AD137" s="1" t="n"/>
    </row>
    <row r="138" ht="15.75" customHeight="1" s="205">
      <c r="A138" s="1" t="n"/>
      <c r="B138" s="4" t="n"/>
      <c r="C138" s="1" t="n"/>
      <c r="D138" s="1" t="n"/>
      <c r="E138" s="1" t="n"/>
      <c r="F138" s="1" t="n"/>
      <c r="G138" s="1" t="n"/>
      <c r="H138" s="1" t="n"/>
      <c r="I138" s="1" t="n"/>
      <c r="J138" s="1" t="n"/>
      <c r="K138" s="1" t="n"/>
      <c r="L138" s="1" t="n"/>
      <c r="M138" s="1" t="n"/>
      <c r="N138" s="1" t="n"/>
      <c r="O138" s="1" t="n"/>
      <c r="P138" s="4" t="n"/>
      <c r="Q138" s="1" t="n"/>
      <c r="R138" s="1" t="n"/>
      <c r="S138" s="1" t="n"/>
      <c r="T138" s="1" t="n"/>
      <c r="U138" s="1" t="n"/>
      <c r="V138" s="1" t="n"/>
      <c r="W138" s="1" t="n"/>
      <c r="X138" s="1" t="n"/>
      <c r="Y138" s="1" t="n"/>
      <c r="Z138" s="1" t="n"/>
      <c r="AA138" s="1" t="n"/>
      <c r="AB138" s="1" t="n"/>
      <c r="AC138" s="1" t="n"/>
      <c r="AD138" s="1" t="n"/>
    </row>
    <row r="139" ht="15.75" customHeight="1" s="205">
      <c r="A139" s="1" t="n"/>
      <c r="B139" s="4" t="n"/>
      <c r="C139" s="1" t="n"/>
      <c r="D139" s="1" t="n"/>
      <c r="E139" s="1" t="n"/>
      <c r="F139" s="1" t="n"/>
      <c r="G139" s="1" t="n"/>
      <c r="H139" s="1" t="n"/>
      <c r="I139" s="1" t="n"/>
      <c r="J139" s="1" t="n"/>
      <c r="K139" s="1" t="n"/>
      <c r="L139" s="1" t="n"/>
      <c r="M139" s="1" t="n"/>
      <c r="N139" s="1" t="n"/>
      <c r="O139" s="1" t="n"/>
      <c r="P139" s="4" t="n"/>
      <c r="Q139" s="1" t="n"/>
      <c r="R139" s="1" t="n"/>
      <c r="S139" s="1" t="n"/>
      <c r="T139" s="1" t="n"/>
      <c r="U139" s="1" t="n"/>
      <c r="V139" s="1" t="n"/>
      <c r="W139" s="1" t="n"/>
      <c r="X139" s="1" t="n"/>
      <c r="Y139" s="1" t="n"/>
      <c r="Z139" s="1" t="n"/>
      <c r="AA139" s="1" t="n"/>
      <c r="AB139" s="1" t="n"/>
      <c r="AC139" s="1" t="n"/>
      <c r="AD139" s="1" t="n"/>
    </row>
    <row r="140" ht="15.75" customHeight="1" s="205">
      <c r="A140" s="1" t="n"/>
      <c r="B140" s="4" t="n"/>
      <c r="C140" s="1" t="n"/>
      <c r="D140" s="1" t="n"/>
      <c r="E140" s="1" t="n"/>
      <c r="F140" s="1" t="n"/>
      <c r="G140" s="1" t="n"/>
      <c r="H140" s="1" t="n"/>
      <c r="I140" s="1" t="n"/>
      <c r="J140" s="1" t="n"/>
      <c r="K140" s="1" t="n"/>
      <c r="L140" s="1" t="n"/>
      <c r="M140" s="1" t="n"/>
      <c r="N140" s="1" t="n"/>
      <c r="O140" s="1" t="n"/>
      <c r="P140" s="4" t="n"/>
      <c r="Q140" s="1" t="n"/>
      <c r="R140" s="1" t="n"/>
      <c r="S140" s="1" t="n"/>
      <c r="T140" s="1" t="n"/>
      <c r="U140" s="1" t="n"/>
      <c r="V140" s="1" t="n"/>
      <c r="W140" s="1" t="n"/>
      <c r="X140" s="1" t="n"/>
      <c r="Y140" s="1" t="n"/>
      <c r="Z140" s="1" t="n"/>
      <c r="AA140" s="1" t="n"/>
      <c r="AB140" s="1" t="n"/>
      <c r="AC140" s="1" t="n"/>
      <c r="AD140" s="1" t="n"/>
    </row>
    <row r="141" ht="15.75" customHeight="1" s="205">
      <c r="A141" s="1" t="n"/>
      <c r="B141" s="4" t="n"/>
      <c r="C141" s="1" t="n"/>
      <c r="D141" s="1" t="n"/>
      <c r="E141" s="1" t="n"/>
      <c r="F141" s="1" t="n"/>
      <c r="G141" s="1" t="n"/>
      <c r="H141" s="1" t="n"/>
      <c r="I141" s="1" t="n"/>
      <c r="J141" s="1" t="n"/>
      <c r="K141" s="1" t="n"/>
      <c r="L141" s="1" t="n"/>
      <c r="M141" s="1" t="n"/>
      <c r="N141" s="1" t="n"/>
      <c r="O141" s="1" t="n"/>
      <c r="P141" s="4" t="n"/>
      <c r="Q141" s="1" t="n"/>
      <c r="R141" s="1" t="n"/>
      <c r="S141" s="1" t="n"/>
      <c r="T141" s="1" t="n"/>
      <c r="U141" s="1" t="n"/>
      <c r="V141" s="1" t="n"/>
      <c r="W141" s="1" t="n"/>
      <c r="X141" s="1" t="n"/>
      <c r="Y141" s="1" t="n"/>
      <c r="Z141" s="1" t="n"/>
      <c r="AA141" s="1" t="n"/>
      <c r="AB141" s="1" t="n"/>
      <c r="AC141" s="1" t="n"/>
      <c r="AD141" s="1" t="n"/>
    </row>
    <row r="142" ht="15.75" customHeight="1" s="205">
      <c r="A142" s="1" t="n"/>
      <c r="B142" s="4" t="n"/>
      <c r="C142" s="1" t="n"/>
      <c r="D142" s="1" t="n"/>
      <c r="E142" s="1" t="n"/>
      <c r="F142" s="1" t="n"/>
      <c r="G142" s="1" t="n"/>
      <c r="H142" s="1" t="n"/>
      <c r="I142" s="1" t="n"/>
      <c r="J142" s="1" t="n"/>
      <c r="K142" s="1" t="n"/>
      <c r="L142" s="1" t="n"/>
      <c r="M142" s="1" t="n"/>
      <c r="N142" s="1" t="n"/>
      <c r="O142" s="1" t="n"/>
      <c r="P142" s="4" t="n"/>
      <c r="Q142" s="1" t="n"/>
      <c r="R142" s="1" t="n"/>
      <c r="S142" s="1" t="n"/>
      <c r="T142" s="1" t="n"/>
      <c r="U142" s="1" t="n"/>
      <c r="V142" s="1" t="n"/>
      <c r="W142" s="1" t="n"/>
      <c r="X142" s="1" t="n"/>
      <c r="Y142" s="1" t="n"/>
      <c r="Z142" s="1" t="n"/>
      <c r="AA142" s="1" t="n"/>
      <c r="AB142" s="1" t="n"/>
      <c r="AC142" s="1" t="n"/>
      <c r="AD142" s="1" t="n"/>
    </row>
    <row r="143" ht="15.75" customHeight="1" s="205">
      <c r="A143" s="1" t="n"/>
      <c r="B143" s="4" t="n"/>
      <c r="C143" s="1" t="n"/>
      <c r="D143" s="1" t="n"/>
      <c r="E143" s="1" t="n"/>
      <c r="F143" s="1" t="n"/>
      <c r="G143" s="1" t="n"/>
      <c r="H143" s="1" t="n"/>
      <c r="I143" s="1" t="n"/>
      <c r="J143" s="1" t="n"/>
      <c r="K143" s="1" t="n"/>
      <c r="L143" s="1" t="n"/>
      <c r="M143" s="1" t="n"/>
      <c r="N143" s="1" t="n"/>
      <c r="O143" s="1" t="n"/>
      <c r="P143" s="4" t="n"/>
      <c r="Q143" s="1" t="n"/>
      <c r="R143" s="1" t="n"/>
      <c r="S143" s="1" t="n"/>
      <c r="T143" s="1" t="n"/>
      <c r="U143" s="1" t="n"/>
      <c r="V143" s="1" t="n"/>
      <c r="W143" s="1" t="n"/>
      <c r="X143" s="1" t="n"/>
      <c r="Y143" s="1" t="n"/>
      <c r="Z143" s="1" t="n"/>
      <c r="AA143" s="1" t="n"/>
      <c r="AB143" s="1" t="n"/>
      <c r="AC143" s="1" t="n"/>
      <c r="AD143" s="1" t="n"/>
    </row>
    <row r="144" ht="15.75" customHeight="1" s="205">
      <c r="A144" s="1" t="n"/>
      <c r="B144" s="4" t="n"/>
      <c r="C144" s="1" t="n"/>
      <c r="D144" s="1" t="n"/>
      <c r="E144" s="1" t="n"/>
      <c r="F144" s="1" t="n"/>
      <c r="G144" s="1" t="n"/>
      <c r="H144" s="1" t="n"/>
      <c r="I144" s="1" t="n"/>
      <c r="J144" s="1" t="n"/>
      <c r="K144" s="1" t="n"/>
      <c r="L144" s="1" t="n"/>
      <c r="M144" s="1" t="n"/>
      <c r="N144" s="1" t="n"/>
      <c r="O144" s="1" t="n"/>
      <c r="P144" s="4" t="n"/>
      <c r="Q144" s="1" t="n"/>
      <c r="R144" s="1" t="n"/>
      <c r="S144" s="1" t="n"/>
      <c r="T144" s="1" t="n"/>
      <c r="U144" s="1" t="n"/>
      <c r="V144" s="1" t="n"/>
      <c r="W144" s="1" t="n"/>
      <c r="X144" s="1" t="n"/>
      <c r="Y144" s="1" t="n"/>
      <c r="Z144" s="1" t="n"/>
      <c r="AA144" s="1" t="n"/>
      <c r="AB144" s="1" t="n"/>
      <c r="AC144" s="1" t="n"/>
      <c r="AD144" s="1" t="n"/>
    </row>
    <row r="145" ht="15.75" customHeight="1" s="205">
      <c r="A145" s="1" t="n"/>
      <c r="B145" s="4" t="n"/>
      <c r="C145" s="1" t="n"/>
      <c r="D145" s="1" t="n"/>
      <c r="E145" s="1" t="n"/>
      <c r="F145" s="1" t="n"/>
      <c r="G145" s="1" t="n"/>
      <c r="H145" s="1" t="n"/>
      <c r="I145" s="1" t="n"/>
      <c r="J145" s="1" t="n"/>
      <c r="K145" s="1" t="n"/>
      <c r="L145" s="1" t="n"/>
      <c r="M145" s="1" t="n"/>
      <c r="N145" s="1" t="n"/>
      <c r="O145" s="1" t="n"/>
      <c r="P145" s="4" t="n"/>
      <c r="Q145" s="1" t="n"/>
      <c r="R145" s="1" t="n"/>
      <c r="S145" s="1" t="n"/>
      <c r="T145" s="1" t="n"/>
      <c r="U145" s="1" t="n"/>
      <c r="V145" s="1" t="n"/>
      <c r="W145" s="1" t="n"/>
      <c r="X145" s="1" t="n"/>
      <c r="Y145" s="1" t="n"/>
      <c r="Z145" s="1" t="n"/>
      <c r="AA145" s="1" t="n"/>
      <c r="AB145" s="1" t="n"/>
      <c r="AC145" s="1" t="n"/>
      <c r="AD145" s="1" t="n"/>
    </row>
    <row r="146" ht="15.75" customHeight="1" s="205">
      <c r="A146" s="1" t="n"/>
      <c r="B146" s="4" t="n"/>
      <c r="C146" s="1" t="n"/>
      <c r="D146" s="1" t="n"/>
      <c r="E146" s="1" t="n"/>
      <c r="F146" s="1" t="n"/>
      <c r="G146" s="1" t="n"/>
      <c r="H146" s="1" t="n"/>
      <c r="I146" s="1" t="n"/>
      <c r="J146" s="1" t="n"/>
      <c r="K146" s="1" t="n"/>
      <c r="L146" s="1" t="n"/>
      <c r="M146" s="1" t="n"/>
      <c r="N146" s="1" t="n"/>
      <c r="O146" s="1" t="n"/>
      <c r="P146" s="4" t="n"/>
      <c r="Q146" s="1" t="n"/>
      <c r="R146" s="1" t="n"/>
      <c r="S146" s="1" t="n"/>
      <c r="T146" s="1" t="n"/>
      <c r="U146" s="1" t="n"/>
      <c r="V146" s="1" t="n"/>
      <c r="W146" s="1" t="n"/>
      <c r="X146" s="1" t="n"/>
      <c r="Y146" s="1" t="n"/>
      <c r="Z146" s="1" t="n"/>
      <c r="AA146" s="1" t="n"/>
      <c r="AB146" s="1" t="n"/>
      <c r="AC146" s="1" t="n"/>
      <c r="AD146" s="1" t="n"/>
    </row>
    <row r="147" ht="15.75" customHeight="1" s="205">
      <c r="A147" s="1" t="n"/>
      <c r="B147" s="4" t="n"/>
      <c r="C147" s="1" t="n"/>
      <c r="D147" s="1" t="n"/>
      <c r="E147" s="1" t="n"/>
      <c r="F147" s="1" t="n"/>
      <c r="G147" s="1" t="n"/>
      <c r="H147" s="1" t="n"/>
      <c r="I147" s="1" t="n"/>
      <c r="J147" s="1" t="n"/>
      <c r="K147" s="1" t="n"/>
      <c r="L147" s="1" t="n"/>
      <c r="M147" s="1" t="n"/>
      <c r="N147" s="1" t="n"/>
      <c r="O147" s="1" t="n"/>
      <c r="P147" s="4" t="n"/>
      <c r="Q147" s="1" t="n"/>
      <c r="R147" s="1" t="n"/>
      <c r="S147" s="1" t="n"/>
      <c r="T147" s="1" t="n"/>
      <c r="U147" s="1" t="n"/>
      <c r="V147" s="1" t="n"/>
      <c r="W147" s="1" t="n"/>
      <c r="X147" s="1" t="n"/>
      <c r="Y147" s="1" t="n"/>
      <c r="Z147" s="1" t="n"/>
      <c r="AA147" s="1" t="n"/>
      <c r="AB147" s="1" t="n"/>
      <c r="AC147" s="1" t="n"/>
      <c r="AD147" s="1" t="n"/>
    </row>
    <row r="148" ht="15.75" customHeight="1" s="205">
      <c r="A148" s="1" t="n"/>
      <c r="B148" s="4" t="n"/>
      <c r="C148" s="1" t="n"/>
      <c r="D148" s="1" t="n"/>
      <c r="E148" s="1" t="n"/>
      <c r="F148" s="1" t="n"/>
      <c r="G148" s="1" t="n"/>
      <c r="H148" s="1" t="n"/>
      <c r="I148" s="1" t="n"/>
      <c r="J148" s="1" t="n"/>
      <c r="K148" s="1" t="n"/>
      <c r="L148" s="1" t="n"/>
      <c r="M148" s="1" t="n"/>
      <c r="N148" s="1" t="n"/>
      <c r="O148" s="1" t="n"/>
      <c r="P148" s="4" t="n"/>
      <c r="Q148" s="1" t="n"/>
      <c r="R148" s="1" t="n"/>
      <c r="S148" s="1" t="n"/>
      <c r="T148" s="1" t="n"/>
      <c r="U148" s="1" t="n"/>
      <c r="V148" s="1" t="n"/>
      <c r="W148" s="1" t="n"/>
      <c r="X148" s="1" t="n"/>
      <c r="Y148" s="1" t="n"/>
      <c r="Z148" s="1" t="n"/>
      <c r="AA148" s="1" t="n"/>
      <c r="AB148" s="1" t="n"/>
      <c r="AC148" s="1" t="n"/>
      <c r="AD148" s="1" t="n"/>
    </row>
    <row r="149" ht="15.75" customHeight="1" s="205">
      <c r="A149" s="1" t="n"/>
      <c r="B149" s="4" t="n"/>
      <c r="C149" s="1" t="n"/>
      <c r="D149" s="1" t="n"/>
      <c r="E149" s="1" t="n"/>
      <c r="F149" s="1" t="n"/>
      <c r="G149" s="1" t="n"/>
      <c r="H149" s="1" t="n"/>
      <c r="I149" s="1" t="n"/>
      <c r="J149" s="1" t="n"/>
      <c r="K149" s="1" t="n"/>
      <c r="L149" s="1" t="n"/>
      <c r="M149" s="1" t="n"/>
      <c r="N149" s="1" t="n"/>
      <c r="O149" s="1" t="n"/>
      <c r="P149" s="4" t="n"/>
      <c r="Q149" s="1" t="n"/>
      <c r="R149" s="1" t="n"/>
      <c r="S149" s="1" t="n"/>
      <c r="T149" s="1" t="n"/>
      <c r="U149" s="1" t="n"/>
      <c r="V149" s="1" t="n"/>
      <c r="W149" s="1" t="n"/>
      <c r="X149" s="1" t="n"/>
      <c r="Y149" s="1" t="n"/>
      <c r="Z149" s="1" t="n"/>
      <c r="AA149" s="1" t="n"/>
      <c r="AB149" s="1" t="n"/>
      <c r="AC149" s="1" t="n"/>
      <c r="AD149" s="1" t="n"/>
    </row>
    <row r="150" ht="15.75" customHeight="1" s="205">
      <c r="A150" s="1" t="n"/>
      <c r="B150" s="4" t="n"/>
      <c r="C150" s="1" t="n"/>
      <c r="D150" s="1" t="n"/>
      <c r="E150" s="1" t="n"/>
      <c r="F150" s="1" t="n"/>
      <c r="G150" s="1" t="n"/>
      <c r="H150" s="1" t="n"/>
      <c r="I150" s="1" t="n"/>
      <c r="J150" s="1" t="n"/>
      <c r="K150" s="1" t="n"/>
      <c r="L150" s="1" t="n"/>
      <c r="M150" s="1" t="n"/>
      <c r="N150" s="1" t="n"/>
      <c r="O150" s="1" t="n"/>
      <c r="P150" s="4" t="n"/>
      <c r="Q150" s="1" t="n"/>
      <c r="R150" s="1" t="n"/>
      <c r="S150" s="1" t="n"/>
      <c r="T150" s="1" t="n"/>
      <c r="U150" s="1" t="n"/>
      <c r="V150" s="1" t="n"/>
      <c r="W150" s="1" t="n"/>
      <c r="X150" s="1" t="n"/>
      <c r="Y150" s="1" t="n"/>
      <c r="Z150" s="1" t="n"/>
      <c r="AA150" s="1" t="n"/>
      <c r="AB150" s="1" t="n"/>
      <c r="AC150" s="1" t="n"/>
      <c r="AD150" s="1" t="n"/>
    </row>
    <row r="151" ht="15.75" customHeight="1" s="205">
      <c r="A151" s="1" t="n"/>
      <c r="B151" s="4" t="n"/>
      <c r="C151" s="1" t="n"/>
      <c r="D151" s="1" t="n"/>
      <c r="E151" s="1" t="n"/>
      <c r="F151" s="1" t="n"/>
      <c r="G151" s="1" t="n"/>
      <c r="H151" s="1" t="n"/>
      <c r="I151" s="1" t="n"/>
      <c r="J151" s="1" t="n"/>
      <c r="K151" s="1" t="n"/>
      <c r="L151" s="1" t="n"/>
      <c r="M151" s="1" t="n"/>
      <c r="N151" s="1" t="n"/>
      <c r="O151" s="1" t="n"/>
      <c r="P151" s="4" t="n"/>
      <c r="Q151" s="1" t="n"/>
      <c r="R151" s="1" t="n"/>
      <c r="S151" s="1" t="n"/>
      <c r="T151" s="1" t="n"/>
      <c r="U151" s="1" t="n"/>
      <c r="V151" s="1" t="n"/>
      <c r="W151" s="1" t="n"/>
      <c r="X151" s="1" t="n"/>
      <c r="Y151" s="1" t="n"/>
      <c r="Z151" s="1" t="n"/>
      <c r="AA151" s="1" t="n"/>
      <c r="AB151" s="1" t="n"/>
      <c r="AC151" s="1" t="n"/>
      <c r="AD151" s="1" t="n"/>
    </row>
    <row r="152" ht="15.75" customHeight="1" s="205">
      <c r="A152" s="1" t="n"/>
      <c r="B152" s="4" t="n"/>
      <c r="C152" s="1" t="n"/>
      <c r="D152" s="1" t="n"/>
      <c r="E152" s="1" t="n"/>
      <c r="F152" s="1" t="n"/>
      <c r="G152" s="1" t="n"/>
      <c r="H152" s="1" t="n"/>
      <c r="I152" s="1" t="n"/>
      <c r="J152" s="1" t="n"/>
      <c r="K152" s="1" t="n"/>
      <c r="L152" s="1" t="n"/>
      <c r="M152" s="1" t="n"/>
      <c r="N152" s="1" t="n"/>
      <c r="O152" s="1" t="n"/>
      <c r="P152" s="4" t="n"/>
      <c r="Q152" s="1" t="n"/>
      <c r="R152" s="1" t="n"/>
      <c r="S152" s="1" t="n"/>
      <c r="T152" s="1" t="n"/>
      <c r="U152" s="1" t="n"/>
      <c r="V152" s="1" t="n"/>
      <c r="W152" s="1" t="n"/>
      <c r="X152" s="1" t="n"/>
      <c r="Y152" s="1" t="n"/>
      <c r="Z152" s="1" t="n"/>
      <c r="AA152" s="1" t="n"/>
      <c r="AB152" s="1" t="n"/>
      <c r="AC152" s="1" t="n"/>
      <c r="AD152" s="1" t="n"/>
    </row>
    <row r="153" ht="15.75" customHeight="1" s="205">
      <c r="A153" s="1" t="n"/>
      <c r="B153" s="4" t="n"/>
      <c r="C153" s="1" t="n"/>
      <c r="D153" s="1" t="n"/>
      <c r="E153" s="1" t="n"/>
      <c r="F153" s="1" t="n"/>
      <c r="G153" s="1" t="n"/>
      <c r="H153" s="1" t="n"/>
      <c r="I153" s="1" t="n"/>
      <c r="J153" s="1" t="n"/>
      <c r="K153" s="1" t="n"/>
      <c r="L153" s="1" t="n"/>
      <c r="M153" s="1" t="n"/>
      <c r="N153" s="1" t="n"/>
      <c r="O153" s="1" t="n"/>
      <c r="P153" s="4" t="n"/>
      <c r="Q153" s="1" t="n"/>
      <c r="R153" s="1" t="n"/>
      <c r="S153" s="1" t="n"/>
      <c r="T153" s="1" t="n"/>
      <c r="U153" s="1" t="n"/>
      <c r="V153" s="1" t="n"/>
      <c r="W153" s="1" t="n"/>
      <c r="X153" s="1" t="n"/>
      <c r="Y153" s="1" t="n"/>
      <c r="Z153" s="1" t="n"/>
      <c r="AA153" s="1" t="n"/>
      <c r="AB153" s="1" t="n"/>
      <c r="AC153" s="1" t="n"/>
      <c r="AD153" s="1" t="n"/>
    </row>
    <row r="154" ht="15.75" customHeight="1" s="205">
      <c r="A154" s="1" t="n"/>
      <c r="B154" s="4" t="n"/>
      <c r="C154" s="1" t="n"/>
      <c r="D154" s="1" t="n"/>
      <c r="E154" s="1" t="n"/>
      <c r="F154" s="1" t="n"/>
      <c r="G154" s="1" t="n"/>
      <c r="H154" s="1" t="n"/>
      <c r="I154" s="1" t="n"/>
      <c r="J154" s="1" t="n"/>
      <c r="K154" s="1" t="n"/>
      <c r="L154" s="1" t="n"/>
      <c r="M154" s="1" t="n"/>
      <c r="N154" s="1" t="n"/>
      <c r="O154" s="1" t="n"/>
      <c r="P154" s="4" t="n"/>
      <c r="Q154" s="1" t="n"/>
      <c r="R154" s="1" t="n"/>
      <c r="S154" s="1" t="n"/>
      <c r="T154" s="1" t="n"/>
      <c r="U154" s="1" t="n"/>
      <c r="V154" s="1" t="n"/>
      <c r="W154" s="1" t="n"/>
      <c r="X154" s="1" t="n"/>
      <c r="Y154" s="1" t="n"/>
      <c r="Z154" s="1" t="n"/>
      <c r="AA154" s="1" t="n"/>
      <c r="AB154" s="1" t="n"/>
      <c r="AC154" s="1" t="n"/>
      <c r="AD154" s="1" t="n"/>
    </row>
    <row r="155" ht="15.75" customHeight="1" s="205">
      <c r="A155" s="1" t="n"/>
      <c r="B155" s="4" t="n"/>
      <c r="C155" s="1" t="n"/>
      <c r="D155" s="1" t="n"/>
      <c r="E155" s="1" t="n"/>
      <c r="F155" s="1" t="n"/>
      <c r="G155" s="1" t="n"/>
      <c r="H155" s="1" t="n"/>
      <c r="I155" s="1" t="n"/>
      <c r="J155" s="1" t="n"/>
      <c r="K155" s="1" t="n"/>
      <c r="L155" s="1" t="n"/>
      <c r="M155" s="1" t="n"/>
      <c r="N155" s="1" t="n"/>
      <c r="O155" s="1" t="n"/>
      <c r="P155" s="4" t="n"/>
      <c r="Q155" s="1" t="n"/>
      <c r="R155" s="1" t="n"/>
      <c r="S155" s="1" t="n"/>
      <c r="T155" s="1" t="n"/>
      <c r="U155" s="1" t="n"/>
      <c r="V155" s="1" t="n"/>
      <c r="W155" s="1" t="n"/>
      <c r="X155" s="1" t="n"/>
      <c r="Y155" s="1" t="n"/>
      <c r="Z155" s="1" t="n"/>
      <c r="AA155" s="1" t="n"/>
      <c r="AB155" s="1" t="n"/>
      <c r="AC155" s="1" t="n"/>
      <c r="AD155" s="1" t="n"/>
    </row>
    <row r="156" ht="15.75" customHeight="1" s="205">
      <c r="A156" s="1" t="n"/>
      <c r="B156" s="4" t="n"/>
      <c r="C156" s="1" t="n"/>
      <c r="D156" s="1" t="n"/>
      <c r="E156" s="1" t="n"/>
      <c r="F156" s="1" t="n"/>
      <c r="G156" s="1" t="n"/>
      <c r="H156" s="1" t="n"/>
      <c r="I156" s="1" t="n"/>
      <c r="J156" s="1" t="n"/>
      <c r="K156" s="1" t="n"/>
      <c r="L156" s="1" t="n"/>
      <c r="M156" s="1" t="n"/>
      <c r="N156" s="1" t="n"/>
      <c r="O156" s="1" t="n"/>
      <c r="P156" s="4" t="n"/>
      <c r="Q156" s="1" t="n"/>
      <c r="R156" s="1" t="n"/>
      <c r="S156" s="1" t="n"/>
      <c r="T156" s="1" t="n"/>
      <c r="U156" s="1" t="n"/>
      <c r="V156" s="1" t="n"/>
      <c r="W156" s="1" t="n"/>
      <c r="X156" s="1" t="n"/>
      <c r="Y156" s="1" t="n"/>
      <c r="Z156" s="1" t="n"/>
      <c r="AA156" s="1" t="n"/>
      <c r="AB156" s="1" t="n"/>
      <c r="AC156" s="1" t="n"/>
      <c r="AD156" s="1" t="n"/>
    </row>
    <row r="157" ht="15.75" customHeight="1" s="205">
      <c r="A157" s="1" t="n"/>
      <c r="B157" s="4" t="n"/>
      <c r="C157" s="1" t="n"/>
      <c r="D157" s="1" t="n"/>
      <c r="E157" s="1" t="n"/>
      <c r="F157" s="1" t="n"/>
      <c r="G157" s="1" t="n"/>
      <c r="H157" s="1" t="n"/>
      <c r="I157" s="1" t="n"/>
      <c r="J157" s="1" t="n"/>
      <c r="K157" s="1" t="n"/>
      <c r="L157" s="1" t="n"/>
      <c r="M157" s="1" t="n"/>
      <c r="N157" s="1" t="n"/>
      <c r="O157" s="1" t="n"/>
      <c r="P157" s="4" t="n"/>
      <c r="Q157" s="1" t="n"/>
      <c r="R157" s="1" t="n"/>
      <c r="S157" s="1" t="n"/>
      <c r="T157" s="1" t="n"/>
      <c r="U157" s="1" t="n"/>
      <c r="V157" s="1" t="n"/>
      <c r="W157" s="1" t="n"/>
      <c r="X157" s="1" t="n"/>
      <c r="Y157" s="1" t="n"/>
      <c r="Z157" s="1" t="n"/>
      <c r="AA157" s="1" t="n"/>
      <c r="AB157" s="1" t="n"/>
      <c r="AC157" s="1" t="n"/>
      <c r="AD157" s="1" t="n"/>
    </row>
    <row r="158" ht="15.75" customHeight="1" s="205">
      <c r="A158" s="1" t="n"/>
      <c r="B158" s="4" t="n"/>
      <c r="C158" s="1" t="n"/>
      <c r="D158" s="1" t="n"/>
      <c r="E158" s="1" t="n"/>
      <c r="F158" s="1" t="n"/>
      <c r="G158" s="1" t="n"/>
      <c r="H158" s="1" t="n"/>
      <c r="I158" s="1" t="n"/>
      <c r="J158" s="1" t="n"/>
      <c r="K158" s="1" t="n"/>
      <c r="L158" s="1" t="n"/>
      <c r="M158" s="1" t="n"/>
      <c r="N158" s="1" t="n"/>
      <c r="O158" s="1" t="n"/>
      <c r="P158" s="4" t="n"/>
      <c r="Q158" s="1" t="n"/>
      <c r="R158" s="1" t="n"/>
      <c r="S158" s="1" t="n"/>
      <c r="T158" s="1" t="n"/>
      <c r="U158" s="1" t="n"/>
      <c r="V158" s="1" t="n"/>
      <c r="W158" s="1" t="n"/>
      <c r="X158" s="1" t="n"/>
      <c r="Y158" s="1" t="n"/>
      <c r="Z158" s="1" t="n"/>
      <c r="AA158" s="1" t="n"/>
      <c r="AB158" s="1" t="n"/>
      <c r="AC158" s="1" t="n"/>
      <c r="AD158" s="1" t="n"/>
    </row>
    <row r="159" ht="15.75" customHeight="1" s="205">
      <c r="A159" s="1" t="n"/>
      <c r="B159" s="4" t="n"/>
      <c r="C159" s="1" t="n"/>
      <c r="D159" s="1" t="n"/>
      <c r="E159" s="1" t="n"/>
      <c r="F159" s="1" t="n"/>
      <c r="G159" s="1" t="n"/>
      <c r="H159" s="1" t="n"/>
      <c r="I159" s="1" t="n"/>
      <c r="J159" s="1" t="n"/>
      <c r="K159" s="1" t="n"/>
      <c r="L159" s="1" t="n"/>
      <c r="M159" s="1" t="n"/>
      <c r="N159" s="1" t="n"/>
      <c r="O159" s="1" t="n"/>
      <c r="P159" s="4" t="n"/>
      <c r="Q159" s="1" t="n"/>
      <c r="R159" s="1" t="n"/>
      <c r="S159" s="1" t="n"/>
      <c r="T159" s="1" t="n"/>
      <c r="U159" s="1" t="n"/>
      <c r="V159" s="1" t="n"/>
      <c r="W159" s="1" t="n"/>
      <c r="X159" s="1" t="n"/>
      <c r="Y159" s="1" t="n"/>
      <c r="Z159" s="1" t="n"/>
      <c r="AA159" s="1" t="n"/>
      <c r="AB159" s="1" t="n"/>
      <c r="AC159" s="1" t="n"/>
      <c r="AD159" s="1" t="n"/>
    </row>
    <row r="160" ht="15.75" customHeight="1" s="205">
      <c r="A160" s="1" t="n"/>
      <c r="B160" s="4" t="n"/>
      <c r="C160" s="1" t="n"/>
      <c r="D160" s="1" t="n"/>
      <c r="E160" s="1" t="n"/>
      <c r="F160" s="1" t="n"/>
      <c r="G160" s="1" t="n"/>
      <c r="H160" s="1" t="n"/>
      <c r="I160" s="1" t="n"/>
      <c r="J160" s="1" t="n"/>
      <c r="K160" s="1" t="n"/>
      <c r="L160" s="1" t="n"/>
      <c r="M160" s="1" t="n"/>
      <c r="N160" s="1" t="n"/>
      <c r="O160" s="1" t="n"/>
      <c r="P160" s="4" t="n"/>
      <c r="Q160" s="1" t="n"/>
      <c r="R160" s="1" t="n"/>
      <c r="S160" s="1" t="n"/>
      <c r="T160" s="1" t="n"/>
      <c r="U160" s="1" t="n"/>
      <c r="V160" s="1" t="n"/>
      <c r="W160" s="1" t="n"/>
      <c r="X160" s="1" t="n"/>
      <c r="Y160" s="1" t="n"/>
      <c r="Z160" s="1" t="n"/>
      <c r="AA160" s="1" t="n"/>
      <c r="AB160" s="1" t="n"/>
      <c r="AC160" s="1" t="n"/>
      <c r="AD160" s="1" t="n"/>
    </row>
    <row r="161" ht="15.75" customHeight="1" s="205">
      <c r="A161" s="1" t="n"/>
      <c r="B161" s="4" t="n"/>
      <c r="C161" s="1" t="n"/>
      <c r="D161" s="1" t="n"/>
      <c r="E161" s="1" t="n"/>
      <c r="F161" s="1" t="n"/>
      <c r="G161" s="1" t="n"/>
      <c r="H161" s="1" t="n"/>
      <c r="I161" s="1" t="n"/>
      <c r="J161" s="1" t="n"/>
      <c r="K161" s="1" t="n"/>
      <c r="L161" s="1" t="n"/>
      <c r="M161" s="1" t="n"/>
      <c r="N161" s="1" t="n"/>
      <c r="O161" s="1" t="n"/>
      <c r="P161" s="4" t="n"/>
      <c r="Q161" s="1" t="n"/>
      <c r="R161" s="1" t="n"/>
      <c r="S161" s="1" t="n"/>
      <c r="T161" s="1" t="n"/>
      <c r="U161" s="1" t="n"/>
      <c r="V161" s="1" t="n"/>
      <c r="W161" s="1" t="n"/>
      <c r="X161" s="1" t="n"/>
      <c r="Y161" s="1" t="n"/>
      <c r="Z161" s="1" t="n"/>
      <c r="AA161" s="1" t="n"/>
      <c r="AB161" s="1" t="n"/>
      <c r="AC161" s="1" t="n"/>
      <c r="AD161" s="1" t="n"/>
    </row>
    <row r="162" ht="15.75" customHeight="1" s="205">
      <c r="A162" s="1" t="n"/>
      <c r="B162" s="4" t="n"/>
      <c r="C162" s="1" t="n"/>
      <c r="D162" s="1" t="n"/>
      <c r="E162" s="1" t="n"/>
      <c r="F162" s="1" t="n"/>
      <c r="G162" s="1" t="n"/>
      <c r="H162" s="1" t="n"/>
      <c r="I162" s="1" t="n"/>
      <c r="J162" s="1" t="n"/>
      <c r="K162" s="1" t="n"/>
      <c r="L162" s="1" t="n"/>
      <c r="M162" s="1" t="n"/>
      <c r="N162" s="1" t="n"/>
      <c r="O162" s="1" t="n"/>
      <c r="P162" s="4" t="n"/>
      <c r="Q162" s="1" t="n"/>
      <c r="R162" s="1" t="n"/>
      <c r="S162" s="1" t="n"/>
      <c r="T162" s="1" t="n"/>
      <c r="U162" s="1" t="n"/>
      <c r="V162" s="1" t="n"/>
      <c r="W162" s="1" t="n"/>
      <c r="X162" s="1" t="n"/>
      <c r="Y162" s="1" t="n"/>
      <c r="Z162" s="1" t="n"/>
      <c r="AA162" s="1" t="n"/>
      <c r="AB162" s="1" t="n"/>
      <c r="AC162" s="1" t="n"/>
      <c r="AD162" s="1" t="n"/>
    </row>
    <row r="163" ht="15.75" customHeight="1" s="205">
      <c r="A163" s="1" t="n"/>
      <c r="B163" s="4" t="n"/>
      <c r="C163" s="1" t="n"/>
      <c r="D163" s="1" t="n"/>
      <c r="E163" s="1" t="n"/>
      <c r="F163" s="1" t="n"/>
      <c r="G163" s="1" t="n"/>
      <c r="H163" s="1" t="n"/>
      <c r="I163" s="1" t="n"/>
      <c r="J163" s="1" t="n"/>
      <c r="K163" s="1" t="n"/>
      <c r="L163" s="1" t="n"/>
      <c r="M163" s="1" t="n"/>
      <c r="N163" s="1" t="n"/>
      <c r="O163" s="1" t="n"/>
      <c r="P163" s="4" t="n"/>
      <c r="Q163" s="1" t="n"/>
      <c r="R163" s="1" t="n"/>
      <c r="S163" s="1" t="n"/>
      <c r="T163" s="1" t="n"/>
      <c r="U163" s="1" t="n"/>
      <c r="V163" s="1" t="n"/>
      <c r="W163" s="1" t="n"/>
      <c r="X163" s="1" t="n"/>
      <c r="Y163" s="1" t="n"/>
      <c r="Z163" s="1" t="n"/>
      <c r="AA163" s="1" t="n"/>
      <c r="AB163" s="1" t="n"/>
      <c r="AC163" s="1" t="n"/>
      <c r="AD163" s="1" t="n"/>
    </row>
    <row r="164" ht="15.75" customHeight="1" s="205">
      <c r="A164" s="1" t="n"/>
      <c r="B164" s="4" t="n"/>
      <c r="C164" s="1" t="n"/>
      <c r="D164" s="1" t="n"/>
      <c r="E164" s="1" t="n"/>
      <c r="F164" s="1" t="n"/>
      <c r="G164" s="1" t="n"/>
      <c r="H164" s="1" t="n"/>
      <c r="I164" s="1" t="n"/>
      <c r="J164" s="1" t="n"/>
      <c r="K164" s="1" t="n"/>
      <c r="L164" s="1" t="n"/>
      <c r="M164" s="1" t="n"/>
      <c r="N164" s="1" t="n"/>
      <c r="O164" s="1" t="n"/>
      <c r="P164" s="4" t="n"/>
      <c r="Q164" s="1" t="n"/>
      <c r="R164" s="1" t="n"/>
      <c r="S164" s="1" t="n"/>
      <c r="T164" s="1" t="n"/>
      <c r="U164" s="1" t="n"/>
      <c r="V164" s="1" t="n"/>
      <c r="W164" s="1" t="n"/>
      <c r="X164" s="1" t="n"/>
      <c r="Y164" s="1" t="n"/>
      <c r="Z164" s="1" t="n"/>
      <c r="AA164" s="1" t="n"/>
      <c r="AB164" s="1" t="n"/>
      <c r="AC164" s="1" t="n"/>
      <c r="AD164" s="1" t="n"/>
    </row>
    <row r="165" ht="15.75" customHeight="1" s="205">
      <c r="A165" s="1" t="n"/>
      <c r="B165" s="4" t="n"/>
      <c r="C165" s="1" t="n"/>
      <c r="D165" s="1" t="n"/>
      <c r="E165" s="1" t="n"/>
      <c r="F165" s="1" t="n"/>
      <c r="G165" s="1" t="n"/>
      <c r="H165" s="1" t="n"/>
      <c r="I165" s="1" t="n"/>
      <c r="J165" s="1" t="n"/>
      <c r="K165" s="1" t="n"/>
      <c r="L165" s="1" t="n"/>
      <c r="M165" s="1" t="n"/>
      <c r="N165" s="1" t="n"/>
      <c r="O165" s="1" t="n"/>
      <c r="P165" s="4" t="n"/>
      <c r="Q165" s="1" t="n"/>
      <c r="R165" s="1" t="n"/>
      <c r="S165" s="1" t="n"/>
      <c r="T165" s="1" t="n"/>
      <c r="U165" s="1" t="n"/>
      <c r="V165" s="1" t="n"/>
      <c r="W165" s="1" t="n"/>
      <c r="X165" s="1" t="n"/>
      <c r="Y165" s="1" t="n"/>
      <c r="Z165" s="1" t="n"/>
      <c r="AA165" s="1" t="n"/>
      <c r="AB165" s="1" t="n"/>
      <c r="AC165" s="1" t="n"/>
      <c r="AD165" s="1" t="n"/>
    </row>
    <row r="166" ht="15.75" customHeight="1" s="205">
      <c r="A166" s="1" t="n"/>
      <c r="B166" s="4" t="n"/>
      <c r="C166" s="1" t="n"/>
      <c r="D166" s="1" t="n"/>
      <c r="E166" s="1" t="n"/>
      <c r="F166" s="1" t="n"/>
      <c r="G166" s="1" t="n"/>
      <c r="H166" s="1" t="n"/>
      <c r="I166" s="1" t="n"/>
      <c r="J166" s="1" t="n"/>
      <c r="K166" s="1" t="n"/>
      <c r="L166" s="1" t="n"/>
      <c r="M166" s="1" t="n"/>
      <c r="N166" s="1" t="n"/>
      <c r="O166" s="1" t="n"/>
      <c r="P166" s="4" t="n"/>
      <c r="Q166" s="1" t="n"/>
      <c r="R166" s="1" t="n"/>
      <c r="S166" s="1" t="n"/>
      <c r="T166" s="1" t="n"/>
      <c r="U166" s="1" t="n"/>
      <c r="V166" s="1" t="n"/>
      <c r="W166" s="1" t="n"/>
      <c r="X166" s="1" t="n"/>
      <c r="Y166" s="1" t="n"/>
      <c r="Z166" s="1" t="n"/>
      <c r="AA166" s="1" t="n"/>
      <c r="AB166" s="1" t="n"/>
      <c r="AC166" s="1" t="n"/>
      <c r="AD166" s="1" t="n"/>
    </row>
    <row r="167" ht="15.75" customHeight="1" s="205">
      <c r="A167" s="1" t="n"/>
      <c r="B167" s="4" t="n"/>
      <c r="C167" s="1" t="n"/>
      <c r="D167" s="1" t="n"/>
      <c r="E167" s="1" t="n"/>
      <c r="F167" s="1" t="n"/>
      <c r="G167" s="1" t="n"/>
      <c r="H167" s="1" t="n"/>
      <c r="I167" s="1" t="n"/>
      <c r="J167" s="1" t="n"/>
      <c r="K167" s="1" t="n"/>
      <c r="L167" s="1" t="n"/>
      <c r="M167" s="1" t="n"/>
      <c r="N167" s="1" t="n"/>
      <c r="O167" s="1" t="n"/>
      <c r="P167" s="4" t="n"/>
      <c r="Q167" s="1" t="n"/>
      <c r="R167" s="1" t="n"/>
      <c r="S167" s="1" t="n"/>
      <c r="T167" s="1" t="n"/>
      <c r="U167" s="1" t="n"/>
      <c r="V167" s="1" t="n"/>
      <c r="W167" s="1" t="n"/>
      <c r="X167" s="1" t="n"/>
      <c r="Y167" s="1" t="n"/>
      <c r="Z167" s="1" t="n"/>
      <c r="AA167" s="1" t="n"/>
      <c r="AB167" s="1" t="n"/>
      <c r="AC167" s="1" t="n"/>
      <c r="AD167" s="1" t="n"/>
    </row>
    <row r="168" ht="15.75" customHeight="1" s="205">
      <c r="A168" s="1" t="n"/>
      <c r="B168" s="4" t="n"/>
      <c r="C168" s="1" t="n"/>
      <c r="D168" s="1" t="n"/>
      <c r="E168" s="1" t="n"/>
      <c r="F168" s="1" t="n"/>
      <c r="G168" s="1" t="n"/>
      <c r="H168" s="1" t="n"/>
      <c r="I168" s="1" t="n"/>
      <c r="J168" s="1" t="n"/>
      <c r="K168" s="1" t="n"/>
      <c r="L168" s="1" t="n"/>
      <c r="M168" s="1" t="n"/>
      <c r="N168" s="1" t="n"/>
      <c r="O168" s="1" t="n"/>
      <c r="P168" s="4" t="n"/>
      <c r="Q168" s="1" t="n"/>
      <c r="R168" s="1" t="n"/>
      <c r="S168" s="1" t="n"/>
      <c r="T168" s="1" t="n"/>
      <c r="U168" s="1" t="n"/>
      <c r="V168" s="1" t="n"/>
      <c r="W168" s="1" t="n"/>
      <c r="X168" s="1" t="n"/>
      <c r="Y168" s="1" t="n"/>
      <c r="Z168" s="1" t="n"/>
      <c r="AA168" s="1" t="n"/>
      <c r="AB168" s="1" t="n"/>
      <c r="AC168" s="1" t="n"/>
      <c r="AD168" s="1" t="n"/>
    </row>
    <row r="169" ht="15.75" customHeight="1" s="205">
      <c r="A169" s="1" t="n"/>
      <c r="B169" s="4" t="n"/>
      <c r="C169" s="1" t="n"/>
      <c r="D169" s="1" t="n"/>
      <c r="E169" s="1" t="n"/>
      <c r="F169" s="1" t="n"/>
      <c r="G169" s="1" t="n"/>
      <c r="H169" s="1" t="n"/>
      <c r="I169" s="1" t="n"/>
      <c r="J169" s="1" t="n"/>
      <c r="K169" s="1" t="n"/>
      <c r="L169" s="1" t="n"/>
      <c r="M169" s="1" t="n"/>
      <c r="N169" s="1" t="n"/>
      <c r="O169" s="1" t="n"/>
      <c r="P169" s="4" t="n"/>
      <c r="Q169" s="1" t="n"/>
      <c r="R169" s="1" t="n"/>
      <c r="S169" s="1" t="n"/>
      <c r="T169" s="1" t="n"/>
      <c r="U169" s="1" t="n"/>
      <c r="V169" s="1" t="n"/>
      <c r="W169" s="1" t="n"/>
      <c r="X169" s="1" t="n"/>
      <c r="Y169" s="1" t="n"/>
      <c r="Z169" s="1" t="n"/>
      <c r="AA169" s="1" t="n"/>
      <c r="AB169" s="1" t="n"/>
      <c r="AC169" s="1" t="n"/>
      <c r="AD169" s="1" t="n"/>
    </row>
    <row r="170" ht="15.75" customHeight="1" s="205">
      <c r="A170" s="1" t="n"/>
      <c r="B170" s="4" t="n"/>
      <c r="C170" s="1" t="n"/>
      <c r="D170" s="1" t="n"/>
      <c r="E170" s="1" t="n"/>
      <c r="F170" s="1" t="n"/>
      <c r="G170" s="1" t="n"/>
      <c r="H170" s="1" t="n"/>
      <c r="I170" s="1" t="n"/>
      <c r="J170" s="1" t="n"/>
      <c r="K170" s="1" t="n"/>
      <c r="L170" s="1" t="n"/>
      <c r="M170" s="1" t="n"/>
      <c r="N170" s="1" t="n"/>
      <c r="O170" s="1" t="n"/>
      <c r="P170" s="4" t="n"/>
      <c r="Q170" s="1" t="n"/>
      <c r="R170" s="1" t="n"/>
      <c r="S170" s="1" t="n"/>
      <c r="T170" s="1" t="n"/>
      <c r="U170" s="1" t="n"/>
      <c r="V170" s="1" t="n"/>
      <c r="W170" s="1" t="n"/>
      <c r="X170" s="1" t="n"/>
      <c r="Y170" s="1" t="n"/>
      <c r="Z170" s="1" t="n"/>
      <c r="AA170" s="1" t="n"/>
      <c r="AB170" s="1" t="n"/>
      <c r="AC170" s="1" t="n"/>
      <c r="AD170" s="1" t="n"/>
    </row>
    <row r="171" ht="15.75" customHeight="1" s="205">
      <c r="A171" s="1" t="n"/>
      <c r="B171" s="4" t="n"/>
      <c r="C171" s="1" t="n"/>
      <c r="D171" s="1" t="n"/>
      <c r="E171" s="1" t="n"/>
      <c r="F171" s="1" t="n"/>
      <c r="G171" s="1" t="n"/>
      <c r="H171" s="1" t="n"/>
      <c r="I171" s="1" t="n"/>
      <c r="J171" s="1" t="n"/>
      <c r="K171" s="1" t="n"/>
      <c r="L171" s="1" t="n"/>
      <c r="M171" s="1" t="n"/>
      <c r="N171" s="1" t="n"/>
      <c r="O171" s="1" t="n"/>
      <c r="P171" s="4" t="n"/>
      <c r="Q171" s="1" t="n"/>
      <c r="R171" s="1" t="n"/>
      <c r="S171" s="1" t="n"/>
      <c r="T171" s="1" t="n"/>
      <c r="U171" s="1" t="n"/>
      <c r="V171" s="1" t="n"/>
      <c r="W171" s="1" t="n"/>
      <c r="X171" s="1" t="n"/>
      <c r="Y171" s="1" t="n"/>
      <c r="Z171" s="1" t="n"/>
      <c r="AA171" s="1" t="n"/>
      <c r="AB171" s="1" t="n"/>
      <c r="AC171" s="1" t="n"/>
      <c r="AD171" s="1" t="n"/>
    </row>
    <row r="172" ht="15.75" customHeight="1" s="205">
      <c r="A172" s="1" t="n"/>
      <c r="B172" s="4" t="n"/>
      <c r="C172" s="1" t="n"/>
      <c r="D172" s="1" t="n"/>
      <c r="E172" s="1" t="n"/>
      <c r="F172" s="1" t="n"/>
      <c r="G172" s="1" t="n"/>
      <c r="H172" s="1" t="n"/>
      <c r="I172" s="1" t="n"/>
      <c r="J172" s="1" t="n"/>
      <c r="K172" s="1" t="n"/>
      <c r="L172" s="1" t="n"/>
      <c r="M172" s="1" t="n"/>
      <c r="N172" s="1" t="n"/>
      <c r="O172" s="1" t="n"/>
      <c r="P172" s="4" t="n"/>
      <c r="Q172" s="1" t="n"/>
      <c r="R172" s="1" t="n"/>
      <c r="S172" s="1" t="n"/>
      <c r="T172" s="1" t="n"/>
      <c r="U172" s="1" t="n"/>
      <c r="V172" s="1" t="n"/>
      <c r="W172" s="1" t="n"/>
      <c r="X172" s="1" t="n"/>
      <c r="Y172" s="1" t="n"/>
      <c r="Z172" s="1" t="n"/>
      <c r="AA172" s="1" t="n"/>
      <c r="AB172" s="1" t="n"/>
      <c r="AC172" s="1" t="n"/>
      <c r="AD172" s="1" t="n"/>
    </row>
    <row r="173" ht="15.75" customHeight="1" s="205">
      <c r="A173" s="1" t="n"/>
      <c r="B173" s="4" t="n"/>
      <c r="C173" s="1" t="n"/>
      <c r="D173" s="1" t="n"/>
      <c r="E173" s="1" t="n"/>
      <c r="F173" s="1" t="n"/>
      <c r="G173" s="1" t="n"/>
      <c r="H173" s="1" t="n"/>
      <c r="I173" s="1" t="n"/>
      <c r="J173" s="1" t="n"/>
      <c r="K173" s="1" t="n"/>
      <c r="L173" s="1" t="n"/>
      <c r="M173" s="1" t="n"/>
      <c r="N173" s="1" t="n"/>
      <c r="O173" s="1" t="n"/>
      <c r="P173" s="4" t="n"/>
      <c r="Q173" s="1" t="n"/>
      <c r="R173" s="1" t="n"/>
      <c r="S173" s="1" t="n"/>
      <c r="T173" s="1" t="n"/>
      <c r="U173" s="1" t="n"/>
      <c r="V173" s="1" t="n"/>
      <c r="W173" s="1" t="n"/>
      <c r="X173" s="1" t="n"/>
      <c r="Y173" s="1" t="n"/>
      <c r="Z173" s="1" t="n"/>
      <c r="AA173" s="1" t="n"/>
      <c r="AB173" s="1" t="n"/>
      <c r="AC173" s="1" t="n"/>
      <c r="AD173" s="1" t="n"/>
    </row>
    <row r="174" ht="15.75" customHeight="1" s="205">
      <c r="A174" s="1" t="n"/>
      <c r="B174" s="4" t="n"/>
      <c r="C174" s="1" t="n"/>
      <c r="D174" s="1" t="n"/>
      <c r="E174" s="1" t="n"/>
      <c r="F174" s="1" t="n"/>
      <c r="G174" s="1" t="n"/>
      <c r="H174" s="1" t="n"/>
      <c r="I174" s="1" t="n"/>
      <c r="J174" s="1" t="n"/>
      <c r="K174" s="1" t="n"/>
      <c r="L174" s="1" t="n"/>
      <c r="M174" s="1" t="n"/>
      <c r="N174" s="1" t="n"/>
      <c r="O174" s="1" t="n"/>
      <c r="P174" s="4" t="n"/>
      <c r="Q174" s="1" t="n"/>
      <c r="R174" s="1" t="n"/>
      <c r="S174" s="1" t="n"/>
      <c r="T174" s="1" t="n"/>
      <c r="U174" s="1" t="n"/>
      <c r="V174" s="1" t="n"/>
      <c r="W174" s="1" t="n"/>
      <c r="X174" s="1" t="n"/>
      <c r="Y174" s="1" t="n"/>
      <c r="Z174" s="1" t="n"/>
      <c r="AA174" s="1" t="n"/>
      <c r="AB174" s="1" t="n"/>
      <c r="AC174" s="1" t="n"/>
      <c r="AD174" s="1" t="n"/>
    </row>
    <row r="175" ht="15.75" customHeight="1" s="205">
      <c r="A175" s="1" t="n"/>
      <c r="B175" s="4" t="n"/>
      <c r="C175" s="1" t="n"/>
      <c r="D175" s="1" t="n"/>
      <c r="E175" s="1" t="n"/>
      <c r="F175" s="1" t="n"/>
      <c r="G175" s="1" t="n"/>
      <c r="H175" s="1" t="n"/>
      <c r="I175" s="1" t="n"/>
      <c r="J175" s="1" t="n"/>
      <c r="K175" s="1" t="n"/>
      <c r="L175" s="1" t="n"/>
      <c r="M175" s="1" t="n"/>
      <c r="N175" s="1" t="n"/>
      <c r="O175" s="1" t="n"/>
      <c r="P175" s="4" t="n"/>
      <c r="Q175" s="1" t="n"/>
      <c r="R175" s="1" t="n"/>
      <c r="S175" s="1" t="n"/>
      <c r="T175" s="1" t="n"/>
      <c r="U175" s="1" t="n"/>
      <c r="V175" s="1" t="n"/>
      <c r="W175" s="1" t="n"/>
      <c r="X175" s="1" t="n"/>
      <c r="Y175" s="1" t="n"/>
      <c r="Z175" s="1" t="n"/>
      <c r="AA175" s="1" t="n"/>
      <c r="AB175" s="1" t="n"/>
      <c r="AC175" s="1" t="n"/>
      <c r="AD175" s="1" t="n"/>
    </row>
    <row r="176" ht="15.75" customHeight="1" s="205">
      <c r="A176" s="1" t="n"/>
      <c r="B176" s="4" t="n"/>
      <c r="C176" s="1" t="n"/>
      <c r="D176" s="1" t="n"/>
      <c r="E176" s="1" t="n"/>
      <c r="F176" s="1" t="n"/>
      <c r="G176" s="1" t="n"/>
      <c r="H176" s="1" t="n"/>
      <c r="I176" s="1" t="n"/>
      <c r="J176" s="1" t="n"/>
      <c r="K176" s="1" t="n"/>
      <c r="L176" s="1" t="n"/>
      <c r="M176" s="1" t="n"/>
      <c r="N176" s="1" t="n"/>
      <c r="O176" s="1" t="n"/>
      <c r="P176" s="4" t="n"/>
      <c r="Q176" s="1" t="n"/>
      <c r="R176" s="1" t="n"/>
      <c r="S176" s="1" t="n"/>
      <c r="T176" s="1" t="n"/>
      <c r="U176" s="1" t="n"/>
      <c r="V176" s="1" t="n"/>
      <c r="W176" s="1" t="n"/>
      <c r="X176" s="1" t="n"/>
      <c r="Y176" s="1" t="n"/>
      <c r="Z176" s="1" t="n"/>
      <c r="AA176" s="1" t="n"/>
      <c r="AB176" s="1" t="n"/>
      <c r="AC176" s="1" t="n"/>
      <c r="AD176" s="1" t="n"/>
    </row>
    <row r="177" ht="15.75" customHeight="1" s="205">
      <c r="A177" s="1" t="n"/>
      <c r="B177" s="4" t="n"/>
      <c r="C177" s="1" t="n"/>
      <c r="D177" s="1" t="n"/>
      <c r="E177" s="1" t="n"/>
      <c r="F177" s="1" t="n"/>
      <c r="G177" s="1" t="n"/>
      <c r="H177" s="1" t="n"/>
      <c r="I177" s="1" t="n"/>
      <c r="J177" s="1" t="n"/>
      <c r="K177" s="1" t="n"/>
      <c r="L177" s="1" t="n"/>
      <c r="M177" s="1" t="n"/>
      <c r="N177" s="1" t="n"/>
      <c r="O177" s="1" t="n"/>
      <c r="P177" s="4" t="n"/>
      <c r="Q177" s="1" t="n"/>
      <c r="R177" s="1" t="n"/>
      <c r="S177" s="1" t="n"/>
      <c r="T177" s="1" t="n"/>
      <c r="U177" s="1" t="n"/>
      <c r="V177" s="1" t="n"/>
      <c r="W177" s="1" t="n"/>
      <c r="X177" s="1" t="n"/>
      <c r="Y177" s="1" t="n"/>
      <c r="Z177" s="1" t="n"/>
      <c r="AA177" s="1" t="n"/>
      <c r="AB177" s="1" t="n"/>
      <c r="AC177" s="1" t="n"/>
      <c r="AD177" s="1" t="n"/>
    </row>
    <row r="178" ht="15.75" customHeight="1" s="205">
      <c r="A178" s="1" t="n"/>
      <c r="B178" s="4" t="n"/>
      <c r="C178" s="1" t="n"/>
      <c r="D178" s="1" t="n"/>
      <c r="E178" s="1" t="n"/>
      <c r="F178" s="1" t="n"/>
      <c r="G178" s="1" t="n"/>
      <c r="H178" s="1" t="n"/>
      <c r="I178" s="1" t="n"/>
      <c r="J178" s="1" t="n"/>
      <c r="K178" s="1" t="n"/>
      <c r="L178" s="1" t="n"/>
      <c r="M178" s="1" t="n"/>
      <c r="N178" s="1" t="n"/>
      <c r="O178" s="1" t="n"/>
      <c r="P178" s="4" t="n"/>
      <c r="Q178" s="1" t="n"/>
      <c r="R178" s="1" t="n"/>
      <c r="S178" s="1" t="n"/>
      <c r="T178" s="1" t="n"/>
      <c r="U178" s="1" t="n"/>
      <c r="V178" s="1" t="n"/>
      <c r="W178" s="1" t="n"/>
      <c r="X178" s="1" t="n"/>
      <c r="Y178" s="1" t="n"/>
      <c r="Z178" s="1" t="n"/>
      <c r="AA178" s="1" t="n"/>
      <c r="AB178" s="1" t="n"/>
      <c r="AC178" s="1" t="n"/>
      <c r="AD178" s="1" t="n"/>
    </row>
    <row r="179" ht="15.75" customHeight="1" s="205">
      <c r="A179" s="1" t="n"/>
      <c r="B179" s="4" t="n"/>
      <c r="C179" s="1" t="n"/>
      <c r="D179" s="1" t="n"/>
      <c r="E179" s="1" t="n"/>
      <c r="F179" s="1" t="n"/>
      <c r="G179" s="1" t="n"/>
      <c r="H179" s="1" t="n"/>
      <c r="I179" s="1" t="n"/>
      <c r="J179" s="1" t="n"/>
      <c r="K179" s="1" t="n"/>
      <c r="L179" s="1" t="n"/>
      <c r="M179" s="1" t="n"/>
      <c r="N179" s="1" t="n"/>
      <c r="O179" s="1" t="n"/>
      <c r="P179" s="4" t="n"/>
      <c r="Q179" s="1" t="n"/>
      <c r="R179" s="1" t="n"/>
      <c r="S179" s="1" t="n"/>
      <c r="T179" s="1" t="n"/>
      <c r="U179" s="1" t="n"/>
      <c r="V179" s="1" t="n"/>
      <c r="W179" s="1" t="n"/>
      <c r="X179" s="1" t="n"/>
      <c r="Y179" s="1" t="n"/>
      <c r="Z179" s="1" t="n"/>
      <c r="AA179" s="1" t="n"/>
      <c r="AB179" s="1" t="n"/>
      <c r="AC179" s="1" t="n"/>
      <c r="AD179" s="1" t="n"/>
    </row>
    <row r="180" ht="15.75" customHeight="1" s="205">
      <c r="A180" s="1" t="n"/>
      <c r="B180" s="4" t="n"/>
      <c r="C180" s="1" t="n"/>
      <c r="D180" s="1" t="n"/>
      <c r="E180" s="1" t="n"/>
      <c r="F180" s="1" t="n"/>
      <c r="G180" s="1" t="n"/>
      <c r="H180" s="1" t="n"/>
      <c r="I180" s="1" t="n"/>
      <c r="J180" s="1" t="n"/>
      <c r="K180" s="1" t="n"/>
      <c r="L180" s="1" t="n"/>
      <c r="M180" s="1" t="n"/>
      <c r="N180" s="1" t="n"/>
      <c r="O180" s="1" t="n"/>
      <c r="P180" s="4" t="n"/>
      <c r="Q180" s="1" t="n"/>
      <c r="R180" s="1" t="n"/>
      <c r="S180" s="1" t="n"/>
      <c r="T180" s="1" t="n"/>
      <c r="U180" s="1" t="n"/>
      <c r="V180" s="1" t="n"/>
      <c r="W180" s="1" t="n"/>
      <c r="X180" s="1" t="n"/>
      <c r="Y180" s="1" t="n"/>
      <c r="Z180" s="1" t="n"/>
      <c r="AA180" s="1" t="n"/>
      <c r="AB180" s="1" t="n"/>
      <c r="AC180" s="1" t="n"/>
      <c r="AD180" s="1" t="n"/>
    </row>
    <row r="181" ht="15.75" customHeight="1" s="205">
      <c r="A181" s="1" t="n"/>
      <c r="B181" s="4" t="n"/>
      <c r="C181" s="1" t="n"/>
      <c r="D181" s="1" t="n"/>
      <c r="E181" s="1" t="n"/>
      <c r="F181" s="1" t="n"/>
      <c r="G181" s="1" t="n"/>
      <c r="H181" s="1" t="n"/>
      <c r="I181" s="1" t="n"/>
      <c r="J181" s="1" t="n"/>
      <c r="K181" s="1" t="n"/>
      <c r="L181" s="1" t="n"/>
      <c r="M181" s="1" t="n"/>
      <c r="N181" s="1" t="n"/>
      <c r="O181" s="1" t="n"/>
      <c r="P181" s="4" t="n"/>
      <c r="Q181" s="1" t="n"/>
      <c r="R181" s="1" t="n"/>
      <c r="S181" s="1" t="n"/>
      <c r="T181" s="1" t="n"/>
      <c r="U181" s="1" t="n"/>
      <c r="V181" s="1" t="n"/>
      <c r="W181" s="1" t="n"/>
      <c r="X181" s="1" t="n"/>
      <c r="Y181" s="1" t="n"/>
      <c r="Z181" s="1" t="n"/>
      <c r="AA181" s="1" t="n"/>
      <c r="AB181" s="1" t="n"/>
      <c r="AC181" s="1" t="n"/>
      <c r="AD181" s="1" t="n"/>
    </row>
    <row r="182" ht="15.75" customHeight="1" s="205">
      <c r="A182" s="1" t="n"/>
      <c r="B182" s="4" t="n"/>
      <c r="C182" s="1" t="n"/>
      <c r="D182" s="1" t="n"/>
      <c r="E182" s="1" t="n"/>
      <c r="F182" s="1" t="n"/>
      <c r="G182" s="1" t="n"/>
      <c r="H182" s="1" t="n"/>
      <c r="I182" s="1" t="n"/>
      <c r="J182" s="1" t="n"/>
      <c r="K182" s="1" t="n"/>
      <c r="L182" s="1" t="n"/>
      <c r="M182" s="1" t="n"/>
      <c r="N182" s="1" t="n"/>
      <c r="O182" s="1" t="n"/>
      <c r="P182" s="4" t="n"/>
      <c r="Q182" s="1" t="n"/>
      <c r="R182" s="1" t="n"/>
      <c r="S182" s="1" t="n"/>
      <c r="T182" s="1" t="n"/>
      <c r="U182" s="1" t="n"/>
      <c r="V182" s="1" t="n"/>
      <c r="W182" s="1" t="n"/>
      <c r="X182" s="1" t="n"/>
      <c r="Y182" s="1" t="n"/>
      <c r="Z182" s="1" t="n"/>
      <c r="AA182" s="1" t="n"/>
      <c r="AB182" s="1" t="n"/>
      <c r="AC182" s="1" t="n"/>
      <c r="AD182" s="1" t="n"/>
    </row>
    <row r="183" ht="15.75" customHeight="1" s="205">
      <c r="A183" s="1" t="n"/>
      <c r="B183" s="4" t="n"/>
      <c r="C183" s="1" t="n"/>
      <c r="D183" s="1" t="n"/>
      <c r="E183" s="1" t="n"/>
      <c r="F183" s="1" t="n"/>
      <c r="G183" s="1" t="n"/>
      <c r="H183" s="1" t="n"/>
      <c r="I183" s="1" t="n"/>
      <c r="J183" s="1" t="n"/>
      <c r="K183" s="1" t="n"/>
      <c r="L183" s="1" t="n"/>
      <c r="M183" s="1" t="n"/>
      <c r="N183" s="1" t="n"/>
      <c r="O183" s="1" t="n"/>
      <c r="P183" s="4" t="n"/>
      <c r="Q183" s="1" t="n"/>
      <c r="R183" s="1" t="n"/>
      <c r="S183" s="1" t="n"/>
      <c r="T183" s="1" t="n"/>
      <c r="U183" s="1" t="n"/>
      <c r="V183" s="1" t="n"/>
      <c r="W183" s="1" t="n"/>
      <c r="X183" s="1" t="n"/>
      <c r="Y183" s="1" t="n"/>
      <c r="Z183" s="1" t="n"/>
      <c r="AA183" s="1" t="n"/>
      <c r="AB183" s="1" t="n"/>
      <c r="AC183" s="1" t="n"/>
      <c r="AD183" s="1" t="n"/>
    </row>
    <row r="184" ht="15.75" customHeight="1" s="205">
      <c r="A184" s="1" t="n"/>
      <c r="B184" s="4" t="n"/>
      <c r="C184" s="1" t="n"/>
      <c r="D184" s="1" t="n"/>
      <c r="E184" s="1" t="n"/>
      <c r="F184" s="1" t="n"/>
      <c r="G184" s="1" t="n"/>
      <c r="H184" s="1" t="n"/>
      <c r="I184" s="1" t="n"/>
      <c r="J184" s="1" t="n"/>
      <c r="K184" s="1" t="n"/>
      <c r="L184" s="1" t="n"/>
      <c r="M184" s="1" t="n"/>
      <c r="N184" s="1" t="n"/>
      <c r="O184" s="1" t="n"/>
      <c r="P184" s="4" t="n"/>
      <c r="Q184" s="1" t="n"/>
      <c r="R184" s="1" t="n"/>
      <c r="S184" s="1" t="n"/>
      <c r="T184" s="1" t="n"/>
      <c r="U184" s="1" t="n"/>
      <c r="V184" s="1" t="n"/>
      <c r="W184" s="1" t="n"/>
      <c r="X184" s="1" t="n"/>
      <c r="Y184" s="1" t="n"/>
      <c r="Z184" s="1" t="n"/>
      <c r="AA184" s="1" t="n"/>
      <c r="AB184" s="1" t="n"/>
      <c r="AC184" s="1" t="n"/>
      <c r="AD184" s="1" t="n"/>
    </row>
    <row r="185" ht="15.75" customHeight="1" s="205">
      <c r="A185" s="1" t="n"/>
      <c r="B185" s="4" t="n"/>
      <c r="C185" s="1" t="n"/>
      <c r="D185" s="1" t="n"/>
      <c r="E185" s="1" t="n"/>
      <c r="F185" s="1" t="n"/>
      <c r="G185" s="1" t="n"/>
      <c r="H185" s="1" t="n"/>
      <c r="I185" s="1" t="n"/>
      <c r="J185" s="1" t="n"/>
      <c r="K185" s="1" t="n"/>
      <c r="L185" s="1" t="n"/>
      <c r="M185" s="1" t="n"/>
      <c r="N185" s="1" t="n"/>
      <c r="O185" s="1" t="n"/>
      <c r="P185" s="4" t="n"/>
      <c r="Q185" s="1" t="n"/>
      <c r="R185" s="1" t="n"/>
      <c r="S185" s="1" t="n"/>
      <c r="T185" s="1" t="n"/>
      <c r="U185" s="1" t="n"/>
      <c r="V185" s="1" t="n"/>
      <c r="W185" s="1" t="n"/>
      <c r="X185" s="1" t="n"/>
      <c r="Y185" s="1" t="n"/>
      <c r="Z185" s="1" t="n"/>
      <c r="AA185" s="1" t="n"/>
      <c r="AB185" s="1" t="n"/>
      <c r="AC185" s="1" t="n"/>
      <c r="AD185" s="1" t="n"/>
    </row>
    <row r="186" ht="15.75" customHeight="1" s="205">
      <c r="A186" s="1" t="n"/>
      <c r="B186" s="4" t="n"/>
      <c r="C186" s="1" t="n"/>
      <c r="D186" s="1" t="n"/>
      <c r="E186" s="1" t="n"/>
      <c r="F186" s="1" t="n"/>
      <c r="G186" s="1" t="n"/>
      <c r="H186" s="1" t="n"/>
      <c r="I186" s="1" t="n"/>
      <c r="J186" s="1" t="n"/>
      <c r="K186" s="1" t="n"/>
      <c r="L186" s="1" t="n"/>
      <c r="M186" s="1" t="n"/>
      <c r="N186" s="1" t="n"/>
      <c r="O186" s="1" t="n"/>
      <c r="P186" s="4" t="n"/>
      <c r="Q186" s="1" t="n"/>
      <c r="R186" s="1" t="n"/>
      <c r="S186" s="1" t="n"/>
      <c r="T186" s="1" t="n"/>
      <c r="U186" s="1" t="n"/>
      <c r="V186" s="1" t="n"/>
      <c r="W186" s="1" t="n"/>
      <c r="X186" s="1" t="n"/>
      <c r="Y186" s="1" t="n"/>
      <c r="Z186" s="1" t="n"/>
      <c r="AA186" s="1" t="n"/>
      <c r="AB186" s="1" t="n"/>
      <c r="AC186" s="1" t="n"/>
      <c r="AD186" s="1" t="n"/>
    </row>
    <row r="187" ht="15.75" customHeight="1" s="205">
      <c r="A187" s="1" t="n"/>
      <c r="B187" s="4" t="n"/>
      <c r="C187" s="1" t="n"/>
      <c r="D187" s="1" t="n"/>
      <c r="E187" s="1" t="n"/>
      <c r="F187" s="1" t="n"/>
      <c r="G187" s="1" t="n"/>
      <c r="H187" s="1" t="n"/>
      <c r="I187" s="1" t="n"/>
      <c r="J187" s="1" t="n"/>
      <c r="K187" s="1" t="n"/>
      <c r="L187" s="1" t="n"/>
      <c r="M187" s="1" t="n"/>
      <c r="N187" s="1" t="n"/>
      <c r="O187" s="1" t="n"/>
      <c r="P187" s="4" t="n"/>
      <c r="Q187" s="1" t="n"/>
      <c r="R187" s="1" t="n"/>
      <c r="S187" s="1" t="n"/>
      <c r="T187" s="1" t="n"/>
      <c r="U187" s="1" t="n"/>
      <c r="V187" s="1" t="n"/>
      <c r="W187" s="1" t="n"/>
      <c r="X187" s="1" t="n"/>
      <c r="Y187" s="1" t="n"/>
      <c r="Z187" s="1" t="n"/>
      <c r="AA187" s="1" t="n"/>
      <c r="AB187" s="1" t="n"/>
      <c r="AC187" s="1" t="n"/>
      <c r="AD187" s="1" t="n"/>
    </row>
    <row r="188" ht="15.75" customHeight="1" s="205">
      <c r="A188" s="1" t="n"/>
      <c r="B188" s="4" t="n"/>
      <c r="C188" s="1" t="n"/>
      <c r="D188" s="1" t="n"/>
      <c r="E188" s="1" t="n"/>
      <c r="F188" s="1" t="n"/>
      <c r="G188" s="1" t="n"/>
      <c r="H188" s="1" t="n"/>
      <c r="I188" s="1" t="n"/>
      <c r="J188" s="1" t="n"/>
      <c r="K188" s="1" t="n"/>
      <c r="L188" s="1" t="n"/>
      <c r="M188" s="1" t="n"/>
      <c r="N188" s="1" t="n"/>
      <c r="O188" s="1" t="n"/>
      <c r="P188" s="4" t="n"/>
      <c r="Q188" s="1" t="n"/>
      <c r="R188" s="1" t="n"/>
      <c r="S188" s="1" t="n"/>
      <c r="T188" s="1" t="n"/>
      <c r="U188" s="1" t="n"/>
      <c r="V188" s="1" t="n"/>
      <c r="W188" s="1" t="n"/>
      <c r="X188" s="1" t="n"/>
      <c r="Y188" s="1" t="n"/>
      <c r="Z188" s="1" t="n"/>
      <c r="AA188" s="1" t="n"/>
      <c r="AB188" s="1" t="n"/>
      <c r="AC188" s="1" t="n"/>
      <c r="AD188" s="1" t="n"/>
    </row>
    <row r="189" ht="15.75" customHeight="1" s="205">
      <c r="A189" s="1" t="n"/>
      <c r="B189" s="4" t="n"/>
      <c r="C189" s="1" t="n"/>
      <c r="D189" s="1" t="n"/>
      <c r="E189" s="1" t="n"/>
      <c r="F189" s="1" t="n"/>
      <c r="G189" s="1" t="n"/>
      <c r="H189" s="1" t="n"/>
      <c r="I189" s="1" t="n"/>
      <c r="J189" s="1" t="n"/>
      <c r="K189" s="1" t="n"/>
      <c r="L189" s="1" t="n"/>
      <c r="M189" s="1" t="n"/>
      <c r="N189" s="1" t="n"/>
      <c r="O189" s="1" t="n"/>
      <c r="P189" s="4" t="n"/>
      <c r="Q189" s="1" t="n"/>
      <c r="R189" s="1" t="n"/>
      <c r="S189" s="1" t="n"/>
      <c r="T189" s="1" t="n"/>
      <c r="U189" s="1" t="n"/>
      <c r="V189" s="1" t="n"/>
      <c r="W189" s="1" t="n"/>
      <c r="X189" s="1" t="n"/>
      <c r="Y189" s="1" t="n"/>
      <c r="Z189" s="1" t="n"/>
      <c r="AA189" s="1" t="n"/>
      <c r="AB189" s="1" t="n"/>
      <c r="AC189" s="1" t="n"/>
      <c r="AD189" s="1" t="n"/>
    </row>
    <row r="190" ht="15.75" customHeight="1" s="205">
      <c r="A190" s="1" t="n"/>
      <c r="B190" s="4" t="n"/>
      <c r="C190" s="1" t="n"/>
      <c r="D190" s="1" t="n"/>
      <c r="E190" s="1" t="n"/>
      <c r="F190" s="1" t="n"/>
      <c r="G190" s="1" t="n"/>
      <c r="H190" s="1" t="n"/>
      <c r="I190" s="1" t="n"/>
      <c r="J190" s="1" t="n"/>
      <c r="K190" s="1" t="n"/>
      <c r="L190" s="1" t="n"/>
      <c r="M190" s="1" t="n"/>
      <c r="N190" s="1" t="n"/>
      <c r="O190" s="1" t="n"/>
      <c r="P190" s="4" t="n"/>
      <c r="Q190" s="1" t="n"/>
      <c r="R190" s="1" t="n"/>
      <c r="S190" s="1" t="n"/>
      <c r="T190" s="1" t="n"/>
      <c r="U190" s="1" t="n"/>
      <c r="V190" s="1" t="n"/>
      <c r="W190" s="1" t="n"/>
      <c r="X190" s="1" t="n"/>
      <c r="Y190" s="1" t="n"/>
      <c r="Z190" s="1" t="n"/>
      <c r="AA190" s="1" t="n"/>
      <c r="AB190" s="1" t="n"/>
      <c r="AC190" s="1" t="n"/>
      <c r="AD190" s="1" t="n"/>
    </row>
    <row r="191" ht="15.75" customHeight="1" s="205">
      <c r="A191" s="1" t="n"/>
      <c r="B191" s="4" t="n"/>
      <c r="C191" s="1" t="n"/>
      <c r="D191" s="1" t="n"/>
      <c r="E191" s="1" t="n"/>
      <c r="F191" s="1" t="n"/>
      <c r="G191" s="1" t="n"/>
      <c r="H191" s="1" t="n"/>
      <c r="I191" s="1" t="n"/>
      <c r="J191" s="1" t="n"/>
      <c r="K191" s="1" t="n"/>
      <c r="L191" s="1" t="n"/>
      <c r="M191" s="1" t="n"/>
      <c r="N191" s="1" t="n"/>
      <c r="O191" s="1" t="n"/>
      <c r="P191" s="4" t="n"/>
      <c r="Q191" s="1" t="n"/>
      <c r="R191" s="1" t="n"/>
      <c r="S191" s="1" t="n"/>
      <c r="T191" s="1" t="n"/>
      <c r="U191" s="1" t="n"/>
      <c r="V191" s="1" t="n"/>
      <c r="W191" s="1" t="n"/>
      <c r="X191" s="1" t="n"/>
      <c r="Y191" s="1" t="n"/>
      <c r="Z191" s="1" t="n"/>
      <c r="AA191" s="1" t="n"/>
      <c r="AB191" s="1" t="n"/>
      <c r="AC191" s="1" t="n"/>
      <c r="AD191" s="1" t="n"/>
    </row>
    <row r="192" ht="15.75" customHeight="1" s="205">
      <c r="A192" s="1" t="n"/>
      <c r="B192" s="4" t="n"/>
      <c r="C192" s="1" t="n"/>
      <c r="D192" s="1" t="n"/>
      <c r="E192" s="1" t="n"/>
      <c r="F192" s="1" t="n"/>
      <c r="G192" s="1" t="n"/>
      <c r="H192" s="1" t="n"/>
      <c r="I192" s="1" t="n"/>
      <c r="J192" s="1" t="n"/>
      <c r="K192" s="1" t="n"/>
      <c r="L192" s="1" t="n"/>
      <c r="M192" s="1" t="n"/>
      <c r="N192" s="1" t="n"/>
      <c r="O192" s="1" t="n"/>
      <c r="P192" s="4" t="n"/>
      <c r="Q192" s="1" t="n"/>
      <c r="R192" s="1" t="n"/>
      <c r="S192" s="1" t="n"/>
      <c r="T192" s="1" t="n"/>
      <c r="U192" s="1" t="n"/>
      <c r="V192" s="1" t="n"/>
      <c r="W192" s="1" t="n"/>
      <c r="X192" s="1" t="n"/>
      <c r="Y192" s="1" t="n"/>
      <c r="Z192" s="1" t="n"/>
      <c r="AA192" s="1" t="n"/>
      <c r="AB192" s="1" t="n"/>
      <c r="AC192" s="1" t="n"/>
      <c r="AD192" s="1" t="n"/>
    </row>
    <row r="193" ht="15.75" customHeight="1" s="205">
      <c r="A193" s="1" t="n"/>
      <c r="B193" s="4" t="n"/>
      <c r="C193" s="1" t="n"/>
      <c r="D193" s="1" t="n"/>
      <c r="E193" s="1" t="n"/>
      <c r="F193" s="1" t="n"/>
      <c r="G193" s="1" t="n"/>
      <c r="H193" s="1" t="n"/>
      <c r="I193" s="1" t="n"/>
      <c r="J193" s="1" t="n"/>
      <c r="K193" s="1" t="n"/>
      <c r="L193" s="1" t="n"/>
      <c r="M193" s="1" t="n"/>
      <c r="N193" s="1" t="n"/>
      <c r="O193" s="1" t="n"/>
      <c r="P193" s="4" t="n"/>
      <c r="Q193" s="1" t="n"/>
      <c r="R193" s="1" t="n"/>
      <c r="S193" s="1" t="n"/>
      <c r="T193" s="1" t="n"/>
      <c r="U193" s="1" t="n"/>
      <c r="V193" s="1" t="n"/>
      <c r="W193" s="1" t="n"/>
      <c r="X193" s="1" t="n"/>
      <c r="Y193" s="1" t="n"/>
      <c r="Z193" s="1" t="n"/>
      <c r="AA193" s="1" t="n"/>
      <c r="AB193" s="1" t="n"/>
      <c r="AC193" s="1" t="n"/>
      <c r="AD193" s="1" t="n"/>
    </row>
    <row r="194" ht="15.75" customHeight="1" s="205">
      <c r="A194" s="1" t="n"/>
      <c r="B194" s="4" t="n"/>
      <c r="C194" s="1" t="n"/>
      <c r="D194" s="1" t="n"/>
      <c r="E194" s="1" t="n"/>
      <c r="F194" s="1" t="n"/>
      <c r="G194" s="1" t="n"/>
      <c r="H194" s="1" t="n"/>
      <c r="I194" s="1" t="n"/>
      <c r="J194" s="1" t="n"/>
      <c r="K194" s="1" t="n"/>
      <c r="L194" s="1" t="n"/>
      <c r="M194" s="1" t="n"/>
      <c r="N194" s="1" t="n"/>
      <c r="O194" s="1" t="n"/>
      <c r="P194" s="4" t="n"/>
      <c r="Q194" s="1" t="n"/>
      <c r="R194" s="1" t="n"/>
      <c r="S194" s="1" t="n"/>
      <c r="T194" s="1" t="n"/>
      <c r="U194" s="1" t="n"/>
      <c r="V194" s="1" t="n"/>
      <c r="W194" s="1" t="n"/>
      <c r="X194" s="1" t="n"/>
      <c r="Y194" s="1" t="n"/>
      <c r="Z194" s="1" t="n"/>
      <c r="AA194" s="1" t="n"/>
      <c r="AB194" s="1" t="n"/>
      <c r="AC194" s="1" t="n"/>
      <c r="AD194" s="1" t="n"/>
    </row>
    <row r="195" ht="15.75" customHeight="1" s="205">
      <c r="A195" s="1" t="n"/>
      <c r="B195" s="4" t="n"/>
      <c r="C195" s="1" t="n"/>
      <c r="D195" s="1" t="n"/>
      <c r="E195" s="1" t="n"/>
      <c r="F195" s="1" t="n"/>
      <c r="G195" s="1" t="n"/>
      <c r="H195" s="1" t="n"/>
      <c r="I195" s="1" t="n"/>
      <c r="J195" s="1" t="n"/>
      <c r="K195" s="1" t="n"/>
      <c r="L195" s="1" t="n"/>
      <c r="M195" s="1" t="n"/>
      <c r="N195" s="1" t="n"/>
      <c r="O195" s="1" t="n"/>
      <c r="P195" s="4" t="n"/>
      <c r="Q195" s="1" t="n"/>
      <c r="R195" s="1" t="n"/>
      <c r="S195" s="1" t="n"/>
      <c r="T195" s="1" t="n"/>
      <c r="U195" s="1" t="n"/>
      <c r="V195" s="1" t="n"/>
      <c r="W195" s="1" t="n"/>
      <c r="X195" s="1" t="n"/>
      <c r="Y195" s="1" t="n"/>
      <c r="Z195" s="1" t="n"/>
      <c r="AA195" s="1" t="n"/>
      <c r="AB195" s="1" t="n"/>
      <c r="AC195" s="1" t="n"/>
      <c r="AD195" s="1" t="n"/>
    </row>
    <row r="196" ht="15.75" customHeight="1" s="205">
      <c r="A196" s="1" t="n"/>
      <c r="B196" s="4" t="n"/>
      <c r="C196" s="1" t="n"/>
      <c r="D196" s="1" t="n"/>
      <c r="E196" s="1" t="n"/>
      <c r="F196" s="1" t="n"/>
      <c r="G196" s="1" t="n"/>
      <c r="H196" s="1" t="n"/>
      <c r="I196" s="1" t="n"/>
      <c r="J196" s="1" t="n"/>
      <c r="K196" s="1" t="n"/>
      <c r="L196" s="1" t="n"/>
      <c r="M196" s="1" t="n"/>
      <c r="N196" s="1" t="n"/>
      <c r="O196" s="1" t="n"/>
      <c r="P196" s="4" t="n"/>
      <c r="Q196" s="1" t="n"/>
      <c r="R196" s="1" t="n"/>
      <c r="S196" s="1" t="n"/>
      <c r="T196" s="1" t="n"/>
      <c r="U196" s="1" t="n"/>
      <c r="V196" s="1" t="n"/>
      <c r="W196" s="1" t="n"/>
      <c r="X196" s="1" t="n"/>
      <c r="Y196" s="1" t="n"/>
      <c r="Z196" s="1" t="n"/>
      <c r="AA196" s="1" t="n"/>
      <c r="AB196" s="1" t="n"/>
      <c r="AC196" s="1" t="n"/>
      <c r="AD196" s="1" t="n"/>
    </row>
    <row r="197" ht="15.75" customHeight="1" s="205">
      <c r="A197" s="1" t="n"/>
      <c r="B197" s="4" t="n"/>
      <c r="C197" s="1" t="n"/>
      <c r="D197" s="1" t="n"/>
      <c r="E197" s="1" t="n"/>
      <c r="F197" s="1" t="n"/>
      <c r="G197" s="1" t="n"/>
      <c r="H197" s="1" t="n"/>
      <c r="I197" s="1" t="n"/>
      <c r="J197" s="1" t="n"/>
      <c r="K197" s="1" t="n"/>
      <c r="L197" s="1" t="n"/>
      <c r="M197" s="1" t="n"/>
      <c r="N197" s="1" t="n"/>
      <c r="O197" s="1" t="n"/>
      <c r="P197" s="4" t="n"/>
      <c r="Q197" s="1" t="n"/>
      <c r="R197" s="1" t="n"/>
      <c r="S197" s="1" t="n"/>
      <c r="T197" s="1" t="n"/>
      <c r="U197" s="1" t="n"/>
      <c r="V197" s="1" t="n"/>
      <c r="W197" s="1" t="n"/>
      <c r="X197" s="1" t="n"/>
      <c r="Y197" s="1" t="n"/>
      <c r="Z197" s="1" t="n"/>
      <c r="AA197" s="1" t="n"/>
      <c r="AB197" s="1" t="n"/>
      <c r="AC197" s="1" t="n"/>
      <c r="AD197" s="1" t="n"/>
    </row>
    <row r="198" ht="15.75" customHeight="1" s="205">
      <c r="A198" s="1" t="n"/>
      <c r="B198" s="4" t="n"/>
      <c r="C198" s="1" t="n"/>
      <c r="D198" s="1" t="n"/>
      <c r="E198" s="1" t="n"/>
      <c r="F198" s="1" t="n"/>
      <c r="G198" s="1" t="n"/>
      <c r="H198" s="1" t="n"/>
      <c r="I198" s="1" t="n"/>
      <c r="J198" s="1" t="n"/>
      <c r="K198" s="1" t="n"/>
      <c r="L198" s="1" t="n"/>
      <c r="M198" s="1" t="n"/>
      <c r="N198" s="1" t="n"/>
      <c r="O198" s="1" t="n"/>
      <c r="P198" s="4" t="n"/>
      <c r="Q198" s="1" t="n"/>
      <c r="R198" s="1" t="n"/>
      <c r="S198" s="1" t="n"/>
      <c r="T198" s="1" t="n"/>
      <c r="U198" s="1" t="n"/>
      <c r="V198" s="1" t="n"/>
      <c r="W198" s="1" t="n"/>
      <c r="X198" s="1" t="n"/>
      <c r="Y198" s="1" t="n"/>
      <c r="Z198" s="1" t="n"/>
      <c r="AA198" s="1" t="n"/>
      <c r="AB198" s="1" t="n"/>
      <c r="AC198" s="1" t="n"/>
      <c r="AD198" s="1" t="n"/>
    </row>
    <row r="199" ht="15.75" customHeight="1" s="205">
      <c r="A199" s="1" t="n"/>
      <c r="B199" s="4" t="n"/>
      <c r="C199" s="1" t="n"/>
      <c r="D199" s="1" t="n"/>
      <c r="E199" s="1" t="n"/>
      <c r="F199" s="1" t="n"/>
      <c r="G199" s="1" t="n"/>
      <c r="H199" s="1" t="n"/>
      <c r="I199" s="1" t="n"/>
      <c r="J199" s="1" t="n"/>
      <c r="K199" s="1" t="n"/>
      <c r="L199" s="1" t="n"/>
      <c r="M199" s="1" t="n"/>
      <c r="N199" s="1" t="n"/>
      <c r="O199" s="1" t="n"/>
      <c r="P199" s="4" t="n"/>
      <c r="Q199" s="1" t="n"/>
      <c r="R199" s="1" t="n"/>
      <c r="S199" s="1" t="n"/>
      <c r="T199" s="1" t="n"/>
      <c r="U199" s="1" t="n"/>
      <c r="V199" s="1" t="n"/>
      <c r="W199" s="1" t="n"/>
      <c r="X199" s="1" t="n"/>
      <c r="Y199" s="1" t="n"/>
      <c r="Z199" s="1" t="n"/>
      <c r="AA199" s="1" t="n"/>
      <c r="AB199" s="1" t="n"/>
      <c r="AC199" s="1" t="n"/>
      <c r="AD199" s="1" t="n"/>
    </row>
    <row r="200" ht="15.75" customHeight="1" s="205">
      <c r="A200" s="1" t="n"/>
      <c r="B200" s="4" t="n"/>
      <c r="C200" s="1" t="n"/>
      <c r="D200" s="1" t="n"/>
      <c r="E200" s="1" t="n"/>
      <c r="F200" s="1" t="n"/>
      <c r="G200" s="1" t="n"/>
      <c r="H200" s="1" t="n"/>
      <c r="I200" s="1" t="n"/>
      <c r="J200" s="1" t="n"/>
      <c r="K200" s="1" t="n"/>
      <c r="L200" s="1" t="n"/>
      <c r="M200" s="1" t="n"/>
      <c r="N200" s="1" t="n"/>
      <c r="O200" s="1" t="n"/>
      <c r="P200" s="4" t="n"/>
      <c r="Q200" s="1" t="n"/>
      <c r="R200" s="1" t="n"/>
      <c r="S200" s="1" t="n"/>
      <c r="T200" s="1" t="n"/>
      <c r="U200" s="1" t="n"/>
      <c r="V200" s="1" t="n"/>
      <c r="W200" s="1" t="n"/>
      <c r="X200" s="1" t="n"/>
      <c r="Y200" s="1" t="n"/>
      <c r="Z200" s="1" t="n"/>
      <c r="AA200" s="1" t="n"/>
      <c r="AB200" s="1" t="n"/>
      <c r="AC200" s="1" t="n"/>
      <c r="AD200" s="1" t="n"/>
    </row>
    <row r="201" ht="15.75" customHeight="1" s="205">
      <c r="A201" s="1" t="n"/>
      <c r="B201" s="4" t="n"/>
      <c r="C201" s="1" t="n"/>
      <c r="D201" s="1" t="n"/>
      <c r="E201" s="1" t="n"/>
      <c r="F201" s="1" t="n"/>
      <c r="G201" s="1" t="n"/>
      <c r="H201" s="1" t="n"/>
      <c r="I201" s="1" t="n"/>
      <c r="J201" s="1" t="n"/>
      <c r="K201" s="1" t="n"/>
      <c r="L201" s="1" t="n"/>
      <c r="M201" s="1" t="n"/>
      <c r="N201" s="1" t="n"/>
      <c r="O201" s="1" t="n"/>
      <c r="P201" s="4" t="n"/>
      <c r="Q201" s="1" t="n"/>
      <c r="R201" s="1" t="n"/>
      <c r="S201" s="1" t="n"/>
      <c r="T201" s="1" t="n"/>
      <c r="U201" s="1" t="n"/>
      <c r="V201" s="1" t="n"/>
      <c r="W201" s="1" t="n"/>
      <c r="X201" s="1" t="n"/>
      <c r="Y201" s="1" t="n"/>
      <c r="Z201" s="1" t="n"/>
      <c r="AA201" s="1" t="n"/>
      <c r="AB201" s="1" t="n"/>
      <c r="AC201" s="1" t="n"/>
      <c r="AD201" s="1" t="n"/>
    </row>
    <row r="202" ht="15.75" customHeight="1" s="205">
      <c r="A202" s="1" t="n"/>
      <c r="B202" s="4" t="n"/>
      <c r="C202" s="1" t="n"/>
      <c r="D202" s="1" t="n"/>
      <c r="E202" s="1" t="n"/>
      <c r="F202" s="1" t="n"/>
      <c r="G202" s="1" t="n"/>
      <c r="H202" s="1" t="n"/>
      <c r="I202" s="1" t="n"/>
      <c r="J202" s="1" t="n"/>
      <c r="K202" s="1" t="n"/>
      <c r="L202" s="1" t="n"/>
      <c r="M202" s="1" t="n"/>
      <c r="N202" s="1" t="n"/>
      <c r="O202" s="1" t="n"/>
      <c r="P202" s="4" t="n"/>
      <c r="Q202" s="1" t="n"/>
      <c r="R202" s="1" t="n"/>
      <c r="S202" s="1" t="n"/>
      <c r="T202" s="1" t="n"/>
      <c r="U202" s="1" t="n"/>
      <c r="V202" s="1" t="n"/>
      <c r="W202" s="1" t="n"/>
      <c r="X202" s="1" t="n"/>
      <c r="Y202" s="1" t="n"/>
      <c r="Z202" s="1" t="n"/>
      <c r="AA202" s="1" t="n"/>
      <c r="AB202" s="1" t="n"/>
      <c r="AC202" s="1" t="n"/>
      <c r="AD202" s="1" t="n"/>
    </row>
    <row r="203" ht="15.75" customHeight="1" s="205">
      <c r="A203" s="1" t="n"/>
      <c r="B203" s="4" t="n"/>
      <c r="C203" s="1" t="n"/>
      <c r="D203" s="1" t="n"/>
      <c r="E203" s="1" t="n"/>
      <c r="F203" s="1" t="n"/>
      <c r="G203" s="1" t="n"/>
      <c r="H203" s="1" t="n"/>
      <c r="I203" s="1" t="n"/>
      <c r="J203" s="1" t="n"/>
      <c r="K203" s="1" t="n"/>
      <c r="L203" s="1" t="n"/>
      <c r="M203" s="1" t="n"/>
      <c r="N203" s="1" t="n"/>
      <c r="O203" s="1" t="n"/>
      <c r="P203" s="4" t="n"/>
      <c r="Q203" s="1" t="n"/>
      <c r="R203" s="1" t="n"/>
      <c r="S203" s="1" t="n"/>
      <c r="T203" s="1" t="n"/>
      <c r="U203" s="1" t="n"/>
      <c r="V203" s="1" t="n"/>
      <c r="W203" s="1" t="n"/>
      <c r="X203" s="1" t="n"/>
      <c r="Y203" s="1" t="n"/>
      <c r="Z203" s="1" t="n"/>
      <c r="AA203" s="1" t="n"/>
      <c r="AB203" s="1" t="n"/>
      <c r="AC203" s="1" t="n"/>
      <c r="AD203" s="1" t="n"/>
    </row>
    <row r="204" ht="15.75" customHeight="1" s="205">
      <c r="A204" s="1" t="n"/>
      <c r="B204" s="4" t="n"/>
      <c r="C204" s="1" t="n"/>
      <c r="D204" s="1" t="n"/>
      <c r="E204" s="1" t="n"/>
      <c r="F204" s="1" t="n"/>
      <c r="G204" s="1" t="n"/>
      <c r="H204" s="1" t="n"/>
      <c r="I204" s="1" t="n"/>
      <c r="J204" s="1" t="n"/>
      <c r="K204" s="1" t="n"/>
      <c r="L204" s="1" t="n"/>
      <c r="M204" s="1" t="n"/>
      <c r="N204" s="1" t="n"/>
      <c r="O204" s="1" t="n"/>
      <c r="P204" s="4" t="n"/>
      <c r="Q204" s="1" t="n"/>
      <c r="R204" s="1" t="n"/>
      <c r="S204" s="1" t="n"/>
      <c r="T204" s="1" t="n"/>
      <c r="U204" s="1" t="n"/>
      <c r="V204" s="1" t="n"/>
      <c r="W204" s="1" t="n"/>
      <c r="X204" s="1" t="n"/>
      <c r="Y204" s="1" t="n"/>
      <c r="Z204" s="1" t="n"/>
      <c r="AA204" s="1" t="n"/>
      <c r="AB204" s="1" t="n"/>
      <c r="AC204" s="1" t="n"/>
      <c r="AD204" s="1" t="n"/>
    </row>
    <row r="205" ht="15.75" customHeight="1" s="205">
      <c r="A205" s="1" t="n"/>
      <c r="B205" s="4" t="n"/>
      <c r="C205" s="1" t="n"/>
      <c r="D205" s="1" t="n"/>
      <c r="E205" s="1" t="n"/>
      <c r="F205" s="1" t="n"/>
      <c r="G205" s="1" t="n"/>
      <c r="H205" s="1" t="n"/>
      <c r="I205" s="1" t="n"/>
      <c r="J205" s="1" t="n"/>
      <c r="K205" s="1" t="n"/>
      <c r="L205" s="1" t="n"/>
      <c r="M205" s="1" t="n"/>
      <c r="N205" s="1" t="n"/>
      <c r="O205" s="1" t="n"/>
      <c r="P205" s="4" t="n"/>
      <c r="Q205" s="1" t="n"/>
      <c r="R205" s="1" t="n"/>
      <c r="S205" s="1" t="n"/>
      <c r="T205" s="1" t="n"/>
      <c r="U205" s="1" t="n"/>
      <c r="V205" s="1" t="n"/>
      <c r="W205" s="1" t="n"/>
      <c r="X205" s="1" t="n"/>
      <c r="Y205" s="1" t="n"/>
      <c r="Z205" s="1" t="n"/>
      <c r="AA205" s="1" t="n"/>
      <c r="AB205" s="1" t="n"/>
      <c r="AC205" s="1" t="n"/>
      <c r="AD205" s="1" t="n"/>
    </row>
    <row r="206" ht="15.75" customHeight="1" s="205">
      <c r="A206" s="1" t="n"/>
      <c r="B206" s="4" t="n"/>
      <c r="C206" s="1" t="n"/>
      <c r="D206" s="1" t="n"/>
      <c r="E206" s="1" t="n"/>
      <c r="F206" s="1" t="n"/>
      <c r="G206" s="1" t="n"/>
      <c r="H206" s="1" t="n"/>
      <c r="I206" s="1" t="n"/>
      <c r="J206" s="1" t="n"/>
      <c r="K206" s="1" t="n"/>
      <c r="L206" s="1" t="n"/>
      <c r="M206" s="1" t="n"/>
      <c r="N206" s="1" t="n"/>
      <c r="O206" s="1" t="n"/>
      <c r="P206" s="4" t="n"/>
      <c r="Q206" s="1" t="n"/>
      <c r="R206" s="1" t="n"/>
      <c r="S206" s="1" t="n"/>
      <c r="T206" s="1" t="n"/>
      <c r="U206" s="1" t="n"/>
      <c r="V206" s="1" t="n"/>
      <c r="W206" s="1" t="n"/>
      <c r="X206" s="1" t="n"/>
      <c r="Y206" s="1" t="n"/>
      <c r="Z206" s="1" t="n"/>
      <c r="AA206" s="1" t="n"/>
      <c r="AB206" s="1" t="n"/>
      <c r="AC206" s="1" t="n"/>
      <c r="AD206" s="1" t="n"/>
    </row>
    <row r="207" ht="15.75" customHeight="1" s="205">
      <c r="A207" s="1" t="n"/>
      <c r="B207" s="4" t="n"/>
      <c r="C207" s="1" t="n"/>
      <c r="D207" s="1" t="n"/>
      <c r="E207" s="1" t="n"/>
      <c r="F207" s="1" t="n"/>
      <c r="G207" s="1" t="n"/>
      <c r="H207" s="1" t="n"/>
      <c r="I207" s="1" t="n"/>
      <c r="J207" s="1" t="n"/>
      <c r="K207" s="1" t="n"/>
      <c r="L207" s="1" t="n"/>
      <c r="M207" s="1" t="n"/>
      <c r="N207" s="1" t="n"/>
      <c r="O207" s="1" t="n"/>
      <c r="P207" s="4" t="n"/>
      <c r="Q207" s="1" t="n"/>
      <c r="R207" s="1" t="n"/>
      <c r="S207" s="1" t="n"/>
      <c r="T207" s="1" t="n"/>
      <c r="U207" s="1" t="n"/>
      <c r="V207" s="1" t="n"/>
      <c r="W207" s="1" t="n"/>
      <c r="X207" s="1" t="n"/>
      <c r="Y207" s="1" t="n"/>
      <c r="Z207" s="1" t="n"/>
      <c r="AA207" s="1" t="n"/>
      <c r="AB207" s="1" t="n"/>
      <c r="AC207" s="1" t="n"/>
      <c r="AD207" s="1" t="n"/>
    </row>
    <row r="208" ht="15.75" customHeight="1" s="205">
      <c r="A208" s="1" t="n"/>
      <c r="B208" s="4" t="n"/>
      <c r="C208" s="1" t="n"/>
      <c r="D208" s="1" t="n"/>
      <c r="E208" s="1" t="n"/>
      <c r="F208" s="1" t="n"/>
      <c r="G208" s="1" t="n"/>
      <c r="H208" s="1" t="n"/>
      <c r="I208" s="1" t="n"/>
      <c r="J208" s="1" t="n"/>
      <c r="K208" s="1" t="n"/>
      <c r="L208" s="1" t="n"/>
      <c r="M208" s="1" t="n"/>
      <c r="N208" s="1" t="n"/>
      <c r="O208" s="1" t="n"/>
      <c r="P208" s="4" t="n"/>
      <c r="Q208" s="1" t="n"/>
      <c r="R208" s="1" t="n"/>
      <c r="S208" s="1" t="n"/>
      <c r="T208" s="1" t="n"/>
      <c r="U208" s="1" t="n"/>
      <c r="V208" s="1" t="n"/>
      <c r="W208" s="1" t="n"/>
      <c r="X208" s="1" t="n"/>
      <c r="Y208" s="1" t="n"/>
      <c r="Z208" s="1" t="n"/>
      <c r="AA208" s="1" t="n"/>
      <c r="AB208" s="1" t="n"/>
      <c r="AC208" s="1" t="n"/>
      <c r="AD208" s="1" t="n"/>
    </row>
    <row r="209" ht="15.75" customHeight="1" s="205">
      <c r="A209" s="1" t="n"/>
      <c r="B209" s="4" t="n"/>
      <c r="C209" s="1" t="n"/>
      <c r="D209" s="1" t="n"/>
      <c r="E209" s="1" t="n"/>
      <c r="F209" s="1" t="n"/>
      <c r="G209" s="1" t="n"/>
      <c r="H209" s="1" t="n"/>
      <c r="I209" s="1" t="n"/>
      <c r="J209" s="1" t="n"/>
      <c r="K209" s="1" t="n"/>
      <c r="L209" s="1" t="n"/>
      <c r="M209" s="1" t="n"/>
      <c r="N209" s="1" t="n"/>
      <c r="O209" s="1" t="n"/>
      <c r="P209" s="4" t="n"/>
      <c r="Q209" s="1" t="n"/>
      <c r="R209" s="1" t="n"/>
      <c r="S209" s="1" t="n"/>
      <c r="T209" s="1" t="n"/>
      <c r="U209" s="1" t="n"/>
      <c r="V209" s="1" t="n"/>
      <c r="W209" s="1" t="n"/>
      <c r="X209" s="1" t="n"/>
      <c r="Y209" s="1" t="n"/>
      <c r="Z209" s="1" t="n"/>
      <c r="AA209" s="1" t="n"/>
      <c r="AB209" s="1" t="n"/>
      <c r="AC209" s="1" t="n"/>
      <c r="AD209" s="1" t="n"/>
    </row>
    <row r="210" ht="15.75" customHeight="1" s="205">
      <c r="A210" s="1" t="n"/>
      <c r="B210" s="4" t="n"/>
      <c r="C210" s="1" t="n"/>
      <c r="D210" s="1" t="n"/>
      <c r="E210" s="1" t="n"/>
      <c r="F210" s="1" t="n"/>
      <c r="G210" s="1" t="n"/>
      <c r="H210" s="1" t="n"/>
      <c r="I210" s="1" t="n"/>
      <c r="J210" s="1" t="n"/>
      <c r="K210" s="1" t="n"/>
      <c r="L210" s="1" t="n"/>
      <c r="M210" s="1" t="n"/>
      <c r="N210" s="1" t="n"/>
      <c r="O210" s="1" t="n"/>
      <c r="P210" s="4" t="n"/>
      <c r="Q210" s="1" t="n"/>
      <c r="R210" s="1" t="n"/>
      <c r="S210" s="1" t="n"/>
      <c r="T210" s="1" t="n"/>
      <c r="U210" s="1" t="n"/>
      <c r="V210" s="1" t="n"/>
      <c r="W210" s="1" t="n"/>
      <c r="X210" s="1" t="n"/>
      <c r="Y210" s="1" t="n"/>
      <c r="Z210" s="1" t="n"/>
      <c r="AA210" s="1" t="n"/>
      <c r="AB210" s="1" t="n"/>
      <c r="AC210" s="1" t="n"/>
      <c r="AD210" s="1" t="n"/>
    </row>
    <row r="211" ht="15.75" customHeight="1" s="205">
      <c r="A211" s="1" t="n"/>
      <c r="B211" s="4" t="n"/>
      <c r="C211" s="1" t="n"/>
      <c r="D211" s="1" t="n"/>
      <c r="E211" s="1" t="n"/>
      <c r="F211" s="1" t="n"/>
      <c r="G211" s="1" t="n"/>
      <c r="H211" s="1" t="n"/>
      <c r="I211" s="1" t="n"/>
      <c r="J211" s="1" t="n"/>
      <c r="K211" s="1" t="n"/>
      <c r="L211" s="1" t="n"/>
      <c r="M211" s="1" t="n"/>
      <c r="N211" s="1" t="n"/>
      <c r="O211" s="1" t="n"/>
      <c r="P211" s="4" t="n"/>
      <c r="Q211" s="1" t="n"/>
      <c r="R211" s="1" t="n"/>
      <c r="S211" s="1" t="n"/>
      <c r="T211" s="1" t="n"/>
      <c r="U211" s="1" t="n"/>
      <c r="V211" s="1" t="n"/>
      <c r="W211" s="1" t="n"/>
      <c r="X211" s="1" t="n"/>
      <c r="Y211" s="1" t="n"/>
      <c r="Z211" s="1" t="n"/>
      <c r="AA211" s="1" t="n"/>
      <c r="AB211" s="1" t="n"/>
      <c r="AC211" s="1" t="n"/>
      <c r="AD211" s="1" t="n"/>
    </row>
    <row r="212" ht="15.75" customHeight="1" s="205">
      <c r="A212" s="1" t="n"/>
      <c r="B212" s="4" t="n"/>
      <c r="C212" s="1" t="n"/>
      <c r="D212" s="1" t="n"/>
      <c r="E212" s="1" t="n"/>
      <c r="F212" s="1" t="n"/>
      <c r="G212" s="1" t="n"/>
      <c r="H212" s="1" t="n"/>
      <c r="I212" s="1" t="n"/>
      <c r="J212" s="1" t="n"/>
      <c r="K212" s="1" t="n"/>
      <c r="L212" s="1" t="n"/>
      <c r="M212" s="1" t="n"/>
      <c r="N212" s="1" t="n"/>
      <c r="O212" s="1" t="n"/>
      <c r="P212" s="4" t="n"/>
      <c r="Q212" s="1" t="n"/>
      <c r="R212" s="1" t="n"/>
      <c r="S212" s="1" t="n"/>
      <c r="T212" s="1" t="n"/>
      <c r="U212" s="1" t="n"/>
      <c r="V212" s="1" t="n"/>
      <c r="W212" s="1" t="n"/>
      <c r="X212" s="1" t="n"/>
      <c r="Y212" s="1" t="n"/>
      <c r="Z212" s="1" t="n"/>
      <c r="AA212" s="1" t="n"/>
      <c r="AB212" s="1" t="n"/>
      <c r="AC212" s="1" t="n"/>
      <c r="AD212" s="1" t="n"/>
    </row>
    <row r="213" ht="15.75" customHeight="1" s="205">
      <c r="A213" s="1" t="n"/>
      <c r="B213" s="4" t="n"/>
      <c r="C213" s="1" t="n"/>
      <c r="D213" s="1" t="n"/>
      <c r="E213" s="1" t="n"/>
      <c r="F213" s="1" t="n"/>
      <c r="G213" s="1" t="n"/>
      <c r="H213" s="1" t="n"/>
      <c r="I213" s="1" t="n"/>
      <c r="J213" s="1" t="n"/>
      <c r="K213" s="1" t="n"/>
      <c r="L213" s="1" t="n"/>
      <c r="M213" s="1" t="n"/>
      <c r="N213" s="1" t="n"/>
      <c r="O213" s="1" t="n"/>
      <c r="P213" s="4" t="n"/>
      <c r="Q213" s="1" t="n"/>
      <c r="R213" s="1" t="n"/>
      <c r="S213" s="1" t="n"/>
      <c r="T213" s="1" t="n"/>
      <c r="U213" s="1" t="n"/>
      <c r="V213" s="1" t="n"/>
      <c r="W213" s="1" t="n"/>
      <c r="X213" s="1" t="n"/>
      <c r="Y213" s="1" t="n"/>
      <c r="Z213" s="1" t="n"/>
      <c r="AA213" s="1" t="n"/>
      <c r="AB213" s="1" t="n"/>
      <c r="AC213" s="1" t="n"/>
      <c r="AD213" s="1" t="n"/>
    </row>
    <row r="214" ht="15.75" customHeight="1" s="205">
      <c r="A214" s="1" t="n"/>
      <c r="B214" s="4" t="n"/>
      <c r="C214" s="1" t="n"/>
      <c r="D214" s="1" t="n"/>
      <c r="E214" s="1" t="n"/>
      <c r="F214" s="1" t="n"/>
      <c r="G214" s="1" t="n"/>
      <c r="H214" s="1" t="n"/>
      <c r="I214" s="1" t="n"/>
      <c r="J214" s="1" t="n"/>
      <c r="K214" s="1" t="n"/>
      <c r="L214" s="1" t="n"/>
      <c r="M214" s="1" t="n"/>
      <c r="N214" s="1" t="n"/>
      <c r="O214" s="1" t="n"/>
      <c r="P214" s="4" t="n"/>
      <c r="Q214" s="1" t="n"/>
      <c r="R214" s="1" t="n"/>
      <c r="S214" s="1" t="n"/>
      <c r="T214" s="1" t="n"/>
      <c r="U214" s="1" t="n"/>
      <c r="V214" s="1" t="n"/>
      <c r="W214" s="1" t="n"/>
      <c r="X214" s="1" t="n"/>
      <c r="Y214" s="1" t="n"/>
      <c r="Z214" s="1" t="n"/>
      <c r="AA214" s="1" t="n"/>
      <c r="AB214" s="1" t="n"/>
      <c r="AC214" s="1" t="n"/>
      <c r="AD214" s="1" t="n"/>
    </row>
    <row r="215" ht="15.75" customHeight="1" s="205">
      <c r="A215" s="1" t="n"/>
      <c r="B215" s="4" t="n"/>
      <c r="C215" s="1" t="n"/>
      <c r="D215" s="1" t="n"/>
      <c r="E215" s="1" t="n"/>
      <c r="F215" s="1" t="n"/>
      <c r="G215" s="1" t="n"/>
      <c r="H215" s="1" t="n"/>
      <c r="I215" s="1" t="n"/>
      <c r="J215" s="1" t="n"/>
      <c r="K215" s="1" t="n"/>
      <c r="L215" s="1" t="n"/>
      <c r="M215" s="1" t="n"/>
      <c r="N215" s="1" t="n"/>
      <c r="O215" s="1" t="n"/>
      <c r="P215" s="4" t="n"/>
      <c r="Q215" s="1" t="n"/>
      <c r="R215" s="1" t="n"/>
      <c r="S215" s="1" t="n"/>
      <c r="T215" s="1" t="n"/>
      <c r="U215" s="1" t="n"/>
      <c r="V215" s="1" t="n"/>
      <c r="W215" s="1" t="n"/>
      <c r="X215" s="1" t="n"/>
      <c r="Y215" s="1" t="n"/>
      <c r="Z215" s="1" t="n"/>
      <c r="AA215" s="1" t="n"/>
      <c r="AB215" s="1" t="n"/>
      <c r="AC215" s="1" t="n"/>
      <c r="AD215" s="1" t="n"/>
    </row>
    <row r="216" ht="15.75" customHeight="1" s="205">
      <c r="A216" s="1" t="n"/>
      <c r="B216" s="4" t="n"/>
      <c r="C216" s="1" t="n"/>
      <c r="D216" s="1" t="n"/>
      <c r="E216" s="1" t="n"/>
      <c r="F216" s="1" t="n"/>
      <c r="G216" s="1" t="n"/>
      <c r="H216" s="1" t="n"/>
      <c r="I216" s="1" t="n"/>
      <c r="J216" s="1" t="n"/>
      <c r="K216" s="1" t="n"/>
      <c r="L216" s="1" t="n"/>
      <c r="M216" s="1" t="n"/>
      <c r="N216" s="1" t="n"/>
      <c r="O216" s="1" t="n"/>
      <c r="P216" s="4" t="n"/>
      <c r="Q216" s="1" t="n"/>
      <c r="R216" s="1" t="n"/>
      <c r="S216" s="1" t="n"/>
      <c r="T216" s="1" t="n"/>
      <c r="U216" s="1" t="n"/>
      <c r="V216" s="1" t="n"/>
      <c r="W216" s="1" t="n"/>
      <c r="X216" s="1" t="n"/>
      <c r="Y216" s="1" t="n"/>
      <c r="Z216" s="1" t="n"/>
      <c r="AA216" s="1" t="n"/>
      <c r="AB216" s="1" t="n"/>
      <c r="AC216" s="1" t="n"/>
      <c r="AD216" s="1" t="n"/>
    </row>
    <row r="217" ht="15.75" customHeight="1" s="205">
      <c r="A217" s="1" t="n"/>
      <c r="B217" s="4" t="n"/>
      <c r="C217" s="1" t="n"/>
      <c r="D217" s="1" t="n"/>
      <c r="E217" s="1" t="n"/>
      <c r="F217" s="1" t="n"/>
      <c r="G217" s="1" t="n"/>
      <c r="H217" s="1" t="n"/>
      <c r="I217" s="1" t="n"/>
      <c r="J217" s="1" t="n"/>
      <c r="K217" s="1" t="n"/>
      <c r="L217" s="1" t="n"/>
      <c r="M217" s="1" t="n"/>
      <c r="N217" s="1" t="n"/>
      <c r="O217" s="1" t="n"/>
      <c r="P217" s="4" t="n"/>
      <c r="Q217" s="1" t="n"/>
      <c r="R217" s="1" t="n"/>
      <c r="S217" s="1" t="n"/>
      <c r="T217" s="1" t="n"/>
      <c r="U217" s="1" t="n"/>
      <c r="V217" s="1" t="n"/>
      <c r="W217" s="1" t="n"/>
      <c r="X217" s="1" t="n"/>
      <c r="Y217" s="1" t="n"/>
      <c r="Z217" s="1" t="n"/>
      <c r="AA217" s="1" t="n"/>
      <c r="AB217" s="1" t="n"/>
      <c r="AC217" s="1" t="n"/>
      <c r="AD217" s="1" t="n"/>
    </row>
    <row r="218" ht="15.75" customHeight="1" s="205">
      <c r="A218" s="1" t="n"/>
      <c r="B218" s="4" t="n"/>
      <c r="C218" s="1" t="n"/>
      <c r="D218" s="1" t="n"/>
      <c r="E218" s="1" t="n"/>
      <c r="F218" s="1" t="n"/>
      <c r="G218" s="1" t="n"/>
      <c r="H218" s="1" t="n"/>
      <c r="I218" s="1" t="n"/>
      <c r="J218" s="1" t="n"/>
      <c r="K218" s="1" t="n"/>
      <c r="L218" s="1" t="n"/>
      <c r="M218" s="1" t="n"/>
      <c r="N218" s="1" t="n"/>
      <c r="O218" s="1" t="n"/>
      <c r="P218" s="4" t="n"/>
      <c r="Q218" s="1" t="n"/>
      <c r="R218" s="1" t="n"/>
      <c r="S218" s="1" t="n"/>
      <c r="T218" s="1" t="n"/>
      <c r="U218" s="1" t="n"/>
      <c r="V218" s="1" t="n"/>
      <c r="W218" s="1" t="n"/>
      <c r="X218" s="1" t="n"/>
      <c r="Y218" s="1" t="n"/>
      <c r="Z218" s="1" t="n"/>
      <c r="AA218" s="1" t="n"/>
      <c r="AB218" s="1" t="n"/>
      <c r="AC218" s="1" t="n"/>
      <c r="AD218" s="1" t="n"/>
    </row>
    <row r="219" ht="15.75" customHeight="1" s="205">
      <c r="A219" s="1" t="n"/>
      <c r="B219" s="4" t="n"/>
      <c r="C219" s="1" t="n"/>
      <c r="D219" s="1" t="n"/>
      <c r="E219" s="1" t="n"/>
      <c r="F219" s="1" t="n"/>
      <c r="G219" s="1" t="n"/>
      <c r="H219" s="1" t="n"/>
      <c r="I219" s="1" t="n"/>
      <c r="J219" s="1" t="n"/>
      <c r="K219" s="1" t="n"/>
      <c r="L219" s="1" t="n"/>
      <c r="M219" s="1" t="n"/>
      <c r="N219" s="1" t="n"/>
      <c r="O219" s="1" t="n"/>
      <c r="P219" s="4" t="n"/>
      <c r="Q219" s="1" t="n"/>
      <c r="R219" s="1" t="n"/>
      <c r="S219" s="1" t="n"/>
      <c r="T219" s="1" t="n"/>
      <c r="U219" s="1" t="n"/>
      <c r="V219" s="1" t="n"/>
      <c r="W219" s="1" t="n"/>
      <c r="X219" s="1" t="n"/>
      <c r="Y219" s="1" t="n"/>
      <c r="Z219" s="1" t="n"/>
      <c r="AA219" s="1" t="n"/>
      <c r="AB219" s="1" t="n"/>
      <c r="AC219" s="1" t="n"/>
      <c r="AD219" s="1" t="n"/>
    </row>
    <row r="220" ht="15.75" customHeight="1" s="205">
      <c r="A220" s="1" t="n"/>
      <c r="B220" s="4" t="n"/>
      <c r="C220" s="1" t="n"/>
      <c r="D220" s="1" t="n"/>
      <c r="E220" s="1" t="n"/>
      <c r="F220" s="1" t="n"/>
      <c r="G220" s="1" t="n"/>
      <c r="H220" s="1" t="n"/>
      <c r="I220" s="1" t="n"/>
      <c r="J220" s="1" t="n"/>
      <c r="K220" s="1" t="n"/>
      <c r="L220" s="1" t="n"/>
      <c r="M220" s="1" t="n"/>
      <c r="N220" s="1" t="n"/>
      <c r="O220" s="1" t="n"/>
      <c r="P220" s="4" t="n"/>
      <c r="Q220" s="1" t="n"/>
      <c r="R220" s="1" t="n"/>
      <c r="S220" s="1" t="n"/>
      <c r="T220" s="1" t="n"/>
      <c r="U220" s="1" t="n"/>
      <c r="V220" s="1" t="n"/>
      <c r="W220" s="1" t="n"/>
      <c r="X220" s="1" t="n"/>
      <c r="Y220" s="1" t="n"/>
      <c r="Z220" s="1" t="n"/>
      <c r="AA220" s="1" t="n"/>
      <c r="AB220" s="1" t="n"/>
      <c r="AC220" s="1" t="n"/>
      <c r="AD220" s="1" t="n"/>
    </row>
    <row r="221" ht="15.75" customHeight="1" s="205">
      <c r="A221" s="1" t="n"/>
      <c r="B221" s="4" t="n"/>
      <c r="C221" s="1" t="n"/>
      <c r="D221" s="1" t="n"/>
      <c r="E221" s="1" t="n"/>
      <c r="F221" s="1" t="n"/>
      <c r="G221" s="1" t="n"/>
      <c r="H221" s="1" t="n"/>
      <c r="I221" s="1" t="n"/>
      <c r="J221" s="1" t="n"/>
      <c r="K221" s="1" t="n"/>
      <c r="L221" s="1" t="n"/>
      <c r="M221" s="1" t="n"/>
      <c r="N221" s="1" t="n"/>
      <c r="O221" s="1" t="n"/>
      <c r="P221" s="4" t="n"/>
      <c r="Q221" s="1" t="n"/>
      <c r="R221" s="1" t="n"/>
      <c r="S221" s="1" t="n"/>
      <c r="T221" s="1" t="n"/>
      <c r="U221" s="1" t="n"/>
      <c r="V221" s="1" t="n"/>
      <c r="W221" s="1" t="n"/>
      <c r="X221" s="1" t="n"/>
      <c r="Y221" s="1" t="n"/>
      <c r="Z221" s="1" t="n"/>
      <c r="AA221" s="1" t="n"/>
      <c r="AB221" s="1" t="n"/>
      <c r="AC221" s="1" t="n"/>
      <c r="AD221" s="1" t="n"/>
    </row>
    <row r="222" ht="15.75" customHeight="1" s="205">
      <c r="A222" s="1" t="n"/>
      <c r="B222" s="4" t="n"/>
      <c r="C222" s="1" t="n"/>
      <c r="D222" s="1" t="n"/>
      <c r="E222" s="1" t="n"/>
      <c r="F222" s="1" t="n"/>
      <c r="G222" s="1" t="n"/>
      <c r="H222" s="1" t="n"/>
      <c r="I222" s="1" t="n"/>
      <c r="J222" s="1" t="n"/>
      <c r="K222" s="1" t="n"/>
      <c r="L222" s="1" t="n"/>
      <c r="M222" s="1" t="n"/>
      <c r="N222" s="1" t="n"/>
      <c r="O222" s="1" t="n"/>
      <c r="P222" s="4" t="n"/>
      <c r="Q222" s="1" t="n"/>
      <c r="R222" s="1" t="n"/>
      <c r="S222" s="1" t="n"/>
      <c r="T222" s="1" t="n"/>
      <c r="U222" s="1" t="n"/>
      <c r="V222" s="1" t="n"/>
      <c r="W222" s="1" t="n"/>
      <c r="X222" s="1" t="n"/>
      <c r="Y222" s="1" t="n"/>
      <c r="Z222" s="1" t="n"/>
      <c r="AA222" s="1" t="n"/>
      <c r="AB222" s="1" t="n"/>
      <c r="AC222" s="1" t="n"/>
      <c r="AD222" s="1" t="n"/>
    </row>
    <row r="223" ht="15.75" customHeight="1" s="205">
      <c r="A223" s="1" t="n"/>
      <c r="B223" s="4" t="n"/>
      <c r="C223" s="1" t="n"/>
      <c r="D223" s="1" t="n"/>
      <c r="E223" s="1" t="n"/>
      <c r="F223" s="1" t="n"/>
      <c r="G223" s="1" t="n"/>
      <c r="H223" s="1" t="n"/>
      <c r="I223" s="1" t="n"/>
      <c r="J223" s="1" t="n"/>
      <c r="K223" s="1" t="n"/>
      <c r="L223" s="1" t="n"/>
      <c r="M223" s="1" t="n"/>
      <c r="N223" s="1" t="n"/>
      <c r="O223" s="1" t="n"/>
      <c r="P223" s="4" t="n"/>
      <c r="Q223" s="1" t="n"/>
      <c r="R223" s="1" t="n"/>
      <c r="S223" s="1" t="n"/>
      <c r="T223" s="1" t="n"/>
      <c r="U223" s="1" t="n"/>
      <c r="V223" s="1" t="n"/>
      <c r="W223" s="1" t="n"/>
      <c r="X223" s="1" t="n"/>
      <c r="Y223" s="1" t="n"/>
      <c r="Z223" s="1" t="n"/>
      <c r="AA223" s="1" t="n"/>
      <c r="AB223" s="1" t="n"/>
      <c r="AC223" s="1" t="n"/>
      <c r="AD223" s="1" t="n"/>
    </row>
    <row r="224" ht="15.75" customHeight="1" s="205">
      <c r="A224" s="1" t="n"/>
      <c r="B224" s="4" t="n"/>
      <c r="C224" s="1" t="n"/>
      <c r="D224" s="1" t="n"/>
      <c r="E224" s="1" t="n"/>
      <c r="F224" s="1" t="n"/>
      <c r="G224" s="1" t="n"/>
      <c r="H224" s="1" t="n"/>
      <c r="I224" s="1" t="n"/>
      <c r="J224" s="1" t="n"/>
      <c r="K224" s="1" t="n"/>
      <c r="L224" s="1" t="n"/>
      <c r="M224" s="1" t="n"/>
      <c r="N224" s="1" t="n"/>
      <c r="O224" s="1" t="n"/>
      <c r="P224" s="4" t="n"/>
      <c r="Q224" s="1" t="n"/>
      <c r="R224" s="1" t="n"/>
      <c r="S224" s="1" t="n"/>
      <c r="T224" s="1" t="n"/>
      <c r="U224" s="1" t="n"/>
      <c r="V224" s="1" t="n"/>
      <c r="W224" s="1" t="n"/>
      <c r="X224" s="1" t="n"/>
      <c r="Y224" s="1" t="n"/>
      <c r="Z224" s="1" t="n"/>
      <c r="AA224" s="1" t="n"/>
      <c r="AB224" s="1" t="n"/>
      <c r="AC224" s="1" t="n"/>
      <c r="AD224" s="1" t="n"/>
    </row>
    <row r="225" ht="15.75" customHeight="1" s="205">
      <c r="A225" s="1" t="n"/>
      <c r="B225" s="4" t="n"/>
      <c r="C225" s="1" t="n"/>
      <c r="D225" s="1" t="n"/>
      <c r="E225" s="1" t="n"/>
      <c r="F225" s="1" t="n"/>
      <c r="G225" s="1" t="n"/>
      <c r="H225" s="1" t="n"/>
      <c r="I225" s="1" t="n"/>
      <c r="J225" s="1" t="n"/>
      <c r="K225" s="1" t="n"/>
      <c r="L225" s="1" t="n"/>
      <c r="M225" s="1" t="n"/>
      <c r="N225" s="1" t="n"/>
      <c r="O225" s="1" t="n"/>
      <c r="P225" s="4" t="n"/>
      <c r="Q225" s="1" t="n"/>
      <c r="R225" s="1" t="n"/>
      <c r="S225" s="1" t="n"/>
      <c r="T225" s="1" t="n"/>
      <c r="U225" s="1" t="n"/>
      <c r="V225" s="1" t="n"/>
      <c r="W225" s="1" t="n"/>
      <c r="X225" s="1" t="n"/>
      <c r="Y225" s="1" t="n"/>
      <c r="Z225" s="1" t="n"/>
      <c r="AA225" s="1" t="n"/>
      <c r="AB225" s="1" t="n"/>
      <c r="AC225" s="1" t="n"/>
      <c r="AD225" s="1" t="n"/>
    </row>
    <row r="226" ht="15.75" customHeight="1" s="205">
      <c r="A226" s="1" t="n"/>
      <c r="B226" s="4" t="n"/>
      <c r="C226" s="1" t="n"/>
      <c r="D226" s="1" t="n"/>
      <c r="E226" s="1" t="n"/>
      <c r="F226" s="1" t="n"/>
      <c r="G226" s="1" t="n"/>
      <c r="H226" s="1" t="n"/>
      <c r="I226" s="1" t="n"/>
      <c r="J226" s="1" t="n"/>
      <c r="K226" s="1" t="n"/>
      <c r="L226" s="1" t="n"/>
      <c r="M226" s="1" t="n"/>
      <c r="N226" s="1" t="n"/>
      <c r="O226" s="1" t="n"/>
      <c r="P226" s="4" t="n"/>
      <c r="Q226" s="1" t="n"/>
      <c r="R226" s="1" t="n"/>
      <c r="S226" s="1" t="n"/>
      <c r="T226" s="1" t="n"/>
      <c r="U226" s="1" t="n"/>
      <c r="V226" s="1" t="n"/>
      <c r="W226" s="1" t="n"/>
      <c r="X226" s="1" t="n"/>
      <c r="Y226" s="1" t="n"/>
      <c r="Z226" s="1" t="n"/>
      <c r="AA226" s="1" t="n"/>
      <c r="AB226" s="1" t="n"/>
      <c r="AC226" s="1" t="n"/>
      <c r="AD226" s="1" t="n"/>
    </row>
    <row r="227" ht="15.75" customHeight="1" s="205">
      <c r="A227" s="1" t="n"/>
      <c r="B227" s="4" t="n"/>
      <c r="C227" s="1" t="n"/>
      <c r="D227" s="1" t="n"/>
      <c r="E227" s="1" t="n"/>
      <c r="F227" s="1" t="n"/>
      <c r="G227" s="1" t="n"/>
      <c r="H227" s="1" t="n"/>
      <c r="I227" s="1" t="n"/>
      <c r="J227" s="1" t="n"/>
      <c r="K227" s="1" t="n"/>
      <c r="L227" s="1" t="n"/>
      <c r="M227" s="1" t="n"/>
      <c r="N227" s="1" t="n"/>
      <c r="O227" s="1" t="n"/>
      <c r="P227" s="4" t="n"/>
      <c r="Q227" s="1" t="n"/>
      <c r="R227" s="1" t="n"/>
      <c r="S227" s="1" t="n"/>
      <c r="T227" s="1" t="n"/>
      <c r="U227" s="1" t="n"/>
      <c r="V227" s="1" t="n"/>
      <c r="W227" s="1" t="n"/>
      <c r="X227" s="1" t="n"/>
      <c r="Y227" s="1" t="n"/>
      <c r="Z227" s="1" t="n"/>
      <c r="AA227" s="1" t="n"/>
      <c r="AB227" s="1" t="n"/>
      <c r="AC227" s="1" t="n"/>
      <c r="AD227" s="1" t="n"/>
    </row>
    <row r="228" ht="15.75" customHeight="1" s="205">
      <c r="A228" s="1" t="n"/>
      <c r="B228" s="4" t="n"/>
      <c r="C228" s="1" t="n"/>
      <c r="D228" s="1" t="n"/>
      <c r="E228" s="1" t="n"/>
      <c r="F228" s="1" t="n"/>
      <c r="G228" s="1" t="n"/>
      <c r="H228" s="1" t="n"/>
      <c r="I228" s="1" t="n"/>
      <c r="J228" s="1" t="n"/>
      <c r="K228" s="1" t="n"/>
      <c r="L228" s="1" t="n"/>
      <c r="M228" s="1" t="n"/>
      <c r="N228" s="1" t="n"/>
      <c r="O228" s="1" t="n"/>
      <c r="P228" s="4" t="n"/>
      <c r="Q228" s="1" t="n"/>
      <c r="R228" s="1" t="n"/>
      <c r="S228" s="1" t="n"/>
      <c r="T228" s="1" t="n"/>
      <c r="U228" s="1" t="n"/>
      <c r="V228" s="1" t="n"/>
      <c r="W228" s="1" t="n"/>
      <c r="X228" s="1" t="n"/>
      <c r="Y228" s="1" t="n"/>
      <c r="Z228" s="1" t="n"/>
      <c r="AA228" s="1" t="n"/>
      <c r="AB228" s="1" t="n"/>
      <c r="AC228" s="1" t="n"/>
      <c r="AD228" s="1" t="n"/>
    </row>
    <row r="229" ht="15.75" customHeight="1" s="205">
      <c r="A229" s="1" t="n"/>
      <c r="B229" s="4" t="n"/>
      <c r="C229" s="1" t="n"/>
      <c r="D229" s="1" t="n"/>
      <c r="E229" s="1" t="n"/>
      <c r="F229" s="1" t="n"/>
      <c r="G229" s="1" t="n"/>
      <c r="H229" s="1" t="n"/>
      <c r="I229" s="1" t="n"/>
      <c r="J229" s="1" t="n"/>
      <c r="K229" s="1" t="n"/>
      <c r="L229" s="1" t="n"/>
      <c r="M229" s="1" t="n"/>
      <c r="N229" s="1" t="n"/>
      <c r="O229" s="1" t="n"/>
      <c r="P229" s="4" t="n"/>
      <c r="Q229" s="1" t="n"/>
      <c r="R229" s="1" t="n"/>
      <c r="S229" s="1" t="n"/>
      <c r="T229" s="1" t="n"/>
      <c r="U229" s="1" t="n"/>
      <c r="V229" s="1" t="n"/>
      <c r="W229" s="1" t="n"/>
      <c r="X229" s="1" t="n"/>
      <c r="Y229" s="1" t="n"/>
      <c r="Z229" s="1" t="n"/>
      <c r="AA229" s="1" t="n"/>
      <c r="AB229" s="1" t="n"/>
      <c r="AC229" s="1" t="n"/>
      <c r="AD229" s="1" t="n"/>
    </row>
    <row r="230" ht="15.75" customHeight="1" s="205">
      <c r="A230" s="1" t="n"/>
      <c r="B230" s="4" t="n"/>
      <c r="C230" s="1" t="n"/>
      <c r="D230" s="1" t="n"/>
      <c r="E230" s="1" t="n"/>
      <c r="F230" s="1" t="n"/>
      <c r="G230" s="1" t="n"/>
      <c r="H230" s="1" t="n"/>
      <c r="I230" s="1" t="n"/>
      <c r="J230" s="1" t="n"/>
      <c r="K230" s="1" t="n"/>
      <c r="L230" s="1" t="n"/>
      <c r="M230" s="1" t="n"/>
      <c r="N230" s="1" t="n"/>
      <c r="O230" s="1" t="n"/>
      <c r="P230" s="4" t="n"/>
      <c r="Q230" s="1" t="n"/>
      <c r="R230" s="1" t="n"/>
      <c r="S230" s="1" t="n"/>
      <c r="T230" s="1" t="n"/>
      <c r="U230" s="1" t="n"/>
      <c r="V230" s="1" t="n"/>
      <c r="W230" s="1" t="n"/>
      <c r="X230" s="1" t="n"/>
      <c r="Y230" s="1" t="n"/>
      <c r="Z230" s="1" t="n"/>
      <c r="AA230" s="1" t="n"/>
      <c r="AB230" s="1" t="n"/>
      <c r="AC230" s="1" t="n"/>
      <c r="AD230" s="1" t="n"/>
    </row>
    <row r="231" ht="15.75" customHeight="1" s="205">
      <c r="A231" s="1" t="n"/>
      <c r="B231" s="4" t="n"/>
      <c r="C231" s="1" t="n"/>
      <c r="D231" s="1" t="n"/>
      <c r="E231" s="1" t="n"/>
      <c r="F231" s="1" t="n"/>
      <c r="G231" s="1" t="n"/>
      <c r="H231" s="1" t="n"/>
      <c r="I231" s="1" t="n"/>
      <c r="J231" s="1" t="n"/>
      <c r="K231" s="1" t="n"/>
      <c r="L231" s="1" t="n"/>
      <c r="M231" s="1" t="n"/>
      <c r="N231" s="1" t="n"/>
      <c r="O231" s="1" t="n"/>
      <c r="P231" s="4" t="n"/>
      <c r="Q231" s="1" t="n"/>
      <c r="R231" s="1" t="n"/>
      <c r="S231" s="1" t="n"/>
      <c r="T231" s="1" t="n"/>
      <c r="U231" s="1" t="n"/>
      <c r="V231" s="1" t="n"/>
      <c r="W231" s="1" t="n"/>
      <c r="X231" s="1" t="n"/>
      <c r="Y231" s="1" t="n"/>
      <c r="Z231" s="1" t="n"/>
      <c r="AA231" s="1" t="n"/>
      <c r="AB231" s="1" t="n"/>
      <c r="AC231" s="1" t="n"/>
      <c r="AD231" s="1" t="n"/>
    </row>
    <row r="232" ht="15.75" customHeight="1" s="205">
      <c r="A232" s="1" t="n"/>
      <c r="B232" s="4" t="n"/>
      <c r="C232" s="1" t="n"/>
      <c r="D232" s="1" t="n"/>
      <c r="E232" s="1" t="n"/>
      <c r="F232" s="1" t="n"/>
      <c r="G232" s="1" t="n"/>
      <c r="H232" s="1" t="n"/>
      <c r="I232" s="1" t="n"/>
      <c r="J232" s="1" t="n"/>
      <c r="K232" s="1" t="n"/>
      <c r="L232" s="1" t="n"/>
      <c r="M232" s="1" t="n"/>
      <c r="N232" s="1" t="n"/>
      <c r="O232" s="1" t="n"/>
      <c r="P232" s="4" t="n"/>
      <c r="Q232" s="1" t="n"/>
      <c r="R232" s="1" t="n"/>
      <c r="S232" s="1" t="n"/>
      <c r="T232" s="1" t="n"/>
      <c r="U232" s="1" t="n"/>
      <c r="V232" s="1" t="n"/>
      <c r="W232" s="1" t="n"/>
      <c r="X232" s="1" t="n"/>
      <c r="Y232" s="1" t="n"/>
      <c r="Z232" s="1" t="n"/>
      <c r="AA232" s="1" t="n"/>
      <c r="AB232" s="1" t="n"/>
      <c r="AC232" s="1" t="n"/>
      <c r="AD232" s="1" t="n"/>
    </row>
    <row r="233" ht="15.75" customHeight="1" s="205">
      <c r="A233" s="1" t="n"/>
      <c r="B233" s="4" t="n"/>
      <c r="C233" s="1" t="n"/>
      <c r="D233" s="1" t="n"/>
      <c r="E233" s="1" t="n"/>
      <c r="F233" s="1" t="n"/>
      <c r="G233" s="1" t="n"/>
      <c r="H233" s="1" t="n"/>
      <c r="I233" s="1" t="n"/>
      <c r="J233" s="1" t="n"/>
      <c r="K233" s="1" t="n"/>
      <c r="L233" s="1" t="n"/>
      <c r="M233" s="1" t="n"/>
      <c r="N233" s="1" t="n"/>
      <c r="O233" s="1" t="n"/>
      <c r="P233" s="4" t="n"/>
      <c r="Q233" s="1" t="n"/>
      <c r="R233" s="1" t="n"/>
      <c r="S233" s="1" t="n"/>
      <c r="T233" s="1" t="n"/>
      <c r="U233" s="1" t="n"/>
      <c r="V233" s="1" t="n"/>
      <c r="W233" s="1" t="n"/>
      <c r="X233" s="1" t="n"/>
      <c r="Y233" s="1" t="n"/>
      <c r="Z233" s="1" t="n"/>
      <c r="AA233" s="1" t="n"/>
      <c r="AB233" s="1" t="n"/>
      <c r="AC233" s="1" t="n"/>
      <c r="AD233" s="1" t="n"/>
    </row>
    <row r="234" ht="15.75" customHeight="1" s="205">
      <c r="A234" s="1" t="n"/>
      <c r="B234" s="4" t="n"/>
      <c r="C234" s="1" t="n"/>
      <c r="D234" s="1" t="n"/>
      <c r="E234" s="1" t="n"/>
      <c r="F234" s="1" t="n"/>
      <c r="G234" s="1" t="n"/>
      <c r="H234" s="1" t="n"/>
      <c r="I234" s="1" t="n"/>
      <c r="J234" s="1" t="n"/>
      <c r="K234" s="1" t="n"/>
      <c r="L234" s="1" t="n"/>
      <c r="M234" s="1" t="n"/>
      <c r="N234" s="1" t="n"/>
      <c r="O234" s="1" t="n"/>
      <c r="P234" s="4" t="n"/>
      <c r="Q234" s="1" t="n"/>
      <c r="R234" s="1" t="n"/>
      <c r="S234" s="1" t="n"/>
      <c r="T234" s="1" t="n"/>
      <c r="U234" s="1" t="n"/>
      <c r="V234" s="1" t="n"/>
      <c r="W234" s="1" t="n"/>
      <c r="X234" s="1" t="n"/>
      <c r="Y234" s="1" t="n"/>
      <c r="Z234" s="1" t="n"/>
      <c r="AA234" s="1" t="n"/>
      <c r="AB234" s="1" t="n"/>
      <c r="AC234" s="1" t="n"/>
      <c r="AD234" s="1" t="n"/>
    </row>
    <row r="235" ht="15.75" customHeight="1" s="205">
      <c r="A235" s="1" t="n"/>
      <c r="B235" s="4" t="n"/>
      <c r="C235" s="1" t="n"/>
      <c r="D235" s="1" t="n"/>
      <c r="E235" s="1" t="n"/>
      <c r="F235" s="1" t="n"/>
      <c r="G235" s="1" t="n"/>
      <c r="H235" s="1" t="n"/>
      <c r="I235" s="1" t="n"/>
      <c r="J235" s="1" t="n"/>
      <c r="K235" s="1" t="n"/>
      <c r="L235" s="1" t="n"/>
      <c r="M235" s="1" t="n"/>
      <c r="N235" s="1" t="n"/>
      <c r="O235" s="1" t="n"/>
      <c r="P235" s="4" t="n"/>
      <c r="Q235" s="1" t="n"/>
      <c r="R235" s="1" t="n"/>
      <c r="S235" s="1" t="n"/>
      <c r="T235" s="1" t="n"/>
      <c r="U235" s="1" t="n"/>
      <c r="V235" s="1" t="n"/>
      <c r="W235" s="1" t="n"/>
      <c r="X235" s="1" t="n"/>
      <c r="Y235" s="1" t="n"/>
      <c r="Z235" s="1" t="n"/>
      <c r="AA235" s="1" t="n"/>
      <c r="AB235" s="1" t="n"/>
      <c r="AC235" s="1" t="n"/>
      <c r="AD235" s="1" t="n"/>
    </row>
    <row r="236" ht="15.75" customHeight="1" s="205">
      <c r="A236" s="1" t="n"/>
      <c r="B236" s="4" t="n"/>
      <c r="C236" s="1" t="n"/>
      <c r="D236" s="1" t="n"/>
      <c r="E236" s="1" t="n"/>
      <c r="F236" s="1" t="n"/>
      <c r="G236" s="1" t="n"/>
      <c r="H236" s="1" t="n"/>
      <c r="I236" s="1" t="n"/>
      <c r="J236" s="1" t="n"/>
      <c r="K236" s="1" t="n"/>
      <c r="L236" s="1" t="n"/>
      <c r="M236" s="1" t="n"/>
      <c r="N236" s="1" t="n"/>
      <c r="O236" s="1" t="n"/>
      <c r="P236" s="4" t="n"/>
      <c r="Q236" s="1" t="n"/>
      <c r="R236" s="1" t="n"/>
      <c r="S236" s="1" t="n"/>
      <c r="T236" s="1" t="n"/>
      <c r="U236" s="1" t="n"/>
      <c r="V236" s="1" t="n"/>
      <c r="W236" s="1" t="n"/>
      <c r="X236" s="1" t="n"/>
      <c r="Y236" s="1" t="n"/>
      <c r="Z236" s="1" t="n"/>
      <c r="AA236" s="1" t="n"/>
      <c r="AB236" s="1" t="n"/>
      <c r="AC236" s="1" t="n"/>
      <c r="AD236" s="1" t="n"/>
    </row>
    <row r="237" ht="15.75" customHeight="1" s="205">
      <c r="A237" s="1" t="n"/>
      <c r="B237" s="4" t="n"/>
      <c r="C237" s="1" t="n"/>
      <c r="D237" s="1" t="n"/>
      <c r="E237" s="1" t="n"/>
      <c r="F237" s="1" t="n"/>
      <c r="G237" s="1" t="n"/>
      <c r="H237" s="1" t="n"/>
      <c r="I237" s="1" t="n"/>
      <c r="J237" s="1" t="n"/>
      <c r="K237" s="1" t="n"/>
      <c r="L237" s="1" t="n"/>
      <c r="M237" s="1" t="n"/>
      <c r="N237" s="1" t="n"/>
      <c r="O237" s="1" t="n"/>
      <c r="P237" s="4" t="n"/>
      <c r="Q237" s="1" t="n"/>
      <c r="R237" s="1" t="n"/>
      <c r="S237" s="1" t="n"/>
      <c r="T237" s="1" t="n"/>
      <c r="U237" s="1" t="n"/>
      <c r="V237" s="1" t="n"/>
      <c r="W237" s="1" t="n"/>
      <c r="X237" s="1" t="n"/>
      <c r="Y237" s="1" t="n"/>
      <c r="Z237" s="1" t="n"/>
      <c r="AA237" s="1" t="n"/>
      <c r="AB237" s="1" t="n"/>
      <c r="AC237" s="1" t="n"/>
      <c r="AD237" s="1" t="n"/>
    </row>
    <row r="238" ht="15.75" customHeight="1" s="205">
      <c r="A238" s="1" t="n"/>
      <c r="B238" s="4" t="n"/>
      <c r="C238" s="1" t="n"/>
      <c r="D238" s="1" t="n"/>
      <c r="E238" s="1" t="n"/>
      <c r="F238" s="1" t="n"/>
      <c r="G238" s="1" t="n"/>
      <c r="H238" s="1" t="n"/>
      <c r="I238" s="1" t="n"/>
      <c r="J238" s="1" t="n"/>
      <c r="K238" s="1" t="n"/>
      <c r="L238" s="1" t="n"/>
      <c r="M238" s="1" t="n"/>
      <c r="N238" s="1" t="n"/>
      <c r="O238" s="1" t="n"/>
      <c r="P238" s="4" t="n"/>
      <c r="Q238" s="1" t="n"/>
      <c r="R238" s="1" t="n"/>
      <c r="S238" s="1" t="n"/>
      <c r="T238" s="1" t="n"/>
      <c r="U238" s="1" t="n"/>
      <c r="V238" s="1" t="n"/>
      <c r="W238" s="1" t="n"/>
      <c r="X238" s="1" t="n"/>
      <c r="Y238" s="1" t="n"/>
      <c r="Z238" s="1" t="n"/>
      <c r="AA238" s="1" t="n"/>
      <c r="AB238" s="1" t="n"/>
      <c r="AC238" s="1" t="n"/>
      <c r="AD238" s="1" t="n"/>
    </row>
    <row r="239" ht="15.75" customHeight="1" s="205">
      <c r="A239" s="1" t="n"/>
      <c r="B239" s="4" t="n"/>
      <c r="C239" s="1" t="n"/>
      <c r="D239" s="1" t="n"/>
      <c r="E239" s="1" t="n"/>
      <c r="F239" s="1" t="n"/>
      <c r="G239" s="1" t="n"/>
      <c r="H239" s="1" t="n"/>
      <c r="I239" s="1" t="n"/>
      <c r="J239" s="1" t="n"/>
      <c r="K239" s="1" t="n"/>
      <c r="L239" s="1" t="n"/>
      <c r="M239" s="1" t="n"/>
      <c r="N239" s="1" t="n"/>
      <c r="O239" s="1" t="n"/>
      <c r="P239" s="4" t="n"/>
      <c r="Q239" s="1" t="n"/>
      <c r="R239" s="1" t="n"/>
      <c r="S239" s="1" t="n"/>
      <c r="T239" s="1" t="n"/>
      <c r="U239" s="1" t="n"/>
      <c r="V239" s="1" t="n"/>
      <c r="W239" s="1" t="n"/>
      <c r="X239" s="1" t="n"/>
      <c r="Y239" s="1" t="n"/>
      <c r="Z239" s="1" t="n"/>
      <c r="AA239" s="1" t="n"/>
      <c r="AB239" s="1" t="n"/>
      <c r="AC239" s="1" t="n"/>
      <c r="AD239" s="1" t="n"/>
    </row>
    <row r="240" ht="15.75" customHeight="1" s="205">
      <c r="A240" s="1" t="n"/>
      <c r="B240" s="4" t="n"/>
      <c r="C240" s="1" t="n"/>
      <c r="D240" s="1" t="n"/>
      <c r="E240" s="1" t="n"/>
      <c r="F240" s="1" t="n"/>
      <c r="G240" s="1" t="n"/>
      <c r="H240" s="1" t="n"/>
      <c r="I240" s="1" t="n"/>
      <c r="J240" s="1" t="n"/>
      <c r="K240" s="1" t="n"/>
      <c r="L240" s="1" t="n"/>
      <c r="M240" s="1" t="n"/>
      <c r="N240" s="1" t="n"/>
      <c r="O240" s="1" t="n"/>
      <c r="P240" s="4" t="n"/>
      <c r="Q240" s="1" t="n"/>
      <c r="R240" s="1" t="n"/>
      <c r="S240" s="1" t="n"/>
      <c r="T240" s="1" t="n"/>
      <c r="U240" s="1" t="n"/>
      <c r="V240" s="1" t="n"/>
      <c r="W240" s="1" t="n"/>
      <c r="X240" s="1" t="n"/>
      <c r="Y240" s="1" t="n"/>
      <c r="Z240" s="1" t="n"/>
      <c r="AA240" s="1" t="n"/>
      <c r="AB240" s="1" t="n"/>
      <c r="AC240" s="1" t="n"/>
      <c r="AD240" s="1" t="n"/>
    </row>
    <row r="241" ht="15.75" customHeight="1" s="205">
      <c r="A241" s="1" t="n"/>
      <c r="B241" s="4" t="n"/>
      <c r="C241" s="1" t="n"/>
      <c r="D241" s="1" t="n"/>
      <c r="E241" s="1" t="n"/>
      <c r="F241" s="1" t="n"/>
      <c r="G241" s="1" t="n"/>
      <c r="H241" s="1" t="n"/>
      <c r="I241" s="1" t="n"/>
      <c r="J241" s="1" t="n"/>
      <c r="K241" s="1" t="n"/>
      <c r="L241" s="1" t="n"/>
      <c r="M241" s="1" t="n"/>
      <c r="N241" s="1" t="n"/>
      <c r="O241" s="1" t="n"/>
      <c r="P241" s="4" t="n"/>
      <c r="Q241" s="1" t="n"/>
      <c r="R241" s="1" t="n"/>
      <c r="S241" s="1" t="n"/>
      <c r="T241" s="1" t="n"/>
      <c r="U241" s="1" t="n"/>
      <c r="V241" s="1" t="n"/>
      <c r="W241" s="1" t="n"/>
      <c r="X241" s="1" t="n"/>
      <c r="Y241" s="1" t="n"/>
      <c r="Z241" s="1" t="n"/>
      <c r="AA241" s="1" t="n"/>
      <c r="AB241" s="1" t="n"/>
      <c r="AC241" s="1" t="n"/>
      <c r="AD241" s="1" t="n"/>
    </row>
    <row r="242" ht="15.75" customHeight="1" s="205">
      <c r="A242" s="1" t="n"/>
      <c r="B242" s="4" t="n"/>
      <c r="C242" s="1" t="n"/>
      <c r="D242" s="1" t="n"/>
      <c r="E242" s="1" t="n"/>
      <c r="F242" s="1" t="n"/>
      <c r="G242" s="1" t="n"/>
      <c r="H242" s="1" t="n"/>
      <c r="I242" s="1" t="n"/>
      <c r="J242" s="1" t="n"/>
      <c r="K242" s="1" t="n"/>
      <c r="L242" s="1" t="n"/>
      <c r="M242" s="1" t="n"/>
      <c r="N242" s="1" t="n"/>
      <c r="O242" s="1" t="n"/>
      <c r="P242" s="4" t="n"/>
      <c r="Q242" s="1" t="n"/>
      <c r="R242" s="1" t="n"/>
      <c r="S242" s="1" t="n"/>
      <c r="T242" s="1" t="n"/>
      <c r="U242" s="1" t="n"/>
      <c r="V242" s="1" t="n"/>
      <c r="W242" s="1" t="n"/>
      <c r="X242" s="1" t="n"/>
      <c r="Y242" s="1" t="n"/>
      <c r="Z242" s="1" t="n"/>
      <c r="AA242" s="1" t="n"/>
      <c r="AB242" s="1" t="n"/>
      <c r="AC242" s="1" t="n"/>
      <c r="AD242" s="1" t="n"/>
    </row>
    <row r="243" ht="15.75" customHeight="1" s="205">
      <c r="A243" s="1" t="n"/>
      <c r="B243" s="4" t="n"/>
      <c r="C243" s="1" t="n"/>
      <c r="D243" s="1" t="n"/>
      <c r="E243" s="1" t="n"/>
      <c r="F243" s="1" t="n"/>
      <c r="G243" s="1" t="n"/>
      <c r="H243" s="1" t="n"/>
      <c r="I243" s="1" t="n"/>
      <c r="J243" s="1" t="n"/>
      <c r="K243" s="1" t="n"/>
      <c r="L243" s="1" t="n"/>
      <c r="M243" s="1" t="n"/>
      <c r="N243" s="1" t="n"/>
      <c r="O243" s="1" t="n"/>
      <c r="P243" s="4" t="n"/>
      <c r="Q243" s="1" t="n"/>
      <c r="R243" s="1" t="n"/>
      <c r="S243" s="1" t="n"/>
      <c r="T243" s="1" t="n"/>
      <c r="U243" s="1" t="n"/>
      <c r="V243" s="1" t="n"/>
      <c r="W243" s="1" t="n"/>
      <c r="X243" s="1" t="n"/>
      <c r="Y243" s="1" t="n"/>
      <c r="Z243" s="1" t="n"/>
      <c r="AA243" s="1" t="n"/>
      <c r="AB243" s="1" t="n"/>
      <c r="AC243" s="1" t="n"/>
      <c r="AD243" s="1" t="n"/>
    </row>
    <row r="244" ht="15.75" customHeight="1" s="205">
      <c r="A244" s="1" t="n"/>
      <c r="B244" s="4" t="n"/>
      <c r="C244" s="1" t="n"/>
      <c r="D244" s="1" t="n"/>
      <c r="E244" s="1" t="n"/>
      <c r="F244" s="1" t="n"/>
      <c r="G244" s="1" t="n"/>
      <c r="H244" s="1" t="n"/>
      <c r="I244" s="1" t="n"/>
      <c r="J244" s="1" t="n"/>
      <c r="K244" s="1" t="n"/>
      <c r="L244" s="1" t="n"/>
      <c r="M244" s="1" t="n"/>
      <c r="N244" s="1" t="n"/>
      <c r="O244" s="1" t="n"/>
      <c r="P244" s="4" t="n"/>
      <c r="Q244" s="1" t="n"/>
      <c r="R244" s="1" t="n"/>
      <c r="S244" s="1" t="n"/>
      <c r="T244" s="1" t="n"/>
      <c r="U244" s="1" t="n"/>
      <c r="V244" s="1" t="n"/>
      <c r="W244" s="1" t="n"/>
      <c r="X244" s="1" t="n"/>
      <c r="Y244" s="1" t="n"/>
      <c r="Z244" s="1" t="n"/>
      <c r="AA244" s="1" t="n"/>
      <c r="AB244" s="1" t="n"/>
      <c r="AC244" s="1" t="n"/>
      <c r="AD244" s="1" t="n"/>
    </row>
    <row r="245" ht="15.75" customHeight="1" s="205">
      <c r="A245" s="1" t="n"/>
      <c r="B245" s="4" t="n"/>
      <c r="C245" s="1" t="n"/>
      <c r="D245" s="1" t="n"/>
      <c r="E245" s="1" t="n"/>
      <c r="F245" s="1" t="n"/>
      <c r="G245" s="1" t="n"/>
      <c r="H245" s="1" t="n"/>
      <c r="I245" s="1" t="n"/>
      <c r="J245" s="1" t="n"/>
      <c r="K245" s="1" t="n"/>
      <c r="L245" s="1" t="n"/>
      <c r="M245" s="1" t="n"/>
      <c r="N245" s="1" t="n"/>
      <c r="O245" s="1" t="n"/>
      <c r="P245" s="4" t="n"/>
      <c r="Q245" s="1" t="n"/>
      <c r="R245" s="1" t="n"/>
      <c r="S245" s="1" t="n"/>
      <c r="T245" s="1" t="n"/>
      <c r="U245" s="1" t="n"/>
      <c r="V245" s="1" t="n"/>
      <c r="W245" s="1" t="n"/>
      <c r="X245" s="1" t="n"/>
      <c r="Y245" s="1" t="n"/>
      <c r="Z245" s="1" t="n"/>
      <c r="AA245" s="1" t="n"/>
      <c r="AB245" s="1" t="n"/>
      <c r="AC245" s="1" t="n"/>
      <c r="AD245" s="1" t="n"/>
    </row>
    <row r="246" ht="15.75" customHeight="1" s="205"/>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row r="987" ht="15.75" customHeight="1" s="205"/>
    <row r="988" ht="15.75" customHeight="1" s="205"/>
    <row r="989" ht="15.75" customHeight="1" s="205"/>
    <row r="990" ht="15.75" customHeight="1" s="205"/>
    <row r="991" ht="15.75" customHeight="1" s="205"/>
    <row r="992" ht="15.75" customHeight="1" s="205"/>
    <row r="993" ht="15.75" customHeight="1" s="205"/>
    <row r="994" ht="15.75" customHeight="1" s="205"/>
    <row r="995" ht="15.75" customHeight="1" s="205"/>
    <row r="996" ht="15.75" customHeight="1" s="205"/>
    <row r="997" ht="15.75" customHeight="1" s="205"/>
    <row r="998" ht="15.75" customHeight="1" s="205"/>
    <row r="999" ht="15.75" customHeight="1" s="205"/>
    <row r="1000" ht="15.75" customHeight="1" s="205"/>
  </sheetData>
  <mergeCells count="41">
    <mergeCell ref="B26:O26"/>
    <mergeCell ref="P26:Q26"/>
    <mergeCell ref="P38:Q38"/>
    <mergeCell ref="B16:O16"/>
    <mergeCell ref="B4:Q9"/>
    <mergeCell ref="C17:O17"/>
    <mergeCell ref="Q29:Q30"/>
    <mergeCell ref="B27:O27"/>
    <mergeCell ref="C13:O13"/>
    <mergeCell ref="B12:O12"/>
    <mergeCell ref="B41:Q41"/>
    <mergeCell ref="B43:O45"/>
    <mergeCell ref="B39:Q40"/>
    <mergeCell ref="C30:O30"/>
    <mergeCell ref="C15:O15"/>
    <mergeCell ref="P43:Q44"/>
    <mergeCell ref="B25:Q25"/>
    <mergeCell ref="B3:Q3"/>
    <mergeCell ref="C14:O14"/>
    <mergeCell ref="B31:Q31"/>
    <mergeCell ref="B18:Q18"/>
    <mergeCell ref="B38:O38"/>
    <mergeCell ref="B10:C10"/>
    <mergeCell ref="P32:Q32"/>
    <mergeCell ref="B19:O19"/>
    <mergeCell ref="C29:O29"/>
    <mergeCell ref="B37:O37"/>
    <mergeCell ref="P19:Q19"/>
    <mergeCell ref="B2:Q2"/>
    <mergeCell ref="B28:O28"/>
    <mergeCell ref="P37:Q37"/>
    <mergeCell ref="E10:Q10"/>
    <mergeCell ref="B42:Q42"/>
    <mergeCell ref="B33:Q36"/>
    <mergeCell ref="P12:Q12"/>
    <mergeCell ref="B1:Q1"/>
    <mergeCell ref="B21:O24"/>
    <mergeCell ref="B20:O20"/>
    <mergeCell ref="P29:P30"/>
    <mergeCell ref="P45:Q45"/>
    <mergeCell ref="B32:O32"/>
  </mergeCells>
  <hyperlinks>
    <hyperlink xmlns:r="http://schemas.openxmlformats.org/officeDocument/2006/relationships" ref="B3" r:id="rId1"/>
    <hyperlink xmlns:r="http://schemas.openxmlformats.org/officeDocument/2006/relationships" ref="B33" r:id="rId2"/>
    <hyperlink xmlns:r="http://schemas.openxmlformats.org/officeDocument/2006/relationships" ref="P43" r:id="rId3"/>
    <hyperlink xmlns:r="http://schemas.openxmlformats.org/officeDocument/2006/relationships" ref="P45" r:id="rId4"/>
  </hyperlinks>
  <pageMargins left="0.75" right="0.75" top="1" bottom="1" header="0" footer="0"/>
  <pageSetup orientation="landscape"/>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AA229"/>
  <sheetViews>
    <sheetView showGridLines="0" workbookViewId="0">
      <selection activeCell="A1" sqref="A1"/>
    </sheetView>
  </sheetViews>
  <sheetFormatPr baseColWidth="8" defaultColWidth="14.43" defaultRowHeight="15" customHeight="1"/>
  <cols>
    <col width="5.57" customWidth="1" style="205" min="1" max="1"/>
    <col width="26" customWidth="1" style="205" min="2" max="2"/>
    <col width="29.86" customWidth="1" style="205" min="3" max="3"/>
    <col width="30" customWidth="1" style="205" min="4" max="4"/>
    <col width="52.29" customWidth="1" style="205" min="5" max="5"/>
    <col width="81.56999999999999" customWidth="1" style="205" min="6" max="6"/>
    <col width="59.43" customWidth="1" style="205" min="7" max="7"/>
    <col width="8.710000000000001" customWidth="1" style="205" min="8" max="27"/>
  </cols>
  <sheetData>
    <row r="1" ht="48.75" customHeight="1" s="205">
      <c r="A1" s="99" t="n"/>
      <c r="B1" s="236" t="inlineStr">
        <is>
          <t>Isi Niche Kamu di Kolom Berikut 👉🏻</t>
        </is>
      </c>
      <c r="C1" s="55" t="inlineStr">
        <is>
          <t>Niche</t>
        </is>
      </c>
      <c r="D1" s="237" t="n"/>
      <c r="E1" s="55" t="inlineStr">
        <is>
          <t>Spesifik Niche</t>
        </is>
      </c>
      <c r="F1" s="55" t="inlineStr">
        <is>
          <t>Super Spesifik Niche</t>
        </is>
      </c>
      <c r="G1" s="55" t="inlineStr">
        <is>
          <t>Apa itu Brand Archetype?</t>
        </is>
      </c>
      <c r="H1" s="99" t="n"/>
      <c r="I1" s="99" t="n"/>
      <c r="J1" s="99" t="n"/>
      <c r="K1" s="99" t="n"/>
      <c r="L1" s="99" t="n"/>
      <c r="M1" s="99" t="n"/>
      <c r="N1" s="99" t="n"/>
      <c r="O1" s="99" t="n"/>
      <c r="P1" s="99" t="n"/>
      <c r="Q1" s="99" t="n"/>
      <c r="R1" s="99" t="n"/>
      <c r="S1" s="99" t="n"/>
      <c r="T1" s="99" t="n"/>
      <c r="U1" s="99" t="n"/>
      <c r="V1" s="99" t="n"/>
      <c r="W1" s="99" t="n"/>
      <c r="X1" s="99" t="n"/>
      <c r="Y1" s="99" t="n"/>
      <c r="Z1" s="99" t="n"/>
      <c r="AA1" s="99" t="n"/>
    </row>
    <row r="2" ht="25.5" customHeight="1" s="205">
      <c r="A2" s="99" t="n"/>
      <c r="B2" s="238" t="n"/>
      <c r="C2" s="239" t="inlineStr">
        <is>
          <t>Platform Informasi Peluang &amp; Leadership</t>
        </is>
      </c>
      <c r="D2" s="240" t="n"/>
      <c r="E2" s="239" t="inlineStr">
        <is>
          <t>Platform info peluang, pengembangan diri, dan karier untuk pelajar &amp; mahasiswa Indonesia</t>
        </is>
      </c>
      <c r="F2" s="239" t="inlineStr">
        <is>
          <t>Platform kurasi peluang, insight, dan strategi growth untuk anak muda yang mau naik level</t>
        </is>
      </c>
      <c r="G2" s="60" t="inlineStr">
        <is>
          <t>Brand archetype adalah karakter atau kepribadian dasar yang digunakan brand (termasuk personal branding) untuk membentuk citra, cara berkomunikasi, dan membangun koneksi emosional dengan audiens.</t>
        </is>
      </c>
      <c r="H2" s="99" t="n"/>
      <c r="I2" s="99" t="n"/>
      <c r="J2" s="99" t="n"/>
      <c r="K2" s="99" t="n"/>
      <c r="L2" s="99" t="n"/>
      <c r="M2" s="99" t="n"/>
      <c r="N2" s="99" t="n"/>
      <c r="O2" s="99" t="n"/>
      <c r="P2" s="99" t="n"/>
      <c r="Q2" s="99" t="n"/>
      <c r="R2" s="99" t="n"/>
      <c r="S2" s="99" t="n"/>
      <c r="T2" s="99" t="n"/>
      <c r="U2" s="99" t="n"/>
      <c r="V2" s="99" t="n"/>
      <c r="W2" s="99" t="n"/>
      <c r="X2" s="99" t="n"/>
      <c r="Y2" s="99" t="n"/>
      <c r="Z2" s="99" t="n"/>
      <c r="AA2" s="99" t="n"/>
    </row>
    <row r="3" ht="25.5" customHeight="1" s="205">
      <c r="A3" s="99" t="n"/>
      <c r="B3" s="241" t="n"/>
      <c r="C3" s="242" t="n"/>
      <c r="D3" s="243" t="n"/>
      <c r="E3" s="241" t="n"/>
      <c r="F3" s="241" t="n"/>
      <c r="H3" s="99" t="n"/>
      <c r="I3" s="99" t="n"/>
      <c r="J3" s="99" t="n"/>
      <c r="K3" s="99" t="n"/>
      <c r="L3" s="99" t="n"/>
      <c r="M3" s="99" t="n"/>
      <c r="N3" s="99" t="n"/>
      <c r="O3" s="99" t="n"/>
      <c r="P3" s="99" t="n"/>
      <c r="Q3" s="99" t="n"/>
      <c r="R3" s="99" t="n"/>
      <c r="S3" s="99" t="n"/>
      <c r="T3" s="99" t="n"/>
      <c r="U3" s="99" t="n"/>
      <c r="V3" s="99" t="n"/>
      <c r="W3" s="99" t="n"/>
      <c r="X3" s="99" t="n"/>
      <c r="Y3" s="99" t="n"/>
      <c r="Z3" s="99" t="n"/>
      <c r="AA3" s="99" t="n"/>
    </row>
    <row r="4" ht="48" customHeight="1" s="205">
      <c r="A4" s="99" t="n"/>
      <c r="B4" s="236" t="inlineStr">
        <is>
          <t>Isi Kepribadian/Positioning Kamu di Kolom Berikut 👉🏻</t>
        </is>
      </c>
      <c r="C4" s="55" t="inlineStr">
        <is>
          <t>Positioning (Kamu Ingin Dikenal Sebagai Siapa)</t>
        </is>
      </c>
      <c r="D4" s="244" t="n"/>
      <c r="E4" s="244" t="n"/>
      <c r="F4" s="237" t="n"/>
      <c r="G4" s="60" t="inlineStr">
        <is>
          <t>Sederhananya:
Brand archetype itu seperti “karakter khas” yang mewakili cara brand berbicara, bersikap, dan ingin dikenali oleh audiensnya.</t>
        </is>
      </c>
      <c r="H4" s="99" t="n"/>
      <c r="I4" s="99" t="n"/>
      <c r="J4" s="99" t="n"/>
      <c r="K4" s="99" t="n"/>
      <c r="L4" s="99" t="n"/>
      <c r="M4" s="99" t="n"/>
      <c r="N4" s="99" t="n"/>
      <c r="O4" s="99" t="n"/>
      <c r="P4" s="99" t="n"/>
      <c r="Q4" s="99" t="n"/>
      <c r="R4" s="99" t="n"/>
      <c r="S4" s="99" t="n"/>
      <c r="T4" s="99" t="n"/>
      <c r="U4" s="99" t="n"/>
      <c r="V4" s="99" t="n"/>
      <c r="W4" s="99" t="n"/>
      <c r="X4" s="99" t="n"/>
      <c r="Y4" s="99" t="n"/>
      <c r="Z4" s="99" t="n"/>
      <c r="AA4" s="99" t="n"/>
    </row>
    <row r="5" ht="25.5" customHeight="1" s="205">
      <c r="A5" s="99" t="n"/>
      <c r="B5" s="238" t="n"/>
      <c r="C5" s="239" t="inlineStr">
        <is>
          <t>Sumber peluang, insight, dan guidance paling relevan untuk anak muda ambis</t>
        </is>
      </c>
      <c r="D5" s="245" t="n"/>
      <c r="E5" s="245" t="n"/>
      <c r="F5" s="240" t="n"/>
      <c r="H5" s="99" t="n"/>
      <c r="I5" s="99" t="n"/>
      <c r="J5" s="99" t="n"/>
      <c r="K5" s="99" t="n"/>
      <c r="L5" s="99" t="n"/>
      <c r="M5" s="99" t="n"/>
      <c r="N5" s="99" t="n"/>
      <c r="O5" s="99" t="n"/>
      <c r="P5" s="99" t="n"/>
      <c r="Q5" s="99" t="n"/>
      <c r="R5" s="99" t="n"/>
      <c r="S5" s="99" t="n"/>
      <c r="T5" s="99" t="n"/>
      <c r="U5" s="99" t="n"/>
      <c r="V5" s="99" t="n"/>
      <c r="W5" s="99" t="n"/>
      <c r="X5" s="99" t="n"/>
      <c r="Y5" s="99" t="n"/>
      <c r="Z5" s="99" t="n"/>
      <c r="AA5" s="99" t="n"/>
    </row>
    <row r="6" ht="15" customHeight="1" s="205">
      <c r="A6" s="99" t="n"/>
      <c r="B6" s="241" t="n"/>
      <c r="C6" s="242" t="n"/>
      <c r="D6" s="246" t="n"/>
      <c r="E6" s="246" t="n"/>
      <c r="F6" s="243" t="n"/>
      <c r="G6" s="99" t="n"/>
      <c r="H6" s="99" t="n"/>
      <c r="I6" s="99" t="n"/>
      <c r="J6" s="99" t="n"/>
      <c r="K6" s="99" t="n"/>
      <c r="L6" s="99" t="n"/>
      <c r="M6" s="99" t="n"/>
      <c r="N6" s="99" t="n"/>
      <c r="O6" s="99" t="n"/>
      <c r="P6" s="99" t="n"/>
      <c r="Q6" s="99" t="n"/>
      <c r="R6" s="99" t="n"/>
      <c r="S6" s="99" t="n"/>
      <c r="T6" s="99" t="n"/>
      <c r="U6" s="99" t="n"/>
      <c r="V6" s="99" t="n"/>
      <c r="W6" s="99" t="n"/>
      <c r="X6" s="99" t="n"/>
      <c r="Y6" s="99" t="n"/>
      <c r="Z6" s="99" t="n"/>
      <c r="AA6" s="99" t="n"/>
    </row>
    <row r="7" ht="10.5" customHeight="1" s="205">
      <c r="A7" s="99" t="n"/>
      <c r="B7" s="99" t="n"/>
      <c r="C7" s="99" t="n"/>
      <c r="D7" s="99" t="n"/>
      <c r="E7" s="99" t="n"/>
      <c r="F7" s="99" t="n"/>
      <c r="G7" s="99" t="n"/>
      <c r="H7" s="99" t="n"/>
      <c r="I7" s="99" t="n"/>
      <c r="J7" s="99" t="n"/>
      <c r="K7" s="99" t="n"/>
      <c r="L7" s="99" t="n"/>
      <c r="M7" s="99" t="n"/>
      <c r="N7" s="99" t="n"/>
      <c r="O7" s="99" t="n"/>
      <c r="P7" s="99" t="n"/>
      <c r="Q7" s="99" t="n"/>
      <c r="R7" s="99" t="n"/>
      <c r="S7" s="99" t="n"/>
      <c r="T7" s="99" t="n"/>
      <c r="U7" s="99" t="n"/>
      <c r="V7" s="99" t="n"/>
      <c r="W7" s="99" t="n"/>
      <c r="X7" s="99" t="n"/>
      <c r="Y7" s="99" t="n"/>
      <c r="Z7" s="99" t="n"/>
      <c r="AA7" s="99" t="n"/>
    </row>
    <row r="8" ht="10.5" customHeight="1" s="205">
      <c r="A8" s="99" t="n"/>
      <c r="B8" s="99" t="n"/>
      <c r="C8" s="99" t="n"/>
      <c r="D8" s="99" t="n"/>
      <c r="E8" s="99" t="n"/>
      <c r="F8" s="99" t="n"/>
      <c r="G8" s="99" t="n"/>
      <c r="H8" s="99" t="n"/>
      <c r="I8" s="99" t="n"/>
      <c r="J8" s="99" t="n"/>
      <c r="K8" s="99" t="n"/>
      <c r="L8" s="99" t="n"/>
      <c r="M8" s="99" t="n"/>
      <c r="N8" s="99" t="n"/>
      <c r="O8" s="99" t="n"/>
      <c r="P8" s="99" t="n"/>
      <c r="Q8" s="99" t="n"/>
      <c r="R8" s="99" t="n"/>
      <c r="S8" s="99" t="n"/>
      <c r="T8" s="99" t="n"/>
      <c r="U8" s="99" t="n"/>
      <c r="V8" s="99" t="n"/>
      <c r="W8" s="99" t="n"/>
      <c r="X8" s="99" t="n"/>
      <c r="Y8" s="99" t="n"/>
      <c r="Z8" s="99" t="n"/>
      <c r="AA8" s="99" t="n"/>
    </row>
    <row r="9" ht="37.5" customHeight="1" s="205">
      <c r="A9" s="67" t="n"/>
      <c r="B9" s="236" t="inlineStr">
        <is>
          <t>Kita Cari Tahu DNA Content Pillar-mu, Isi semuanya jangan ada yang terlewat 👉🏻</t>
        </is>
      </c>
      <c r="C9" s="68" t="inlineStr">
        <is>
          <t>Tone of Voice</t>
        </is>
      </c>
      <c r="D9" s="68" t="inlineStr">
        <is>
          <t>Brand Archetype</t>
        </is>
      </c>
      <c r="E9" s="68" t="inlineStr">
        <is>
          <t>Deskripsi Gaya Komunikasi</t>
        </is>
      </c>
      <c r="F9" s="68" t="inlineStr">
        <is>
          <t>Contoh Pengisian</t>
        </is>
      </c>
      <c r="G9" s="69" t="inlineStr">
        <is>
          <t>Brand Archetype</t>
        </is>
      </c>
      <c r="H9" s="67" t="n"/>
      <c r="I9" s="67" t="n"/>
      <c r="J9" s="67" t="n"/>
      <c r="K9" s="67" t="n"/>
      <c r="L9" s="67" t="n"/>
      <c r="M9" s="67" t="n"/>
      <c r="N9" s="67" t="n"/>
      <c r="O9" s="67" t="n"/>
      <c r="P9" s="67" t="n"/>
      <c r="Q9" s="67" t="n"/>
      <c r="R9" s="67" t="n"/>
      <c r="S9" s="67" t="n"/>
      <c r="T9" s="67" t="n"/>
      <c r="U9" s="67" t="n"/>
      <c r="V9" s="67" t="n"/>
      <c r="W9" s="67" t="n"/>
      <c r="X9" s="67" t="n"/>
      <c r="Y9" s="67" t="n"/>
      <c r="Z9" s="67" t="n"/>
      <c r="AA9" s="67" t="n"/>
    </row>
    <row r="10">
      <c r="A10" s="99" t="n"/>
      <c r="B10" s="238" t="n"/>
      <c r="C10" s="247" t="inlineStr">
        <is>
          <t>Friendly</t>
        </is>
      </c>
      <c r="D10" s="247" t="inlineStr">
        <is>
          <t>The Magician</t>
        </is>
      </c>
      <c r="E10" s="248" t="inlineStr">
        <is>
          <t>Informatif, suportif, dan to the point. Kontennya harus bikin audiens ngerasa peluang, growth, dan karier itu bisa diubah jadi aksi nyata langkah demi langkah.</t>
        </is>
      </c>
      <c r="F10" s="72" t="inlineStr">
        <is>
          <t>Saya suka menyampaikan pesan dengan cara santai dan dekat dengan audiens.</t>
        </is>
      </c>
      <c r="G10" s="73" t="inlineStr">
        <is>
          <t xml:space="preserve"> The Creator
Ingin menciptakan sesuatu yang orisinal dan bermakna. Fokus pada kreativitas dan karya.</t>
        </is>
      </c>
      <c r="H10" s="99" t="n"/>
      <c r="I10" s="99" t="n"/>
      <c r="J10" s="99" t="n"/>
      <c r="K10" s="99" t="n"/>
      <c r="L10" s="99" t="n"/>
      <c r="M10" s="99" t="n"/>
      <c r="N10" s="99" t="n"/>
      <c r="O10" s="99" t="n"/>
      <c r="P10" s="99" t="n"/>
      <c r="Q10" s="99" t="n"/>
      <c r="R10" s="99" t="n"/>
      <c r="S10" s="99" t="n"/>
      <c r="T10" s="99" t="n"/>
      <c r="U10" s="99" t="n"/>
      <c r="V10" s="99" t="n"/>
      <c r="W10" s="99" t="n"/>
      <c r="X10" s="99" t="n"/>
      <c r="Y10" s="99" t="n"/>
      <c r="Z10" s="99" t="n"/>
      <c r="AA10" s="99" t="n"/>
    </row>
    <row r="11">
      <c r="A11" s="99" t="n"/>
      <c r="B11" s="238" t="n"/>
      <c r="C11" s="238" t="n"/>
      <c r="D11" s="238" t="n"/>
      <c r="E11" s="238" t="n"/>
      <c r="F11" s="74" t="inlineStr">
        <is>
          <t>Saya terbiasa menyampaikan hal serius dengan gaya profesional tapi tetap ringan.</t>
        </is>
      </c>
      <c r="G11" s="75" t="inlineStr">
        <is>
          <t>The Ruler
Tampil sebagai pemimpin. Profesional, tegas, dan dipercaya. Cocok untuk brand yang ingin terlihat kuat dan mapan.</t>
        </is>
      </c>
      <c r="H11" s="99" t="n"/>
      <c r="I11" s="99" t="n"/>
      <c r="J11" s="99" t="n"/>
      <c r="K11" s="99" t="n"/>
      <c r="L11" s="99" t="n"/>
      <c r="M11" s="99" t="n"/>
      <c r="N11" s="99" t="n"/>
      <c r="O11" s="99" t="n"/>
      <c r="P11" s="99" t="n"/>
      <c r="Q11" s="99" t="n"/>
      <c r="R11" s="99" t="n"/>
      <c r="S11" s="99" t="n"/>
      <c r="T11" s="99" t="n"/>
      <c r="U11" s="99" t="n"/>
      <c r="V11" s="99" t="n"/>
      <c r="W11" s="99" t="n"/>
      <c r="X11" s="99" t="n"/>
      <c r="Y11" s="99" t="n"/>
      <c r="Z11" s="99" t="n"/>
      <c r="AA11" s="99" t="n"/>
    </row>
    <row r="12">
      <c r="A12" s="99" t="n"/>
      <c r="B12" s="238" t="n"/>
      <c r="C12" s="238" t="n"/>
      <c r="D12" s="238" t="n"/>
      <c r="E12" s="238" t="n"/>
      <c r="F12" s="72" t="inlineStr">
        <is>
          <t>Saya suka storytelling, jadi suka membawa audiens lewat pengalaman pribadi.</t>
        </is>
      </c>
      <c r="G12" s="73" t="inlineStr">
        <is>
          <t>The Hero
Penuh semangat, suka tantangan, dan mendorong audiens jadi versi terbaik dirinya.</t>
        </is>
      </c>
      <c r="H12" s="99" t="n"/>
      <c r="I12" s="99" t="n"/>
      <c r="J12" s="99" t="n"/>
      <c r="K12" s="99" t="n"/>
      <c r="L12" s="99" t="n"/>
      <c r="M12" s="99" t="n"/>
      <c r="N12" s="99" t="n"/>
      <c r="O12" s="99" t="n"/>
      <c r="P12" s="99" t="n"/>
      <c r="Q12" s="99" t="n"/>
      <c r="R12" s="99" t="n"/>
      <c r="S12" s="99" t="n"/>
      <c r="T12" s="99" t="n"/>
      <c r="U12" s="99" t="n"/>
      <c r="V12" s="99" t="n"/>
      <c r="W12" s="99" t="n"/>
      <c r="X12" s="99" t="n"/>
      <c r="Y12" s="99" t="n"/>
      <c r="Z12" s="99" t="n"/>
      <c r="AA12" s="99" t="n"/>
    </row>
    <row r="13">
      <c r="A13" s="99" t="n"/>
      <c r="B13" s="238" t="n"/>
      <c r="C13" s="238" t="n"/>
      <c r="D13" s="238" t="n"/>
      <c r="E13" s="238" t="n"/>
      <c r="F13" s="74" t="inlineStr">
        <is>
          <t>Saya lebih suka gaya to the point dan actionable, langsung ke solusi.</t>
        </is>
      </c>
      <c r="G13" s="75" t="inlineStr">
        <is>
          <t>The Caregiver
Peduli, melayani, dan membantu. Cocok untuk brand yang menenangkan dan memberi rasa aman.</t>
        </is>
      </c>
      <c r="H13" s="99" t="n"/>
      <c r="I13" s="99" t="n"/>
      <c r="J13" s="99" t="n"/>
      <c r="K13" s="99" t="n"/>
      <c r="L13" s="99" t="n"/>
      <c r="M13" s="99" t="n"/>
      <c r="N13" s="99" t="n"/>
      <c r="O13" s="99" t="n"/>
      <c r="P13" s="99" t="n"/>
      <c r="Q13" s="99" t="n"/>
      <c r="R13" s="99" t="n"/>
      <c r="S13" s="99" t="n"/>
      <c r="T13" s="99" t="n"/>
      <c r="U13" s="99" t="n"/>
      <c r="V13" s="99" t="n"/>
      <c r="W13" s="99" t="n"/>
      <c r="X13" s="99" t="n"/>
      <c r="Y13" s="99" t="n"/>
      <c r="Z13" s="99" t="n"/>
      <c r="AA13" s="99" t="n"/>
    </row>
    <row r="14">
      <c r="A14" s="99" t="n"/>
      <c r="B14" s="238" t="n"/>
      <c r="C14" s="238" t="n"/>
      <c r="D14" s="238" t="n"/>
      <c r="E14" s="238" t="n"/>
      <c r="F14" s="72" t="inlineStr">
        <is>
          <t>Gaya saya menghibur, tapi tetap ada nilai edukasinya.</t>
        </is>
      </c>
      <c r="G14" s="73" t="inlineStr">
        <is>
          <t>The Explorer
Suka petualangan dan kebebasan. Membawa audiens untuk bertumbuh dan menjelajah hal baru.</t>
        </is>
      </c>
      <c r="H14" s="99" t="n"/>
      <c r="I14" s="99" t="n"/>
      <c r="J14" s="99" t="n"/>
      <c r="K14" s="99" t="n"/>
      <c r="L14" s="99" t="n"/>
      <c r="M14" s="99" t="n"/>
      <c r="N14" s="99" t="n"/>
      <c r="O14" s="99" t="n"/>
      <c r="P14" s="99" t="n"/>
      <c r="Q14" s="99" t="n"/>
      <c r="R14" s="99" t="n"/>
      <c r="S14" s="99" t="n"/>
      <c r="T14" s="99" t="n"/>
      <c r="U14" s="99" t="n"/>
      <c r="V14" s="99" t="n"/>
      <c r="W14" s="99" t="n"/>
      <c r="X14" s="99" t="n"/>
      <c r="Y14" s="99" t="n"/>
      <c r="Z14" s="99" t="n"/>
      <c r="AA14" s="99" t="n"/>
    </row>
    <row r="15">
      <c r="A15" s="99" t="n"/>
      <c r="B15" s="238" t="n"/>
      <c r="C15" s="238" t="n"/>
      <c r="D15" s="238" t="n"/>
      <c r="E15" s="238" t="n"/>
      <c r="F15" s="74" t="inlineStr">
        <is>
          <t>Saya biasanya menggunakan gaya visual yang kuat saat menyampaikan konten.</t>
        </is>
      </c>
      <c r="G15" s="75" t="inlineStr">
        <is>
          <t>The Innocent
Simple, jujur, dan positif. Bawa rasa damai dan optimisme dalam setiap pesannya.</t>
        </is>
      </c>
      <c r="H15" s="99" t="n"/>
      <c r="I15" s="99" t="n"/>
      <c r="J15" s="99" t="n"/>
      <c r="K15" s="99" t="n"/>
      <c r="L15" s="99" t="n"/>
      <c r="M15" s="99" t="n"/>
      <c r="N15" s="99" t="n"/>
      <c r="O15" s="99" t="n"/>
      <c r="P15" s="99" t="n"/>
      <c r="Q15" s="99" t="n"/>
      <c r="R15" s="99" t="n"/>
      <c r="S15" s="99" t="n"/>
      <c r="T15" s="99" t="n"/>
      <c r="U15" s="99" t="n"/>
      <c r="V15" s="99" t="n"/>
      <c r="W15" s="99" t="n"/>
      <c r="X15" s="99" t="n"/>
      <c r="Y15" s="99" t="n"/>
      <c r="Z15" s="99" t="n"/>
      <c r="AA15" s="99" t="n"/>
    </row>
    <row r="16">
      <c r="A16" s="99" t="n"/>
      <c r="B16" s="238" t="n"/>
      <c r="C16" s="241" t="n"/>
      <c r="D16" s="241" t="n"/>
      <c r="E16" s="241" t="n"/>
      <c r="F16" s="72" t="inlineStr">
        <is>
          <t>Gaya saya lebih ke membangun empati dan koneksi emosional.</t>
        </is>
      </c>
      <c r="G16" s="73" t="inlineStr">
        <is>
          <t>The Rebel
Anti-mainstream, berani beda, dan ingin mematahkan aturan lama.</t>
        </is>
      </c>
      <c r="H16" s="99" t="n"/>
      <c r="I16" s="99" t="n"/>
      <c r="J16" s="99" t="n"/>
      <c r="K16" s="99" t="n"/>
      <c r="L16" s="99" t="n"/>
      <c r="M16" s="99" t="n"/>
      <c r="N16" s="99" t="n"/>
      <c r="O16" s="99" t="n"/>
      <c r="P16" s="99" t="n"/>
      <c r="Q16" s="99" t="n"/>
      <c r="R16" s="99" t="n"/>
      <c r="S16" s="99" t="n"/>
      <c r="T16" s="99" t="n"/>
      <c r="U16" s="99" t="n"/>
      <c r="V16" s="99" t="n"/>
      <c r="W16" s="99" t="n"/>
      <c r="X16" s="99" t="n"/>
      <c r="Y16" s="99" t="n"/>
      <c r="Z16" s="99" t="n"/>
      <c r="AA16" s="99" t="n"/>
    </row>
    <row r="17">
      <c r="A17" s="76" t="n"/>
      <c r="B17" s="238" t="n"/>
      <c r="C17" s="116" t="n"/>
      <c r="D17" s="244" t="n"/>
      <c r="E17" s="244" t="n"/>
      <c r="F17" s="237" t="n"/>
      <c r="G17" s="78" t="inlineStr">
        <is>
          <t>The Lover
Fokus pada hubungan emosional dan keindahan. Dekat, hangat, dan penuh rasa.</t>
        </is>
      </c>
      <c r="H17" s="76" t="n"/>
      <c r="I17" s="76" t="n"/>
      <c r="J17" s="76" t="n"/>
      <c r="K17" s="76" t="n"/>
      <c r="L17" s="76" t="n"/>
      <c r="M17" s="76" t="n"/>
      <c r="N17" s="76" t="n"/>
      <c r="O17" s="76" t="n"/>
      <c r="P17" s="76" t="n"/>
      <c r="Q17" s="76" t="n"/>
      <c r="R17" s="76" t="n"/>
      <c r="S17" s="76" t="n"/>
      <c r="T17" s="76" t="n"/>
      <c r="U17" s="76" t="n"/>
      <c r="V17" s="76" t="n"/>
      <c r="W17" s="76" t="n"/>
      <c r="X17" s="76" t="n"/>
      <c r="Y17" s="76" t="n"/>
      <c r="Z17" s="76" t="n"/>
      <c r="AA17" s="76" t="n"/>
    </row>
    <row r="18" ht="48" customHeight="1" s="205">
      <c r="A18" s="99" t="n"/>
      <c r="B18" s="238" t="n"/>
      <c r="C18" s="68" t="inlineStr">
        <is>
          <t>Target Audience</t>
        </is>
      </c>
      <c r="D18" s="249" t="inlineStr">
        <is>
          <t>Pelajar SMA, mahasiswa, dan fresh graduate usia 15-25 tahun di Indonesia yang aktif cari peluang pengembangan diri, karier, prestasi, dan networking.</t>
        </is>
      </c>
      <c r="E18" s="237" t="n"/>
      <c r="F18" s="72" t="inlineStr">
        <is>
          <t>Tentukan siapa yang ingin kamu jangkau dengan kontenmu. Sebutkan secara spesifik: usia, minat, profesi, atau tantangan yang mereka hadapi. Contoh: ‘UMKM pemula yang ingin mulai jualan online’, atau ‘fresh graduate yang ingin jadi konten kreator</t>
        </is>
      </c>
      <c r="G18" s="73" t="inlineStr">
        <is>
          <t>The Magician
Membawa perubahan dan “wow moment”. Cocok untuk brand yang transformative atau inovatif.</t>
        </is>
      </c>
      <c r="H18" s="99" t="n"/>
      <c r="I18" s="99" t="n"/>
      <c r="J18" s="99" t="n"/>
      <c r="K18" s="99" t="n"/>
      <c r="L18" s="99" t="n"/>
      <c r="M18" s="99" t="n"/>
      <c r="N18" s="99" t="n"/>
      <c r="O18" s="99" t="n"/>
      <c r="P18" s="99" t="n"/>
      <c r="Q18" s="99" t="n"/>
      <c r="R18" s="99" t="n"/>
      <c r="S18" s="99" t="n"/>
      <c r="T18" s="99" t="n"/>
      <c r="U18" s="99" t="n"/>
      <c r="V18" s="99" t="n"/>
      <c r="W18" s="99" t="n"/>
      <c r="X18" s="99" t="n"/>
      <c r="Y18" s="99" t="n"/>
      <c r="Z18" s="99" t="n"/>
      <c r="AA18" s="99" t="n"/>
    </row>
    <row r="19" ht="48" customHeight="1" s="205">
      <c r="A19" s="99" t="n"/>
      <c r="B19" s="241" t="n"/>
      <c r="C19" s="68" t="inlineStr">
        <is>
          <t>Segmentasi Audience</t>
        </is>
      </c>
      <c r="D19" s="249" t="inlineStr">
        <is>
          <t>Opportunity seeker, scholarship hunter, future leader, CV builder, dan anak muda yang ingin naik level lewat pengalaman dan skill.</t>
        </is>
      </c>
      <c r="E19" s="237" t="n"/>
      <c r="F19" s="72" t="inlineStr">
        <is>
          <t xml:space="preserve"> </t>
        </is>
      </c>
      <c r="G19" s="75" t="inlineStr">
        <is>
          <t>The Everyman
Ramah, relatable, dan down to earth. Seperti teman dekat yang bisa diandalkan.</t>
        </is>
      </c>
      <c r="H19" s="99" t="n"/>
      <c r="I19" s="99" t="n"/>
      <c r="J19" s="99" t="n"/>
      <c r="K19" s="99" t="n"/>
      <c r="L19" s="99" t="n"/>
      <c r="M19" s="99" t="n"/>
      <c r="N19" s="99" t="n"/>
      <c r="O19" s="99" t="n"/>
      <c r="P19" s="99" t="n"/>
      <c r="Q19" s="99" t="n"/>
      <c r="R19" s="99" t="n"/>
      <c r="S19" s="99" t="n"/>
      <c r="T19" s="99" t="n"/>
      <c r="U19" s="99" t="n"/>
      <c r="V19" s="99" t="n"/>
      <c r="W19" s="99" t="n"/>
      <c r="X19" s="99" t="n"/>
      <c r="Y19" s="99" t="n"/>
      <c r="Z19" s="99" t="n"/>
      <c r="AA19" s="99" t="n"/>
    </row>
    <row r="20" hidden="1" ht="19.5" customHeight="1" s="205">
      <c r="A20" s="76" t="n"/>
      <c r="B20" s="80" t="n"/>
      <c r="C20" s="81">
        <f>IF(AND(C2&lt;&gt;"", E2&lt;&gt;"", F2&lt;&gt;"", C5&lt;&gt;"", C10&lt;&gt;"", D10&lt;&gt;"", E10&lt;&gt;"", D18&lt;&gt;"", D19&lt;&gt;""), CONCATENATE("Saya adalah seorang dengan niche utama '", C2, "', spesifik kategori '", E2, "', dan super spesifik '", F2, "', yang ingin dikenal sebagai '", C5, "'.", CHAR(10), CHAR(10), "Saya memiliki Tone of Voice: '", C10, "', Brand Archetype: '", D10, "', dan Deskripsi Gaya Komunikasi: '", E10, "'.", CHAR(10), CHAR(10), "Target audiens saya adalah: '", D18, "', dengan segmentasi audiens: '", D19, "'.", CHAR(10), CHAR(10), "Berdasarkan informasi di atas dan dengan menerapkan framework STP (Segmenting, Targeting, Positioning), mohon buatkan daftar Content Pilar yang lengkap, relevan, dan strategis untuk akun media sosial saya. Ini adalah DNA konten saya. **Pastikan setiap pilar ini unik dan membedakan saya dari kreator lain di niche yang sama, serta selaras dengan tujuan personal branding saya.**", CHAR(10), CHAR(10), "Daftar content pilar ini harus mencakup:", CHAR(10), "&gt; Topik utama yang relevan dengan niche dan bisa dikembangkan dalam jangka panjang.", CHAR(10), "&gt; Sub-topik turunan yang **spesifik, relevan, dan dapat langsung menjadi ide konten yang menarik serta menjawab pain points audiens.**", CHAR(10), "&gt; Mencakup 5 pilar konten utama yang meliputi: Educational (Edukasi), Entertain (Hiburan), Social Proof (Bukti Sosial), Personal Story (Cerita Pribadi), dan Promotional (Promosi). Pastikan pilar ini disesuaikan dengan personal branding yang telah dibangun, **menonjolkan keunikan saya**, dengan memberikan sentuhan terkait niche pada penyebutan pilar utama.", CHAR(10), "&gt; Tambahkan beberapa pilar lagi sebagai tambahan referensi untuk lebih banyak pilihan.", CHAR(10), CHAR(10), "Sertakan juga insight tentang:", CHAR(10), "- Kenapa pilar konten ini penting untuk membangun otoritas di niche tersebut.", CHAR(10), "- Bagaimana pilar konten ini bisa membantu audiens dan menyelesaikan masalah mereka.", CHAR(10), "- **Bagaimana setiap pilar dapat mendorong interaksi, membangun komunitas, dan mendukung tujuan monetisasi saya (misalnya, mendorong ke kelas/webinar).**", CHAR(10), "- Format yang cocok untuk menyampaikan konten dari masing-masing pilar (misalnya: video pendek / panjang, carousel, thread, dll.).", CHAR(10), CHAR(10), "Pastikan outputnya:", CHAR(10), "✔ Tidak terbatas pada jumlah tertentu, buat sebanyak mungkin agar bisa dipilih sesuai kebutuhan.", CHAR(10), "✔ Mudah dikembangkan menjadi strategi konten jangka panjang.", CHAR(10), "✔ Relevan dengan tren industri di bidang '", C2, "' serta selaras dengan target audiens saya.", CHAR(10), "✔ Membantu saya membangun personal branding yang kuat di bidang ini.", CHAR(10), "✔ **Memiliki potensi untuk membangun koneksi emosional dan loyalitas audiens.**", CHAR(10), CHAR(10), "Sajikan hasilnya dalam format tabel yang jelas, dengan kolom 'Content Pillar DNA' dan 'Deskripsi' untuk setiap pilar. Jika ada insight tambahan atau rekomendasi pengembangan, tambahkan untuk memperkaya strategi saya."), "")</f>
        <v/>
      </c>
      <c r="D20" s="199" t="n"/>
      <c r="E20" s="199" t="n"/>
      <c r="F20" s="83" t="n"/>
      <c r="G20" s="83" t="n"/>
      <c r="H20" s="76" t="n"/>
      <c r="I20" s="76" t="n"/>
      <c r="J20" s="76" t="n"/>
      <c r="K20" s="76" t="n"/>
      <c r="L20" s="76" t="n"/>
      <c r="M20" s="76" t="n"/>
      <c r="N20" s="76" t="n"/>
      <c r="O20" s="76" t="n"/>
      <c r="P20" s="76" t="n"/>
      <c r="Q20" s="76" t="n"/>
      <c r="R20" s="76" t="n"/>
      <c r="S20" s="76" t="n"/>
      <c r="T20" s="76" t="n"/>
      <c r="U20" s="76" t="n"/>
      <c r="V20" s="76" t="n"/>
      <c r="W20" s="76" t="n"/>
      <c r="X20" s="76" t="n"/>
      <c r="Y20" s="76" t="n"/>
      <c r="Z20" s="76" t="n"/>
      <c r="AA20" s="76" t="n"/>
    </row>
    <row r="21" ht="36.75" customHeight="1" s="205">
      <c r="A21" s="60" t="n"/>
      <c r="B21" s="250" t="inlineStr">
        <is>
          <t>Klik atau Copas ke ChatGPT 👉🏻</t>
        </is>
      </c>
      <c r="C21" s="251" t="inlineStr">
        <is>
          <t>Link Prompt</t>
        </is>
      </c>
      <c r="D21" s="244" t="n"/>
      <c r="E21" s="244" t="n"/>
      <c r="F21" s="237" t="n"/>
      <c r="G21" s="86" t="n"/>
      <c r="H21" s="99" t="n"/>
      <c r="I21" s="99" t="n"/>
      <c r="J21" s="99" t="n"/>
      <c r="K21" s="99" t="n"/>
      <c r="L21" s="99" t="n"/>
      <c r="M21" s="99" t="n"/>
      <c r="N21" s="99" t="n"/>
      <c r="O21" s="99" t="n"/>
      <c r="P21" s="99" t="n"/>
      <c r="Q21" s="99" t="n"/>
      <c r="R21" s="99" t="n"/>
      <c r="S21" s="99" t="n"/>
      <c r="T21" s="99" t="n"/>
      <c r="U21" s="99" t="n"/>
      <c r="V21" s="99" t="n"/>
      <c r="W21" s="99" t="n"/>
      <c r="X21" s="99" t="n"/>
      <c r="Y21" s="99" t="n"/>
      <c r="Z21" s="99" t="n"/>
      <c r="AA21" s="99" t="n"/>
    </row>
    <row r="22" ht="75" customHeight="1" s="205">
      <c r="A22" s="76" t="n"/>
      <c r="B22" s="241" t="n"/>
      <c r="C22" s="252">
        <f>IF(C20&lt;&gt;"", IF(LEN("https://chatgpt.com/?prompt=" &amp; SUBSTITUTE(SUBSTITUTE(C20, " ", "+"), "&amp;", "dan")) &lt;= 255, HYPERLINK("https://chatgpt.com/?prompt=" &amp; SUBSTITUTE(SUBSTITUTE(C20, " ", "+"), "&amp;", "dan") &amp; "&amp;force-refresh=true", "👉 Klik untuk Generate Content Pillar! 🔥"), "👉 Silakan copas Cell C20 manual &amp; paste ke ChatGPT/Gemini! (Teks terlalu panjang untuk diklik di Excel) 🔥"), "")</f>
        <v/>
      </c>
      <c r="D22" s="244" t="n"/>
      <c r="E22" s="244" t="n"/>
      <c r="F22" s="237" t="n"/>
      <c r="G22" s="88" t="n"/>
      <c r="H22" s="76" t="n"/>
      <c r="I22" s="76" t="n"/>
      <c r="J22" s="76" t="n"/>
      <c r="K22" s="76" t="n"/>
      <c r="L22" s="76" t="n"/>
      <c r="M22" s="76" t="n"/>
      <c r="N22" s="76" t="n"/>
      <c r="O22" s="76" t="n"/>
      <c r="P22" s="76" t="n"/>
      <c r="Q22" s="76" t="n"/>
      <c r="R22" s="76" t="n"/>
      <c r="S22" s="76" t="n"/>
      <c r="T22" s="76" t="n"/>
      <c r="U22" s="76" t="n"/>
      <c r="V22" s="76" t="n"/>
      <c r="W22" s="76" t="n"/>
      <c r="X22" s="76" t="n"/>
      <c r="Y22" s="76" t="n"/>
      <c r="Z22" s="76" t="n"/>
      <c r="AA22" s="76" t="n"/>
    </row>
    <row r="23" ht="18.75" customHeight="1" s="205">
      <c r="A23" s="76" t="n"/>
      <c r="B23" s="89" t="n"/>
      <c r="C23" s="90" t="inlineStr">
        <is>
          <t>Kalau mau pakai AI lain bisa, tinggal copas aja promptnya dari ChatGPT!</t>
        </is>
      </c>
      <c r="D23" s="199" t="n"/>
      <c r="E23" s="199" t="n"/>
      <c r="F23" s="199" t="n"/>
      <c r="G23" s="91" t="n"/>
      <c r="H23" s="76" t="n"/>
      <c r="I23" s="76" t="n"/>
      <c r="J23" s="76" t="n"/>
      <c r="K23" s="76" t="n"/>
      <c r="L23" s="76" t="n"/>
      <c r="M23" s="76" t="n"/>
      <c r="N23" s="76" t="n"/>
      <c r="O23" s="76" t="n"/>
      <c r="P23" s="76" t="n"/>
      <c r="Q23" s="76" t="n"/>
      <c r="R23" s="76" t="n"/>
      <c r="S23" s="76" t="n"/>
      <c r="T23" s="76" t="n"/>
      <c r="U23" s="76" t="n"/>
      <c r="V23" s="76" t="n"/>
      <c r="W23" s="76" t="n"/>
      <c r="X23" s="76" t="n"/>
      <c r="Y23" s="76" t="n"/>
      <c r="Z23" s="76" t="n"/>
      <c r="AA23" s="76" t="n"/>
    </row>
    <row r="24" ht="18.75" customHeight="1" s="205">
      <c r="A24" s="76" t="n"/>
      <c r="B24" s="89" t="n"/>
      <c r="C24" s="199" t="n"/>
      <c r="D24" s="199" t="n"/>
      <c r="E24" s="199" t="n"/>
      <c r="F24" s="199" t="n"/>
      <c r="G24" s="199" t="n"/>
      <c r="H24" s="76" t="n"/>
      <c r="I24" s="76" t="n"/>
      <c r="J24" s="76" t="n"/>
      <c r="K24" s="76" t="n"/>
      <c r="L24" s="76" t="n"/>
      <c r="M24" s="76" t="n"/>
      <c r="N24" s="76" t="n"/>
      <c r="O24" s="76" t="n"/>
      <c r="P24" s="76" t="n"/>
      <c r="Q24" s="76" t="n"/>
      <c r="R24" s="76" t="n"/>
      <c r="S24" s="76" t="n"/>
      <c r="T24" s="76" t="n"/>
      <c r="U24" s="76" t="n"/>
      <c r="V24" s="76" t="n"/>
      <c r="W24" s="76" t="n"/>
      <c r="X24" s="76" t="n"/>
      <c r="Y24" s="76" t="n"/>
      <c r="Z24" s="76" t="n"/>
      <c r="AA24" s="76" t="n"/>
    </row>
    <row r="25" ht="45.75" customHeight="1" s="205">
      <c r="A25" s="60" t="n"/>
      <c r="B25" s="236" t="inlineStr">
        <is>
          <t>Isi Content Pillar-mu dari hasil generate AI, ingat untuk tetap menyesuaikan, jangan telan mentah-mentah 👉🏻</t>
        </is>
      </c>
      <c r="C25" s="251" t="inlineStr">
        <is>
          <t>Tempatkan Hasil Generate Berdasarkan Jawaban Kamu di Kolom Bawah</t>
        </is>
      </c>
      <c r="D25" s="244" t="n"/>
      <c r="E25" s="244" t="n"/>
      <c r="F25" s="237" t="n"/>
      <c r="G25" s="86" t="n"/>
      <c r="H25" s="99" t="n"/>
      <c r="I25" s="99" t="n"/>
      <c r="J25" s="99" t="n"/>
      <c r="K25" s="99" t="n"/>
      <c r="L25" s="99" t="n"/>
      <c r="M25" s="99" t="n"/>
      <c r="N25" s="99" t="n"/>
      <c r="O25" s="99" t="n"/>
      <c r="P25" s="99" t="n"/>
      <c r="Q25" s="99" t="n"/>
      <c r="R25" s="99" t="n"/>
      <c r="S25" s="99" t="n"/>
      <c r="T25" s="99" t="n"/>
      <c r="U25" s="99" t="n"/>
      <c r="V25" s="99" t="n"/>
      <c r="W25" s="99" t="n"/>
      <c r="X25" s="99" t="n"/>
      <c r="Y25" s="99" t="n"/>
      <c r="Z25" s="99" t="n"/>
      <c r="AA25" s="99" t="n"/>
    </row>
    <row r="26" ht="28.5" customHeight="1" s="205">
      <c r="A26" s="99" t="n"/>
      <c r="B26" s="238" t="n"/>
      <c r="C26" s="253" t="inlineStr">
        <is>
          <t>Content Pillar DNA</t>
        </is>
      </c>
      <c r="D26" s="237" t="n"/>
      <c r="E26" s="253" t="inlineStr">
        <is>
          <t>Deskripsi</t>
        </is>
      </c>
      <c r="F26" s="237" t="n"/>
      <c r="G26" s="93" t="n"/>
      <c r="H26" s="99" t="n"/>
      <c r="I26" s="99" t="n"/>
      <c r="J26" s="99" t="n"/>
      <c r="K26" s="99" t="n"/>
      <c r="L26" s="99" t="n"/>
      <c r="M26" s="99" t="n"/>
      <c r="N26" s="99" t="n"/>
      <c r="O26" s="99" t="n"/>
      <c r="P26" s="99" t="n"/>
      <c r="Q26" s="99" t="n"/>
      <c r="R26" s="99" t="n"/>
      <c r="S26" s="99" t="n"/>
      <c r="T26" s="99" t="n"/>
      <c r="U26" s="99" t="n"/>
      <c r="V26" s="99" t="n"/>
      <c r="W26" s="99" t="n"/>
      <c r="X26" s="99" t="n"/>
      <c r="Y26" s="99" t="n"/>
      <c r="Z26" s="99" t="n"/>
      <c r="AA26" s="99" t="n"/>
    </row>
    <row r="27" ht="15.75" customHeight="1" s="205">
      <c r="A27" s="99" t="n"/>
      <c r="B27" s="238" t="n"/>
      <c r="C27" s="254" t="inlineStr">
        <is>
          <t>Opportunity Content (Informasi)</t>
        </is>
      </c>
      <c r="D27" s="243" t="n"/>
      <c r="E27" s="255" t="inlineStr">
        <is>
          <t>Topik: Update peluang beasiswa, lomba, event, exchange, volunteer, internship, bootcamp, dan program anak muda.
Sub-topik: deadline, benefit, eligibility, cara daftar, reminder penting.
Kenapa penting: Menjadi sumber peluang utama yang paling cepat dan relevan.
Manfaat audiens: Hemat waktu cari info dan nggak kelewat kesempatan bagus.
Interaksi: Ajak audiens save, share, dan komen kategori peluang yang dicari.
Format: Carousel roundup, reels update, story reminder.</t>
        </is>
      </c>
      <c r="F27" s="237" t="n"/>
      <c r="G27" s="91" t="n"/>
      <c r="H27" s="99" t="n"/>
      <c r="I27" s="99" t="n"/>
      <c r="J27" s="99" t="n"/>
      <c r="K27" s="99" t="n"/>
      <c r="L27" s="99" t="n"/>
      <c r="M27" s="99" t="n"/>
      <c r="N27" s="99" t="n"/>
      <c r="O27" s="99" t="n"/>
      <c r="P27" s="99" t="n"/>
      <c r="Q27" s="99" t="n"/>
      <c r="R27" s="99" t="n"/>
      <c r="S27" s="99" t="n"/>
      <c r="T27" s="99" t="n"/>
      <c r="U27" s="99" t="n"/>
      <c r="V27" s="99" t="n"/>
      <c r="W27" s="99" t="n"/>
      <c r="X27" s="99" t="n"/>
      <c r="Y27" s="99" t="n"/>
      <c r="Z27" s="99" t="n"/>
      <c r="AA27" s="99" t="n"/>
    </row>
    <row r="28" ht="15.75" customHeight="1" s="205">
      <c r="A28" s="99" t="n"/>
      <c r="B28" s="238" t="n"/>
      <c r="C28" s="256" t="inlineStr">
        <is>
          <t>Self Development (Leadership &amp; Growth)</t>
        </is>
      </c>
      <c r="D28" s="237" t="n"/>
      <c r="E28" s="256" t="inlineStr">
        <is>
          <t>Topik: Leadership, mindset, public speaking, networking, discipline, productivity, dan soft skill buat anak muda.
Sub-topik: habit building, komunikasi, percaya diri, manajemen waktu, growth mindset.
Kenapa penting: Bantu audiens berkembang jadi versi terbaik dirinya.
Manfaat audiens: Lebih siap menghadapi kuliah, organisasi, kompetisi, dan karier.
Interaksi: Mini challenge, refleksi, dan self-assessment.
Format: Carousel step by step, reels tips cepat, thread edukatif.</t>
        </is>
      </c>
      <c r="F28" s="237" t="n"/>
      <c r="G28" s="199" t="n"/>
      <c r="H28" s="99" t="n"/>
      <c r="I28" s="99" t="n"/>
      <c r="J28" s="99" t="n"/>
      <c r="K28" s="99" t="n"/>
      <c r="L28" s="99" t="n"/>
      <c r="M28" s="99" t="n"/>
      <c r="N28" s="99" t="n"/>
      <c r="O28" s="99" t="n"/>
      <c r="P28" s="99" t="n"/>
      <c r="Q28" s="99" t="n"/>
      <c r="R28" s="99" t="n"/>
      <c r="S28" s="99" t="n"/>
      <c r="T28" s="99" t="n"/>
      <c r="U28" s="99" t="n"/>
      <c r="V28" s="99" t="n"/>
      <c r="W28" s="99" t="n"/>
      <c r="X28" s="99" t="n"/>
      <c r="Y28" s="99" t="n"/>
      <c r="Z28" s="99" t="n"/>
      <c r="AA28" s="99" t="n"/>
    </row>
    <row r="29" ht="15.75" customHeight="1" s="205">
      <c r="A29" s="99" t="n"/>
      <c r="B29" s="238" t="n"/>
      <c r="C29" s="255" t="inlineStr">
        <is>
          <t>Educational &amp; Career Insight</t>
        </is>
      </c>
      <c r="D29" s="237" t="n"/>
      <c r="E29" s="255" t="inlineStr">
        <is>
          <t>Topik: Wawasan kampus, karier, CV, interview, LinkedIn, dan realita dunia kerja.
Sub-topik: kesalahan umum mahasiswa, cara bikin profil lebih standout, career prep.
Kenapa penting: Audiens butuh insight yang praktis dan relevan buat masa depan.
Manfaat audiens: Lebih paham langkah strategis untuk bangun portofolio dan karier.
Interaksi: Saveable tips, Q&amp;A, dan diskusi pengalaman.
Format: Carousel checklist, reels edukasi, post insight.</t>
        </is>
      </c>
      <c r="F29" s="237" t="n"/>
      <c r="G29" s="91" t="n"/>
      <c r="H29" s="99" t="n"/>
      <c r="I29" s="99" t="n"/>
      <c r="J29" s="99" t="n"/>
      <c r="K29" s="99" t="n"/>
      <c r="L29" s="99" t="n"/>
      <c r="M29" s="99" t="n"/>
      <c r="N29" s="99" t="n"/>
      <c r="O29" s="99" t="n"/>
      <c r="P29" s="99" t="n"/>
      <c r="Q29" s="99" t="n"/>
      <c r="R29" s="99" t="n"/>
      <c r="S29" s="99" t="n"/>
      <c r="T29" s="99" t="n"/>
      <c r="U29" s="99" t="n"/>
      <c r="V29" s="99" t="n"/>
      <c r="W29" s="99" t="n"/>
      <c r="X29" s="99" t="n"/>
      <c r="Y29" s="99" t="n"/>
      <c r="Z29" s="99" t="n"/>
      <c r="AA29" s="99" t="n"/>
    </row>
    <row r="30" ht="15.75" customHeight="1" s="205">
      <c r="A30" s="99" t="n"/>
      <c r="B30" s="238" t="n"/>
      <c r="C30" s="116" t="inlineStr">
        <is>
          <t>Achievement &amp; Ambition Lifestyle</t>
        </is>
      </c>
      <c r="D30" s="237" t="n"/>
      <c r="E30" s="116" t="inlineStr">
        <is>
          <t>Topik: Gaya hidup anak muda ambis, aktif, berkembang, dan punya value.
Sub-topik: rutinitas produktif, goal setting, konsistensi, celebration kecil, progress story.
Kenapa penting: Membentuk citra Leaders ID sebagai ruang buat anak muda yang mau naik level.
Manfaat audiens: Termotivasi untuk bergerak dan menjaga ritme growth.
Interaksi: Relatable post, komentar progress, dan share milestone.
Format: Carousel reflektif, reels motivasi, single image statement.</t>
        </is>
      </c>
      <c r="F30" s="237" t="n"/>
      <c r="G30" s="199" t="n"/>
      <c r="H30" s="99" t="n"/>
      <c r="I30" s="99" t="n"/>
      <c r="J30" s="99" t="n"/>
      <c r="K30" s="99" t="n"/>
      <c r="L30" s="99" t="n"/>
      <c r="M30" s="99" t="n"/>
      <c r="N30" s="99" t="n"/>
      <c r="O30" s="99" t="n"/>
      <c r="P30" s="99" t="n"/>
      <c r="Q30" s="99" t="n"/>
      <c r="R30" s="99" t="n"/>
      <c r="S30" s="99" t="n"/>
      <c r="T30" s="99" t="n"/>
      <c r="U30" s="99" t="n"/>
      <c r="V30" s="99" t="n"/>
      <c r="W30" s="99" t="n"/>
      <c r="X30" s="99" t="n"/>
      <c r="Y30" s="99" t="n"/>
      <c r="Z30" s="99" t="n"/>
      <c r="AA30" s="99" t="n"/>
    </row>
    <row r="31" ht="15.75" customHeight="1" s="205">
      <c r="A31" s="99" t="n"/>
      <c r="B31" s="238" t="n"/>
      <c r="C31" s="257" t="inlineStr">
        <is>
          <t>Success Stories &amp; Community Proof</t>
        </is>
      </c>
      <c r="D31" s="237" t="n"/>
      <c r="E31" s="257" t="inlineStr">
        <is>
          <t>Topik: Kisah sukses, testimoni, dan perjalanan anak muda yang berkembang lewat peluang yang dibagikan.
Sub-topik: before-after, lessons learned, behind the scenes, impact cerita nyata.
Kenapa penting: Menumbuhkan trust dan bukti bahwa konten Leaders ID benar-benar berguna.
Manfaat audiens: Punya role model dan referensi nyata untuk ikut langkah serupa.
Interaksi: Ajak audiens share target mereka dan ceritakan progress.
Format: Carousel storytelling, reels interview, quote post.</t>
        </is>
      </c>
      <c r="F31" s="237" t="n"/>
      <c r="G31" s="91" t="n"/>
      <c r="H31" s="99" t="n"/>
      <c r="I31" s="99" t="n"/>
      <c r="J31" s="99" t="n"/>
      <c r="K31" s="99" t="n"/>
      <c r="L31" s="99" t="n"/>
      <c r="M31" s="99" t="n"/>
      <c r="N31" s="99" t="n"/>
      <c r="O31" s="99" t="n"/>
      <c r="P31" s="99" t="n"/>
      <c r="Q31" s="99" t="n"/>
      <c r="R31" s="99" t="n"/>
      <c r="S31" s="99" t="n"/>
      <c r="T31" s="99" t="n"/>
      <c r="U31" s="99" t="n"/>
      <c r="V31" s="99" t="n"/>
      <c r="W31" s="99" t="n"/>
      <c r="X31" s="99" t="n"/>
      <c r="Y31" s="99" t="n"/>
      <c r="Z31" s="99" t="n"/>
      <c r="AA31" s="99" t="n"/>
    </row>
    <row r="32" ht="15.75" customHeight="1" s="205">
      <c r="A32" s="99" t="n"/>
      <c r="B32" s="238" t="n"/>
      <c r="C32" s="116" t="inlineStr">
        <is>
          <t>Beasiswa &amp; Global Opportunities</t>
        </is>
      </c>
      <c r="D32" s="237" t="n"/>
      <c r="E32" s="116" t="inlineStr">
        <is>
          <t>Topik: Peluang beasiswa, exchange, conference, bootcamp, fellowship, dan program fully funded.
Sub-topik: syarat, deadline, benefit, cara daftar, reminder penting.
Kenapa penting: Memperluas akses audiens ke kesempatan belajar dan berkembang.
Manfaat audiens: Nemu peluang yang relevan untuk skill, jaringan, dan karier.
Interaksi: Save, share, dan request peluang sesuai kategori.
Format: Carousel listicle, roundup mingguan, story reminder.</t>
        </is>
      </c>
      <c r="F32" s="237" t="n"/>
      <c r="G32" s="199" t="n"/>
      <c r="H32" s="99" t="n"/>
      <c r="I32" s="99" t="n"/>
      <c r="J32" s="99" t="n"/>
      <c r="K32" s="99" t="n"/>
      <c r="L32" s="99" t="n"/>
      <c r="M32" s="99" t="n"/>
      <c r="N32" s="99" t="n"/>
      <c r="O32" s="99" t="n"/>
      <c r="P32" s="99" t="n"/>
      <c r="Q32" s="99" t="n"/>
      <c r="R32" s="99" t="n"/>
      <c r="S32" s="99" t="n"/>
      <c r="T32" s="99" t="n"/>
      <c r="U32" s="99" t="n"/>
      <c r="V32" s="99" t="n"/>
      <c r="W32" s="99" t="n"/>
      <c r="X32" s="99" t="n"/>
      <c r="Y32" s="99" t="n"/>
      <c r="Z32" s="99" t="n"/>
      <c r="AA32" s="99" t="n"/>
    </row>
    <row r="33" ht="15.75" customHeight="1" s="205">
      <c r="A33" s="99" t="n"/>
      <c r="B33" s="241" t="n"/>
      <c r="C33" s="257" t="inlineStr">
        <is>
          <t>Portfolio &amp; Personal Branding</t>
        </is>
      </c>
      <c r="D33" s="237" t="n"/>
      <c r="E33" s="257" t="inlineStr">
        <is>
          <t>Topik: Cara mengubah pengalaman jadi nilai tambah di CV, LinkedIn, dan portofolio.
Sub-topik: achievement writing, project showcase, personal branding, dokumentasi karya.
Kenapa penting: Bikin peluang yang didapat punya dampak jangka panjang.
Manfaat audiens: Lebih siap untuk magang, organisasi, dan dunia kerja.
Interaksi: Template, checklist, dan contoh before-after profil.
Format: Carousel template, post edukasi, mini guide.</t>
        </is>
      </c>
      <c r="F33" s="237" t="n"/>
      <c r="G33" s="91" t="n"/>
      <c r="H33" s="99" t="n"/>
      <c r="I33" s="99" t="n"/>
      <c r="J33" s="99" t="n"/>
      <c r="K33" s="99" t="n"/>
      <c r="L33" s="99" t="n"/>
      <c r="M33" s="99" t="n"/>
      <c r="N33" s="99" t="n"/>
      <c r="O33" s="99" t="n"/>
      <c r="P33" s="99" t="n"/>
      <c r="Q33" s="99" t="n"/>
      <c r="R33" s="99" t="n"/>
      <c r="S33" s="99" t="n"/>
      <c r="T33" s="99" t="n"/>
      <c r="U33" s="99" t="n"/>
      <c r="V33" s="99" t="n"/>
      <c r="W33" s="99" t="n"/>
      <c r="X33" s="99" t="n"/>
      <c r="Y33" s="99" t="n"/>
      <c r="Z33" s="99" t="n"/>
      <c r="AA33" s="99" t="n"/>
    </row>
    <row r="34" ht="15.75" customHeight="1" s="205">
      <c r="A34" s="99" t="n"/>
      <c r="B34" s="99" t="n"/>
      <c r="C34" s="99" t="inlineStr">
        <is>
          <t>Productivity &amp; Mindset</t>
        </is>
      </c>
      <c r="D34" s="99" t="inlineStr"/>
      <c r="E34" s="99" t="inlineStr">
        <is>
          <t>Topik: Mindset, kebiasaan, dan sistem kerja yang bantu audiens tetap konsisten.
Sub-topik: manajemen waktu, fokus, anti-burnout, disiplin, self-confidence.
Kenapa penting: Sisi mental sering jadi pembeda antara yang maju dan yang berhenti.
Manfaat audiens: Bantu audiens tetap jalan walau prosesnya panjang.
Interaksi: Cerita relate, polling, dan komentar pengalaman pribadi.
Format: Carousel reflektif, reels motivasi, thread mindset.</t>
        </is>
      </c>
      <c r="F34" s="99" t="n"/>
      <c r="G34" s="99" t="n"/>
      <c r="H34" s="99" t="n"/>
      <c r="I34" s="99" t="n"/>
      <c r="J34" s="99" t="n"/>
      <c r="K34" s="99" t="n"/>
      <c r="L34" s="99" t="n"/>
      <c r="M34" s="99" t="n"/>
      <c r="N34" s="99" t="n"/>
      <c r="O34" s="99" t="n"/>
      <c r="P34" s="99" t="n"/>
      <c r="Q34" s="99" t="n"/>
      <c r="R34" s="99" t="n"/>
      <c r="S34" s="99" t="n"/>
      <c r="T34" s="99" t="n"/>
      <c r="U34" s="99" t="n"/>
      <c r="V34" s="99" t="n"/>
      <c r="W34" s="99" t="n"/>
      <c r="X34" s="99" t="n"/>
      <c r="Y34" s="99" t="n"/>
      <c r="Z34" s="99" t="n"/>
      <c r="AA34" s="99" t="n"/>
    </row>
    <row r="35" ht="15.75" customHeight="1" s="205">
      <c r="A35" s="99" t="n"/>
      <c r="B35" s="99" t="n"/>
      <c r="C35" s="99" t="n"/>
      <c r="D35" s="99" t="n"/>
      <c r="E35" s="99" t="n"/>
      <c r="F35" s="99" t="n"/>
      <c r="G35" s="99" t="n"/>
      <c r="H35" s="99" t="n"/>
      <c r="I35" s="99" t="n"/>
      <c r="J35" s="99" t="n"/>
      <c r="K35" s="99" t="n"/>
      <c r="L35" s="99" t="n"/>
      <c r="M35" s="99" t="n"/>
      <c r="N35" s="99" t="n"/>
      <c r="O35" s="99" t="n"/>
      <c r="P35" s="99" t="n"/>
      <c r="Q35" s="99" t="n"/>
      <c r="R35" s="99" t="n"/>
      <c r="S35" s="99" t="n"/>
      <c r="T35" s="99" t="n"/>
      <c r="U35" s="99" t="n"/>
      <c r="V35" s="99" t="n"/>
      <c r="W35" s="99" t="n"/>
      <c r="X35" s="99" t="n"/>
      <c r="Y35" s="99" t="n"/>
      <c r="Z35" s="99" t="n"/>
      <c r="AA35" s="99" t="n"/>
    </row>
    <row r="36" ht="15.75" customHeight="1" s="205">
      <c r="A36" s="99" t="n"/>
      <c r="B36" s="99" t="n"/>
      <c r="C36" s="99" t="n"/>
      <c r="D36" s="99" t="n"/>
      <c r="E36" s="99" t="n"/>
      <c r="F36" s="99" t="n"/>
      <c r="G36" s="99" t="n"/>
      <c r="H36" s="99" t="n"/>
      <c r="I36" s="99" t="n"/>
      <c r="J36" s="99" t="n"/>
      <c r="K36" s="99" t="n"/>
      <c r="L36" s="99" t="n"/>
      <c r="M36" s="99" t="n"/>
      <c r="N36" s="99" t="n"/>
      <c r="O36" s="99" t="n"/>
      <c r="P36" s="99" t="n"/>
      <c r="Q36" s="99" t="n"/>
      <c r="R36" s="99" t="n"/>
      <c r="S36" s="99" t="n"/>
      <c r="T36" s="99" t="n"/>
      <c r="U36" s="99" t="n"/>
      <c r="V36" s="99" t="n"/>
      <c r="W36" s="99" t="n"/>
      <c r="X36" s="99" t="n"/>
      <c r="Y36" s="99" t="n"/>
      <c r="Z36" s="99" t="n"/>
      <c r="AA36" s="99" t="n"/>
    </row>
    <row r="37" ht="15.75" customHeight="1" s="205">
      <c r="A37" s="99" t="n"/>
      <c r="B37" s="99" t="n"/>
      <c r="C37" s="99" t="n"/>
      <c r="D37" s="99" t="n"/>
      <c r="E37" s="99" t="n"/>
      <c r="F37" s="99" t="n"/>
      <c r="G37" s="99" t="n"/>
      <c r="H37" s="99" t="n"/>
      <c r="I37" s="99" t="n"/>
      <c r="J37" s="99" t="n"/>
      <c r="K37" s="99" t="n"/>
      <c r="L37" s="99" t="n"/>
      <c r="M37" s="99" t="n"/>
      <c r="N37" s="99" t="n"/>
      <c r="O37" s="99" t="n"/>
      <c r="P37" s="99" t="n"/>
      <c r="Q37" s="99" t="n"/>
      <c r="R37" s="99" t="n"/>
      <c r="S37" s="99" t="n"/>
      <c r="T37" s="99" t="n"/>
      <c r="U37" s="99" t="n"/>
      <c r="V37" s="99" t="n"/>
      <c r="W37" s="99" t="n"/>
      <c r="X37" s="99" t="n"/>
      <c r="Y37" s="99" t="n"/>
      <c r="Z37" s="99" t="n"/>
      <c r="AA37" s="99" t="n"/>
    </row>
    <row r="38" ht="15.75" customHeight="1" s="205">
      <c r="A38" s="99" t="n"/>
      <c r="B38" s="99" t="n"/>
      <c r="C38" s="99" t="n"/>
      <c r="D38" s="99" t="n"/>
      <c r="E38" s="99" t="n"/>
      <c r="F38" s="99" t="n"/>
      <c r="G38" s="99" t="n"/>
      <c r="H38" s="99" t="n"/>
      <c r="I38" s="99" t="n"/>
      <c r="J38" s="99" t="n"/>
      <c r="K38" s="99" t="n"/>
      <c r="L38" s="99" t="n"/>
      <c r="M38" s="99" t="n"/>
      <c r="N38" s="99" t="n"/>
      <c r="O38" s="99" t="n"/>
      <c r="P38" s="99" t="n"/>
      <c r="Q38" s="99" t="n"/>
      <c r="R38" s="99" t="n"/>
      <c r="S38" s="99" t="n"/>
      <c r="T38" s="99" t="n"/>
      <c r="U38" s="99" t="n"/>
      <c r="V38" s="99" t="n"/>
      <c r="W38" s="99" t="n"/>
      <c r="X38" s="99" t="n"/>
      <c r="Y38" s="99" t="n"/>
      <c r="Z38" s="99" t="n"/>
      <c r="AA38" s="99" t="n"/>
    </row>
    <row r="39" ht="15.75" customHeight="1" s="205">
      <c r="A39" s="99" t="n"/>
      <c r="B39" s="99" t="n"/>
      <c r="C39" s="99" t="n"/>
      <c r="D39" s="99" t="n"/>
      <c r="E39" s="99" t="n"/>
      <c r="F39" s="99" t="n"/>
      <c r="G39" s="99" t="n"/>
      <c r="H39" s="99" t="n"/>
      <c r="I39" s="99" t="n"/>
      <c r="J39" s="99" t="n"/>
      <c r="K39" s="99" t="n"/>
      <c r="L39" s="99" t="n"/>
      <c r="M39" s="99" t="n"/>
      <c r="N39" s="99" t="n"/>
      <c r="O39" s="99" t="n"/>
      <c r="P39" s="99" t="n"/>
      <c r="Q39" s="99" t="n"/>
      <c r="R39" s="99" t="n"/>
      <c r="S39" s="99" t="n"/>
      <c r="T39" s="99" t="n"/>
      <c r="U39" s="99" t="n"/>
      <c r="V39" s="99" t="n"/>
      <c r="W39" s="99" t="n"/>
      <c r="X39" s="99" t="n"/>
      <c r="Y39" s="99" t="n"/>
      <c r="Z39" s="99" t="n"/>
      <c r="AA39" s="99" t="n"/>
    </row>
    <row r="40" ht="15.75" customHeight="1" s="205">
      <c r="A40" s="99" t="n"/>
      <c r="B40" s="99" t="n"/>
      <c r="C40" s="99" t="n"/>
      <c r="D40" s="99" t="n"/>
      <c r="E40" s="99" t="n"/>
      <c r="F40" s="99" t="n"/>
      <c r="G40" s="99" t="n"/>
      <c r="H40" s="99" t="n"/>
      <c r="I40" s="99" t="n"/>
      <c r="J40" s="99" t="n"/>
      <c r="K40" s="99" t="n"/>
      <c r="L40" s="99" t="n"/>
      <c r="M40" s="99" t="n"/>
      <c r="N40" s="99" t="n"/>
      <c r="O40" s="99" t="n"/>
      <c r="P40" s="99" t="n"/>
      <c r="Q40" s="99" t="n"/>
      <c r="R40" s="99" t="n"/>
      <c r="S40" s="99" t="n"/>
      <c r="T40" s="99" t="n"/>
      <c r="U40" s="99" t="n"/>
      <c r="V40" s="99" t="n"/>
      <c r="W40" s="99" t="n"/>
      <c r="X40" s="99" t="n"/>
      <c r="Y40" s="99" t="n"/>
      <c r="Z40" s="99" t="n"/>
      <c r="AA40" s="99" t="n"/>
    </row>
    <row r="41" ht="15.75" customHeight="1" s="205">
      <c r="A41" s="99" t="n"/>
      <c r="B41" s="99" t="n"/>
      <c r="C41" s="99" t="n"/>
      <c r="D41" s="99" t="n"/>
      <c r="E41" s="99" t="n"/>
      <c r="F41" s="99" t="n"/>
      <c r="G41" s="99" t="n"/>
      <c r="H41" s="99" t="n"/>
      <c r="I41" s="99" t="n"/>
      <c r="J41" s="99" t="n"/>
      <c r="K41" s="99" t="n"/>
      <c r="L41" s="99" t="n"/>
      <c r="M41" s="99" t="n"/>
      <c r="N41" s="99" t="n"/>
      <c r="O41" s="99" t="n"/>
      <c r="P41" s="99" t="n"/>
      <c r="Q41" s="99" t="n"/>
      <c r="R41" s="99" t="n"/>
      <c r="S41" s="99" t="n"/>
      <c r="T41" s="99" t="n"/>
      <c r="U41" s="99" t="n"/>
      <c r="V41" s="99" t="n"/>
      <c r="W41" s="99" t="n"/>
      <c r="X41" s="99" t="n"/>
      <c r="Y41" s="99" t="n"/>
      <c r="Z41" s="99" t="n"/>
      <c r="AA41" s="99" t="n"/>
    </row>
    <row r="42" ht="15.75" customHeight="1" s="205">
      <c r="A42" s="99" t="n"/>
      <c r="B42" s="99" t="n"/>
      <c r="C42" s="99" t="n"/>
      <c r="D42" s="99" t="n"/>
      <c r="E42" s="99" t="n"/>
      <c r="F42" s="99" t="n"/>
      <c r="G42" s="99" t="n"/>
      <c r="H42" s="99" t="n"/>
      <c r="I42" s="99" t="n"/>
      <c r="J42" s="99" t="n"/>
      <c r="K42" s="99" t="n"/>
      <c r="L42" s="99" t="n"/>
      <c r="M42" s="99" t="n"/>
      <c r="N42" s="99" t="n"/>
      <c r="O42" s="99" t="n"/>
      <c r="P42" s="99" t="n"/>
      <c r="Q42" s="99" t="n"/>
      <c r="R42" s="99" t="n"/>
      <c r="S42" s="99" t="n"/>
      <c r="T42" s="99" t="n"/>
      <c r="U42" s="99" t="n"/>
      <c r="V42" s="99" t="n"/>
      <c r="W42" s="99" t="n"/>
      <c r="X42" s="99" t="n"/>
      <c r="Y42" s="99" t="n"/>
      <c r="Z42" s="99" t="n"/>
      <c r="AA42" s="99" t="n"/>
    </row>
    <row r="43" ht="15.75" customHeight="1" s="205">
      <c r="A43" s="99" t="n"/>
      <c r="B43" s="99" t="n"/>
      <c r="C43" s="99" t="n"/>
      <c r="D43" s="99" t="n"/>
      <c r="E43" s="99" t="n"/>
      <c r="F43" s="99" t="n"/>
      <c r="G43" s="99" t="n"/>
      <c r="H43" s="99" t="n"/>
      <c r="I43" s="99" t="n"/>
      <c r="J43" s="99" t="n"/>
      <c r="K43" s="99" t="n"/>
      <c r="L43" s="99" t="n"/>
      <c r="M43" s="99" t="n"/>
      <c r="N43" s="99" t="n"/>
      <c r="O43" s="99" t="n"/>
      <c r="P43" s="99" t="n"/>
      <c r="Q43" s="99" t="n"/>
      <c r="R43" s="99" t="n"/>
      <c r="S43" s="99" t="n"/>
      <c r="T43" s="99" t="n"/>
      <c r="U43" s="99" t="n"/>
      <c r="V43" s="99" t="n"/>
      <c r="W43" s="99" t="n"/>
      <c r="X43" s="99" t="n"/>
      <c r="Y43" s="99" t="n"/>
      <c r="Z43" s="99" t="n"/>
      <c r="AA43" s="99" t="n"/>
    </row>
    <row r="44" ht="15.75" customHeight="1" s="205">
      <c r="A44" s="99" t="n"/>
      <c r="B44" s="99" t="n"/>
      <c r="C44" s="99" t="n"/>
      <c r="D44" s="99" t="n"/>
      <c r="E44" s="99" t="n"/>
      <c r="F44" s="99" t="n"/>
      <c r="G44" s="99" t="n"/>
      <c r="H44" s="99" t="n"/>
      <c r="I44" s="99" t="n"/>
      <c r="J44" s="99" t="n"/>
      <c r="K44" s="99" t="n"/>
      <c r="L44" s="99" t="n"/>
      <c r="M44" s="99" t="n"/>
      <c r="N44" s="99" t="n"/>
      <c r="O44" s="99" t="n"/>
      <c r="P44" s="99" t="n"/>
      <c r="Q44" s="99" t="n"/>
      <c r="R44" s="99" t="n"/>
      <c r="S44" s="99" t="n"/>
      <c r="T44" s="99" t="n"/>
      <c r="U44" s="99" t="n"/>
      <c r="V44" s="99" t="n"/>
      <c r="W44" s="99" t="n"/>
      <c r="X44" s="99" t="n"/>
      <c r="Y44" s="99" t="n"/>
      <c r="Z44" s="99" t="n"/>
      <c r="AA44" s="99" t="n"/>
    </row>
    <row r="45" ht="15.75" customHeight="1" s="205">
      <c r="A45" s="99" t="n"/>
      <c r="B45" s="99" t="n"/>
      <c r="C45" s="99" t="n"/>
      <c r="D45" s="99" t="n"/>
      <c r="E45" s="99" t="n"/>
      <c r="F45" s="99" t="n"/>
      <c r="G45" s="99" t="n"/>
      <c r="H45" s="99" t="n"/>
      <c r="I45" s="99" t="n"/>
      <c r="J45" s="99" t="n"/>
      <c r="K45" s="99" t="n"/>
      <c r="L45" s="99" t="n"/>
      <c r="M45" s="99" t="n"/>
      <c r="N45" s="99" t="n"/>
      <c r="O45" s="99" t="n"/>
      <c r="P45" s="99" t="n"/>
      <c r="Q45" s="99" t="n"/>
      <c r="R45" s="99" t="n"/>
      <c r="S45" s="99" t="n"/>
      <c r="T45" s="99" t="n"/>
      <c r="U45" s="99" t="n"/>
      <c r="V45" s="99" t="n"/>
      <c r="W45" s="99" t="n"/>
      <c r="X45" s="99" t="n"/>
      <c r="Y45" s="99" t="n"/>
      <c r="Z45" s="99" t="n"/>
      <c r="AA45" s="99" t="n"/>
    </row>
    <row r="46" ht="15.75" customHeight="1" s="205">
      <c r="A46" s="99" t="n"/>
      <c r="B46" s="99" t="n"/>
      <c r="C46" s="99" t="n"/>
      <c r="D46" s="99" t="n"/>
      <c r="E46" s="99" t="n"/>
      <c r="F46" s="99" t="n"/>
      <c r="G46" s="99" t="n"/>
      <c r="H46" s="99" t="n"/>
      <c r="I46" s="99" t="n"/>
      <c r="J46" s="99" t="n"/>
      <c r="K46" s="99" t="n"/>
      <c r="L46" s="99" t="n"/>
      <c r="M46" s="99" t="n"/>
      <c r="N46" s="99" t="n"/>
      <c r="O46" s="99" t="n"/>
      <c r="P46" s="99" t="n"/>
      <c r="Q46" s="99" t="n"/>
      <c r="R46" s="99" t="n"/>
      <c r="S46" s="99" t="n"/>
      <c r="T46" s="99" t="n"/>
      <c r="U46" s="99" t="n"/>
      <c r="V46" s="99" t="n"/>
      <c r="W46" s="99" t="n"/>
      <c r="X46" s="99" t="n"/>
      <c r="Y46" s="99" t="n"/>
      <c r="Z46" s="99" t="n"/>
      <c r="AA46" s="99" t="n"/>
    </row>
    <row r="47" ht="15.75" customHeight="1" s="205">
      <c r="A47" s="99" t="n"/>
      <c r="B47" s="99" t="n"/>
      <c r="C47" s="99" t="n"/>
      <c r="D47" s="99" t="n"/>
      <c r="E47" s="99" t="n"/>
      <c r="F47" s="99" t="n"/>
      <c r="G47" s="99" t="n"/>
      <c r="H47" s="99" t="n"/>
      <c r="I47" s="99" t="n"/>
      <c r="J47" s="99" t="n"/>
      <c r="K47" s="99" t="n"/>
      <c r="L47" s="99" t="n"/>
      <c r="M47" s="99" t="n"/>
      <c r="N47" s="99" t="n"/>
      <c r="O47" s="99" t="n"/>
      <c r="P47" s="99" t="n"/>
      <c r="Q47" s="99" t="n"/>
      <c r="R47" s="99" t="n"/>
      <c r="S47" s="99" t="n"/>
      <c r="T47" s="99" t="n"/>
      <c r="U47" s="99" t="n"/>
      <c r="V47" s="99" t="n"/>
      <c r="W47" s="99" t="n"/>
      <c r="X47" s="99" t="n"/>
      <c r="Y47" s="99" t="n"/>
      <c r="Z47" s="99" t="n"/>
      <c r="AA47" s="99" t="n"/>
    </row>
    <row r="48" ht="15.75" customHeight="1" s="205">
      <c r="A48" s="99" t="n"/>
      <c r="B48" s="99" t="n"/>
      <c r="C48" s="99" t="n"/>
      <c r="D48" s="99" t="n"/>
      <c r="E48" s="99" t="n"/>
      <c r="F48" s="99" t="n"/>
      <c r="G48" s="99" t="n"/>
      <c r="H48" s="99" t="n"/>
      <c r="I48" s="99" t="n"/>
      <c r="J48" s="99" t="n"/>
      <c r="K48" s="99" t="n"/>
      <c r="L48" s="99" t="n"/>
      <c r="M48" s="99" t="n"/>
      <c r="N48" s="99" t="n"/>
      <c r="O48" s="99" t="n"/>
      <c r="P48" s="99" t="n"/>
      <c r="Q48" s="99" t="n"/>
      <c r="R48" s="99" t="n"/>
      <c r="S48" s="99" t="n"/>
      <c r="T48" s="99" t="n"/>
      <c r="U48" s="99" t="n"/>
      <c r="V48" s="99" t="n"/>
      <c r="W48" s="99" t="n"/>
      <c r="X48" s="99" t="n"/>
      <c r="Y48" s="99" t="n"/>
      <c r="Z48" s="99" t="n"/>
      <c r="AA48" s="99" t="n"/>
    </row>
    <row r="49" ht="15.75" customHeight="1" s="205">
      <c r="A49" s="99" t="n"/>
      <c r="B49" s="99" t="n"/>
      <c r="C49" s="99" t="n"/>
      <c r="D49" s="99" t="n"/>
      <c r="E49" s="99" t="n"/>
      <c r="F49" s="99" t="n"/>
      <c r="G49" s="99" t="n"/>
      <c r="H49" s="99" t="n"/>
      <c r="I49" s="99" t="n"/>
      <c r="J49" s="99" t="n"/>
      <c r="K49" s="99" t="n"/>
      <c r="L49" s="99" t="n"/>
      <c r="M49" s="99" t="n"/>
      <c r="N49" s="99" t="n"/>
      <c r="O49" s="99" t="n"/>
      <c r="P49" s="99" t="n"/>
      <c r="Q49" s="99" t="n"/>
      <c r="R49" s="99" t="n"/>
      <c r="S49" s="99" t="n"/>
      <c r="T49" s="99" t="n"/>
      <c r="U49" s="99" t="n"/>
      <c r="V49" s="99" t="n"/>
      <c r="W49" s="99" t="n"/>
      <c r="X49" s="99" t="n"/>
      <c r="Y49" s="99" t="n"/>
      <c r="Z49" s="99" t="n"/>
      <c r="AA49" s="99" t="n"/>
    </row>
    <row r="50" ht="15.75" customHeight="1" s="205">
      <c r="A50" s="99" t="n"/>
      <c r="B50" s="99" t="n"/>
      <c r="C50" s="99" t="n"/>
      <c r="D50" s="99" t="n"/>
      <c r="E50" s="99" t="n"/>
      <c r="F50" s="99" t="n"/>
      <c r="G50" s="99" t="n"/>
      <c r="H50" s="99" t="n"/>
      <c r="I50" s="99" t="n"/>
      <c r="J50" s="99" t="n"/>
      <c r="K50" s="99" t="n"/>
      <c r="L50" s="99" t="n"/>
      <c r="M50" s="99" t="n"/>
      <c r="N50" s="99" t="n"/>
      <c r="O50" s="99" t="n"/>
      <c r="P50" s="99" t="n"/>
      <c r="Q50" s="99" t="n"/>
      <c r="R50" s="99" t="n"/>
      <c r="S50" s="99" t="n"/>
      <c r="T50" s="99" t="n"/>
      <c r="U50" s="99" t="n"/>
      <c r="V50" s="99" t="n"/>
      <c r="W50" s="99" t="n"/>
      <c r="X50" s="99" t="n"/>
      <c r="Y50" s="99" t="n"/>
      <c r="Z50" s="99" t="n"/>
      <c r="AA50" s="99" t="n"/>
    </row>
    <row r="51" ht="15.75" customHeight="1" s="205">
      <c r="A51" s="99" t="n"/>
      <c r="B51" s="99" t="n"/>
      <c r="C51" s="99" t="n"/>
      <c r="D51" s="99" t="n"/>
      <c r="E51" s="99" t="n"/>
      <c r="F51" s="99" t="n"/>
      <c r="G51" s="99" t="n"/>
      <c r="H51" s="99" t="n"/>
      <c r="I51" s="99" t="n"/>
      <c r="J51" s="99" t="n"/>
      <c r="K51" s="99" t="n"/>
      <c r="L51" s="99" t="n"/>
      <c r="M51" s="99" t="n"/>
      <c r="N51" s="99" t="n"/>
      <c r="O51" s="99" t="n"/>
      <c r="P51" s="99" t="n"/>
      <c r="Q51" s="99" t="n"/>
      <c r="R51" s="99" t="n"/>
      <c r="S51" s="99" t="n"/>
      <c r="T51" s="99" t="n"/>
      <c r="U51" s="99" t="n"/>
      <c r="V51" s="99" t="n"/>
      <c r="W51" s="99" t="n"/>
      <c r="X51" s="99" t="n"/>
      <c r="Y51" s="99" t="n"/>
      <c r="Z51" s="99" t="n"/>
      <c r="AA51" s="99" t="n"/>
    </row>
    <row r="52" ht="15.75" customHeight="1" s="205">
      <c r="A52" s="99" t="n"/>
      <c r="B52" s="99" t="n"/>
      <c r="C52" s="99" t="n"/>
      <c r="D52" s="99" t="n"/>
      <c r="E52" s="99" t="n"/>
      <c r="F52" s="99" t="n"/>
      <c r="G52" s="99" t="n"/>
      <c r="H52" s="99" t="n"/>
      <c r="I52" s="99" t="n"/>
      <c r="J52" s="99" t="n"/>
      <c r="K52" s="99" t="n"/>
      <c r="L52" s="99" t="n"/>
      <c r="M52" s="99" t="n"/>
      <c r="N52" s="99" t="n"/>
      <c r="O52" s="99" t="n"/>
      <c r="P52" s="99" t="n"/>
      <c r="Q52" s="99" t="n"/>
      <c r="R52" s="99" t="n"/>
      <c r="S52" s="99" t="n"/>
      <c r="T52" s="99" t="n"/>
      <c r="U52" s="99" t="n"/>
      <c r="V52" s="99" t="n"/>
      <c r="W52" s="99" t="n"/>
      <c r="X52" s="99" t="n"/>
      <c r="Y52" s="99" t="n"/>
      <c r="Z52" s="99" t="n"/>
      <c r="AA52" s="99" t="n"/>
    </row>
    <row r="53" ht="15.75" customHeight="1" s="205">
      <c r="A53" s="99" t="n"/>
      <c r="B53" s="99" t="n"/>
      <c r="C53" s="99" t="n"/>
      <c r="D53" s="99" t="n"/>
      <c r="E53" s="99" t="n"/>
      <c r="F53" s="99" t="n"/>
      <c r="G53" s="99" t="n"/>
      <c r="H53" s="99" t="n"/>
      <c r="I53" s="99" t="n"/>
      <c r="J53" s="99" t="n"/>
      <c r="K53" s="99" t="n"/>
      <c r="L53" s="99" t="n"/>
      <c r="M53" s="99" t="n"/>
      <c r="N53" s="99" t="n"/>
      <c r="O53" s="99" t="n"/>
      <c r="P53" s="99" t="n"/>
      <c r="Q53" s="99" t="n"/>
      <c r="R53" s="99" t="n"/>
      <c r="S53" s="99" t="n"/>
      <c r="T53" s="99" t="n"/>
      <c r="U53" s="99" t="n"/>
      <c r="V53" s="99" t="n"/>
      <c r="W53" s="99" t="n"/>
      <c r="X53" s="99" t="n"/>
      <c r="Y53" s="99" t="n"/>
      <c r="Z53" s="99" t="n"/>
      <c r="AA53" s="99" t="n"/>
    </row>
    <row r="54" ht="15.75" customHeight="1" s="205">
      <c r="A54" s="99" t="n"/>
      <c r="B54" s="99" t="n"/>
      <c r="C54" s="99" t="n"/>
      <c r="D54" s="99" t="n"/>
      <c r="E54" s="99" t="n"/>
      <c r="F54" s="99" t="n"/>
      <c r="G54" s="99" t="n"/>
      <c r="H54" s="99" t="n"/>
      <c r="I54" s="99" t="n"/>
      <c r="J54" s="99" t="n"/>
      <c r="K54" s="99" t="n"/>
      <c r="L54" s="99" t="n"/>
      <c r="M54" s="99" t="n"/>
      <c r="N54" s="99" t="n"/>
      <c r="O54" s="99" t="n"/>
      <c r="P54" s="99" t="n"/>
      <c r="Q54" s="99" t="n"/>
      <c r="R54" s="99" t="n"/>
      <c r="S54" s="99" t="n"/>
      <c r="T54" s="99" t="n"/>
      <c r="U54" s="99" t="n"/>
      <c r="V54" s="99" t="n"/>
      <c r="W54" s="99" t="n"/>
      <c r="X54" s="99" t="n"/>
      <c r="Y54" s="99" t="n"/>
      <c r="Z54" s="99" t="n"/>
      <c r="AA54" s="99" t="n"/>
    </row>
    <row r="55" ht="15.75" customHeight="1" s="205">
      <c r="A55" s="99" t="n"/>
      <c r="B55" s="99" t="n"/>
      <c r="C55" s="99" t="n"/>
      <c r="D55" s="99" t="n"/>
      <c r="E55" s="99" t="n"/>
      <c r="F55" s="99" t="n"/>
      <c r="G55" s="99" t="n"/>
      <c r="H55" s="99" t="n"/>
      <c r="I55" s="99" t="n"/>
      <c r="J55" s="99" t="n"/>
      <c r="K55" s="99" t="n"/>
      <c r="L55" s="99" t="n"/>
      <c r="M55" s="99" t="n"/>
      <c r="N55" s="99" t="n"/>
      <c r="O55" s="99" t="n"/>
      <c r="P55" s="99" t="n"/>
      <c r="Q55" s="99" t="n"/>
      <c r="R55" s="99" t="n"/>
      <c r="S55" s="99" t="n"/>
      <c r="T55" s="99" t="n"/>
      <c r="U55" s="99" t="n"/>
      <c r="V55" s="99" t="n"/>
      <c r="W55" s="99" t="n"/>
      <c r="X55" s="99" t="n"/>
      <c r="Y55" s="99" t="n"/>
      <c r="Z55" s="99" t="n"/>
      <c r="AA55" s="99" t="n"/>
    </row>
    <row r="56" ht="15.75" customHeight="1" s="205">
      <c r="A56" s="99" t="n"/>
      <c r="B56" s="99" t="n"/>
      <c r="C56" s="99" t="n"/>
      <c r="D56" s="99" t="n"/>
      <c r="E56" s="99" t="n"/>
      <c r="F56" s="99" t="n"/>
      <c r="G56" s="99" t="n"/>
      <c r="H56" s="99" t="n"/>
      <c r="I56" s="99" t="n"/>
      <c r="J56" s="99" t="n"/>
      <c r="K56" s="99" t="n"/>
      <c r="L56" s="99" t="n"/>
      <c r="M56" s="99" t="n"/>
      <c r="N56" s="99" t="n"/>
      <c r="O56" s="99" t="n"/>
      <c r="P56" s="99" t="n"/>
      <c r="Q56" s="99" t="n"/>
      <c r="R56" s="99" t="n"/>
      <c r="S56" s="99" t="n"/>
      <c r="T56" s="99" t="n"/>
      <c r="U56" s="99" t="n"/>
      <c r="V56" s="99" t="n"/>
      <c r="W56" s="99" t="n"/>
      <c r="X56" s="99" t="n"/>
      <c r="Y56" s="99" t="n"/>
      <c r="Z56" s="99" t="n"/>
      <c r="AA56" s="99" t="n"/>
    </row>
    <row r="57" ht="15.75" customHeight="1" s="205">
      <c r="A57" s="99" t="n"/>
      <c r="B57" s="99" t="n"/>
      <c r="C57" s="99" t="n"/>
      <c r="D57" s="99" t="n"/>
      <c r="E57" s="99" t="n"/>
      <c r="F57" s="99" t="n"/>
      <c r="G57" s="99" t="n"/>
      <c r="H57" s="99" t="n"/>
      <c r="I57" s="99" t="n"/>
      <c r="J57" s="99" t="n"/>
      <c r="K57" s="99" t="n"/>
      <c r="L57" s="99" t="n"/>
      <c r="M57" s="99" t="n"/>
      <c r="N57" s="99" t="n"/>
      <c r="O57" s="99" t="n"/>
      <c r="P57" s="99" t="n"/>
      <c r="Q57" s="99" t="n"/>
      <c r="R57" s="99" t="n"/>
      <c r="S57" s="99" t="n"/>
      <c r="T57" s="99" t="n"/>
      <c r="U57" s="99" t="n"/>
      <c r="V57" s="99" t="n"/>
      <c r="W57" s="99" t="n"/>
      <c r="X57" s="99" t="n"/>
      <c r="Y57" s="99" t="n"/>
      <c r="Z57" s="99" t="n"/>
      <c r="AA57" s="99" t="n"/>
    </row>
    <row r="58" ht="15.75" customHeight="1" s="205">
      <c r="A58" s="99" t="n"/>
      <c r="B58" s="99" t="n"/>
      <c r="C58" s="99" t="n"/>
      <c r="D58" s="99" t="n"/>
      <c r="E58" s="99" t="n"/>
      <c r="F58" s="99" t="n"/>
      <c r="G58" s="99" t="n"/>
      <c r="H58" s="99" t="n"/>
      <c r="I58" s="99" t="n"/>
      <c r="J58" s="99" t="n"/>
      <c r="K58" s="99" t="n"/>
      <c r="L58" s="99" t="n"/>
      <c r="M58" s="99" t="n"/>
      <c r="N58" s="99" t="n"/>
      <c r="O58" s="99" t="n"/>
      <c r="P58" s="99" t="n"/>
      <c r="Q58" s="99" t="n"/>
      <c r="R58" s="99" t="n"/>
      <c r="S58" s="99" t="n"/>
      <c r="T58" s="99" t="n"/>
      <c r="U58" s="99" t="n"/>
      <c r="V58" s="99" t="n"/>
      <c r="W58" s="99" t="n"/>
      <c r="X58" s="99" t="n"/>
      <c r="Y58" s="99" t="n"/>
      <c r="Z58" s="99" t="n"/>
      <c r="AA58" s="99" t="n"/>
    </row>
    <row r="59" ht="15.75" customHeight="1" s="205">
      <c r="A59" s="99" t="n"/>
      <c r="B59" s="99" t="n"/>
      <c r="C59" s="99" t="n"/>
      <c r="D59" s="99" t="n"/>
      <c r="E59" s="99" t="n"/>
      <c r="F59" s="99" t="n"/>
      <c r="G59" s="99" t="n"/>
      <c r="H59" s="99" t="n"/>
      <c r="I59" s="99" t="n"/>
      <c r="J59" s="99" t="n"/>
      <c r="K59" s="99" t="n"/>
      <c r="L59" s="99" t="n"/>
      <c r="M59" s="99" t="n"/>
      <c r="N59" s="99" t="n"/>
      <c r="O59" s="99" t="n"/>
      <c r="P59" s="99" t="n"/>
      <c r="Q59" s="99" t="n"/>
      <c r="R59" s="99" t="n"/>
      <c r="S59" s="99" t="n"/>
      <c r="T59" s="99" t="n"/>
      <c r="U59" s="99" t="n"/>
      <c r="V59" s="99" t="n"/>
      <c r="W59" s="99" t="n"/>
      <c r="X59" s="99" t="n"/>
      <c r="Y59" s="99" t="n"/>
      <c r="Z59" s="99" t="n"/>
      <c r="AA59" s="99" t="n"/>
    </row>
    <row r="60" ht="15.75" customHeight="1" s="205">
      <c r="A60" s="99" t="n"/>
      <c r="B60" s="99" t="n"/>
      <c r="C60" s="99" t="n"/>
      <c r="D60" s="99" t="n"/>
      <c r="E60" s="99" t="n"/>
      <c r="F60" s="99" t="n"/>
      <c r="G60" s="99" t="n"/>
      <c r="H60" s="99" t="n"/>
      <c r="I60" s="99" t="n"/>
      <c r="J60" s="99" t="n"/>
      <c r="K60" s="99" t="n"/>
      <c r="L60" s="99" t="n"/>
      <c r="M60" s="99" t="n"/>
      <c r="N60" s="99" t="n"/>
      <c r="O60" s="99" t="n"/>
      <c r="P60" s="99" t="n"/>
      <c r="Q60" s="99" t="n"/>
      <c r="R60" s="99" t="n"/>
      <c r="S60" s="99" t="n"/>
      <c r="T60" s="99" t="n"/>
      <c r="U60" s="99" t="n"/>
      <c r="V60" s="99" t="n"/>
      <c r="W60" s="99" t="n"/>
      <c r="X60" s="99" t="n"/>
      <c r="Y60" s="99" t="n"/>
      <c r="Z60" s="99" t="n"/>
      <c r="AA60" s="99" t="n"/>
    </row>
    <row r="61" ht="15.75" customHeight="1" s="205">
      <c r="A61" s="99" t="n"/>
      <c r="B61" s="99" t="n"/>
      <c r="C61" s="99" t="n"/>
      <c r="D61" s="99" t="n"/>
      <c r="E61" s="99" t="n"/>
      <c r="F61" s="99" t="n"/>
      <c r="G61" s="99" t="n"/>
      <c r="H61" s="99" t="n"/>
      <c r="I61" s="99" t="n"/>
      <c r="J61" s="99" t="n"/>
      <c r="K61" s="99" t="n"/>
      <c r="L61" s="99" t="n"/>
      <c r="M61" s="99" t="n"/>
      <c r="N61" s="99" t="n"/>
      <c r="O61" s="99" t="n"/>
      <c r="P61" s="99" t="n"/>
      <c r="Q61" s="99" t="n"/>
      <c r="R61" s="99" t="n"/>
      <c r="S61" s="99" t="n"/>
      <c r="T61" s="99" t="n"/>
      <c r="U61" s="99" t="n"/>
      <c r="V61" s="99" t="n"/>
      <c r="W61" s="99" t="n"/>
      <c r="X61" s="99" t="n"/>
      <c r="Y61" s="99" t="n"/>
      <c r="Z61" s="99" t="n"/>
      <c r="AA61" s="99" t="n"/>
    </row>
    <row r="62" ht="15.75" customHeight="1" s="205">
      <c r="A62" s="99" t="n"/>
      <c r="B62" s="99" t="n"/>
      <c r="C62" s="99" t="n"/>
      <c r="D62" s="99" t="n"/>
      <c r="E62" s="99" t="n"/>
      <c r="F62" s="99" t="n"/>
      <c r="G62" s="99" t="n"/>
      <c r="H62" s="99" t="n"/>
      <c r="I62" s="99" t="n"/>
      <c r="J62" s="99" t="n"/>
      <c r="K62" s="99" t="n"/>
      <c r="L62" s="99" t="n"/>
      <c r="M62" s="99" t="n"/>
      <c r="N62" s="99" t="n"/>
      <c r="O62" s="99" t="n"/>
      <c r="P62" s="99" t="n"/>
      <c r="Q62" s="99" t="n"/>
      <c r="R62" s="99" t="n"/>
      <c r="S62" s="99" t="n"/>
      <c r="T62" s="99" t="n"/>
      <c r="U62" s="99" t="n"/>
      <c r="V62" s="99" t="n"/>
      <c r="W62" s="99" t="n"/>
      <c r="X62" s="99" t="n"/>
      <c r="Y62" s="99" t="n"/>
      <c r="Z62" s="99" t="n"/>
      <c r="AA62" s="99" t="n"/>
    </row>
    <row r="63" ht="15.75" customHeight="1" s="205">
      <c r="A63" s="99" t="n"/>
      <c r="B63" s="99" t="n"/>
      <c r="C63" s="99" t="n"/>
      <c r="D63" s="99" t="n"/>
      <c r="E63" s="99" t="n"/>
      <c r="F63" s="99" t="n"/>
      <c r="G63" s="99" t="n"/>
      <c r="H63" s="99" t="n"/>
      <c r="I63" s="99" t="n"/>
      <c r="J63" s="99" t="n"/>
      <c r="K63" s="99" t="n"/>
      <c r="L63" s="99" t="n"/>
      <c r="M63" s="99" t="n"/>
      <c r="N63" s="99" t="n"/>
      <c r="O63" s="99" t="n"/>
      <c r="P63" s="99" t="n"/>
      <c r="Q63" s="99" t="n"/>
      <c r="R63" s="99" t="n"/>
      <c r="S63" s="99" t="n"/>
      <c r="T63" s="99" t="n"/>
      <c r="U63" s="99" t="n"/>
      <c r="V63" s="99" t="n"/>
      <c r="W63" s="99" t="n"/>
      <c r="X63" s="99" t="n"/>
      <c r="Y63" s="99" t="n"/>
      <c r="Z63" s="99" t="n"/>
      <c r="AA63" s="99" t="n"/>
    </row>
    <row r="64" ht="15.75" customHeight="1" s="205">
      <c r="A64" s="99" t="n"/>
      <c r="B64" s="99" t="n"/>
      <c r="C64" s="99" t="n"/>
      <c r="D64" s="99" t="n"/>
      <c r="E64" s="99" t="n"/>
      <c r="F64" s="99" t="n"/>
      <c r="G64" s="99" t="n"/>
      <c r="H64" s="99" t="n"/>
      <c r="I64" s="99" t="n"/>
      <c r="J64" s="99" t="n"/>
      <c r="K64" s="99" t="n"/>
      <c r="L64" s="99" t="n"/>
      <c r="M64" s="99" t="n"/>
      <c r="N64" s="99" t="n"/>
      <c r="O64" s="99" t="n"/>
      <c r="P64" s="99" t="n"/>
      <c r="Q64" s="99" t="n"/>
      <c r="R64" s="99" t="n"/>
      <c r="S64" s="99" t="n"/>
      <c r="T64" s="99" t="n"/>
      <c r="U64" s="99" t="n"/>
      <c r="V64" s="99" t="n"/>
      <c r="W64" s="99" t="n"/>
      <c r="X64" s="99" t="n"/>
      <c r="Y64" s="99" t="n"/>
      <c r="Z64" s="99" t="n"/>
      <c r="AA64" s="99" t="n"/>
    </row>
    <row r="65" ht="15.75" customHeight="1" s="205">
      <c r="A65" s="99" t="n"/>
      <c r="B65" s="99" t="n"/>
      <c r="C65" s="99" t="n"/>
      <c r="D65" s="99" t="n"/>
      <c r="E65" s="99" t="n"/>
      <c r="F65" s="99" t="n"/>
      <c r="G65" s="99" t="n"/>
      <c r="H65" s="99" t="n"/>
      <c r="I65" s="99" t="n"/>
      <c r="J65" s="99" t="n"/>
      <c r="K65" s="99" t="n"/>
      <c r="L65" s="99" t="n"/>
      <c r="M65" s="99" t="n"/>
      <c r="N65" s="99" t="n"/>
      <c r="O65" s="99" t="n"/>
      <c r="P65" s="99" t="n"/>
      <c r="Q65" s="99" t="n"/>
      <c r="R65" s="99" t="n"/>
      <c r="S65" s="99" t="n"/>
      <c r="T65" s="99" t="n"/>
      <c r="U65" s="99" t="n"/>
      <c r="V65" s="99" t="n"/>
      <c r="W65" s="99" t="n"/>
      <c r="X65" s="99" t="n"/>
      <c r="Y65" s="99" t="n"/>
      <c r="Z65" s="99" t="n"/>
      <c r="AA65" s="99" t="n"/>
    </row>
    <row r="66" ht="15.75" customHeight="1" s="205">
      <c r="A66" s="99" t="n"/>
      <c r="B66" s="99" t="n"/>
      <c r="C66" s="99" t="n"/>
      <c r="D66" s="99" t="n"/>
      <c r="E66" s="99" t="n"/>
      <c r="F66" s="99" t="n"/>
      <c r="G66" s="99" t="n"/>
      <c r="H66" s="99" t="n"/>
      <c r="I66" s="99" t="n"/>
      <c r="J66" s="99" t="n"/>
      <c r="K66" s="99" t="n"/>
      <c r="L66" s="99" t="n"/>
      <c r="M66" s="99" t="n"/>
      <c r="N66" s="99" t="n"/>
      <c r="O66" s="99" t="n"/>
      <c r="P66" s="99" t="n"/>
      <c r="Q66" s="99" t="n"/>
      <c r="R66" s="99" t="n"/>
      <c r="S66" s="99" t="n"/>
      <c r="T66" s="99" t="n"/>
      <c r="U66" s="99" t="n"/>
      <c r="V66" s="99" t="n"/>
      <c r="W66" s="99" t="n"/>
      <c r="X66" s="99" t="n"/>
      <c r="Y66" s="99" t="n"/>
      <c r="Z66" s="99" t="n"/>
      <c r="AA66" s="99" t="n"/>
    </row>
    <row r="67" ht="15.75" customHeight="1" s="205">
      <c r="A67" s="99" t="n"/>
      <c r="B67" s="99" t="n"/>
      <c r="C67" s="99" t="n"/>
      <c r="D67" s="99" t="n"/>
      <c r="E67" s="99" t="n"/>
      <c r="F67" s="99" t="n"/>
      <c r="G67" s="99" t="n"/>
      <c r="H67" s="99" t="n"/>
      <c r="I67" s="99" t="n"/>
      <c r="J67" s="99" t="n"/>
      <c r="K67" s="99" t="n"/>
      <c r="L67" s="99" t="n"/>
      <c r="M67" s="99" t="n"/>
      <c r="N67" s="99" t="n"/>
      <c r="O67" s="99" t="n"/>
      <c r="P67" s="99" t="n"/>
      <c r="Q67" s="99" t="n"/>
      <c r="R67" s="99" t="n"/>
      <c r="S67" s="99" t="n"/>
      <c r="T67" s="99" t="n"/>
      <c r="U67" s="99" t="n"/>
      <c r="V67" s="99" t="n"/>
      <c r="W67" s="99" t="n"/>
      <c r="X67" s="99" t="n"/>
      <c r="Y67" s="99" t="n"/>
      <c r="Z67" s="99" t="n"/>
      <c r="AA67" s="99" t="n"/>
    </row>
    <row r="68" ht="15.75" customHeight="1" s="205">
      <c r="A68" s="99" t="n"/>
      <c r="B68" s="99" t="n"/>
      <c r="C68" s="99" t="n"/>
      <c r="D68" s="99" t="n"/>
      <c r="E68" s="99" t="n"/>
      <c r="F68" s="99" t="n"/>
      <c r="G68" s="99" t="n"/>
      <c r="H68" s="99" t="n"/>
      <c r="I68" s="99" t="n"/>
      <c r="J68" s="99" t="n"/>
      <c r="K68" s="99" t="n"/>
      <c r="L68" s="99" t="n"/>
      <c r="M68" s="99" t="n"/>
      <c r="N68" s="99" t="n"/>
      <c r="O68" s="99" t="n"/>
      <c r="P68" s="99" t="n"/>
      <c r="Q68" s="99" t="n"/>
      <c r="R68" s="99" t="n"/>
      <c r="S68" s="99" t="n"/>
      <c r="T68" s="99" t="n"/>
      <c r="U68" s="99" t="n"/>
      <c r="V68" s="99" t="n"/>
      <c r="W68" s="99" t="n"/>
      <c r="X68" s="99" t="n"/>
      <c r="Y68" s="99" t="n"/>
      <c r="Z68" s="99" t="n"/>
      <c r="AA68" s="99" t="n"/>
    </row>
    <row r="69" ht="15.75" customHeight="1" s="205">
      <c r="A69" s="99" t="n"/>
      <c r="B69" s="99" t="n"/>
      <c r="C69" s="99" t="n"/>
      <c r="D69" s="99" t="n"/>
      <c r="E69" s="99" t="n"/>
      <c r="F69" s="99" t="n"/>
      <c r="G69" s="99" t="n"/>
      <c r="H69" s="99" t="n"/>
      <c r="I69" s="99" t="n"/>
      <c r="J69" s="99" t="n"/>
      <c r="K69" s="99" t="n"/>
      <c r="L69" s="99" t="n"/>
      <c r="M69" s="99" t="n"/>
      <c r="N69" s="99" t="n"/>
      <c r="O69" s="99" t="n"/>
      <c r="P69" s="99" t="n"/>
      <c r="Q69" s="99" t="n"/>
      <c r="R69" s="99" t="n"/>
      <c r="S69" s="99" t="n"/>
      <c r="T69" s="99" t="n"/>
      <c r="U69" s="99" t="n"/>
      <c r="V69" s="99" t="n"/>
      <c r="W69" s="99" t="n"/>
      <c r="X69" s="99" t="n"/>
      <c r="Y69" s="99" t="n"/>
      <c r="Z69" s="99" t="n"/>
      <c r="AA69" s="99" t="n"/>
    </row>
    <row r="70" ht="15.75" customHeight="1" s="205">
      <c r="A70" s="99" t="n"/>
      <c r="B70" s="99" t="n"/>
      <c r="C70" s="99" t="n"/>
      <c r="D70" s="99" t="n"/>
      <c r="E70" s="99" t="n"/>
      <c r="F70" s="99" t="n"/>
      <c r="G70" s="99" t="n"/>
      <c r="H70" s="99" t="n"/>
      <c r="I70" s="99" t="n"/>
      <c r="J70" s="99" t="n"/>
      <c r="K70" s="99" t="n"/>
      <c r="L70" s="99" t="n"/>
      <c r="M70" s="99" t="n"/>
      <c r="N70" s="99" t="n"/>
      <c r="O70" s="99" t="n"/>
      <c r="P70" s="99" t="n"/>
      <c r="Q70" s="99" t="n"/>
      <c r="R70" s="99" t="n"/>
      <c r="S70" s="99" t="n"/>
      <c r="T70" s="99" t="n"/>
      <c r="U70" s="99" t="n"/>
      <c r="V70" s="99" t="n"/>
      <c r="W70" s="99" t="n"/>
      <c r="X70" s="99" t="n"/>
      <c r="Y70" s="99" t="n"/>
      <c r="Z70" s="99" t="n"/>
      <c r="AA70" s="99" t="n"/>
    </row>
    <row r="71" ht="15.75" customHeight="1" s="205">
      <c r="A71" s="99" t="n"/>
      <c r="B71" s="99" t="n"/>
      <c r="C71" s="99" t="n"/>
      <c r="D71" s="99" t="n"/>
      <c r="E71" s="99" t="n"/>
      <c r="F71" s="99" t="n"/>
      <c r="G71" s="99" t="n"/>
      <c r="H71" s="99" t="n"/>
      <c r="I71" s="99" t="n"/>
      <c r="J71" s="99" t="n"/>
      <c r="K71" s="99" t="n"/>
      <c r="L71" s="99" t="n"/>
      <c r="M71" s="99" t="n"/>
      <c r="N71" s="99" t="n"/>
      <c r="O71" s="99" t="n"/>
      <c r="P71" s="99" t="n"/>
      <c r="Q71" s="99" t="n"/>
      <c r="R71" s="99" t="n"/>
      <c r="S71" s="99" t="n"/>
      <c r="T71" s="99" t="n"/>
      <c r="U71" s="99" t="n"/>
      <c r="V71" s="99" t="n"/>
      <c r="W71" s="99" t="n"/>
      <c r="X71" s="99" t="n"/>
      <c r="Y71" s="99" t="n"/>
      <c r="Z71" s="99" t="n"/>
      <c r="AA71" s="99" t="n"/>
    </row>
    <row r="72" ht="15.75" customHeight="1" s="205">
      <c r="A72" s="99" t="n"/>
      <c r="B72" s="99" t="n"/>
      <c r="C72" s="99" t="n"/>
      <c r="D72" s="99" t="n"/>
      <c r="E72" s="99" t="n"/>
      <c r="F72" s="99" t="n"/>
      <c r="G72" s="99" t="n"/>
      <c r="H72" s="99" t="n"/>
      <c r="I72" s="99" t="n"/>
      <c r="J72" s="99" t="n"/>
      <c r="K72" s="99" t="n"/>
      <c r="L72" s="99" t="n"/>
      <c r="M72" s="99" t="n"/>
      <c r="N72" s="99" t="n"/>
      <c r="O72" s="99" t="n"/>
      <c r="P72" s="99" t="n"/>
      <c r="Q72" s="99" t="n"/>
      <c r="R72" s="99" t="n"/>
      <c r="S72" s="99" t="n"/>
      <c r="T72" s="99" t="n"/>
      <c r="U72" s="99" t="n"/>
      <c r="V72" s="99" t="n"/>
      <c r="W72" s="99" t="n"/>
      <c r="X72" s="99" t="n"/>
      <c r="Y72" s="99" t="n"/>
      <c r="Z72" s="99" t="n"/>
      <c r="AA72" s="99" t="n"/>
    </row>
    <row r="73" ht="15.75" customHeight="1" s="205">
      <c r="A73" s="99" t="n"/>
      <c r="B73" s="99" t="n"/>
      <c r="C73" s="99" t="n"/>
      <c r="D73" s="99" t="n"/>
      <c r="E73" s="99" t="n"/>
      <c r="F73" s="99" t="n"/>
      <c r="G73" s="99" t="n"/>
      <c r="H73" s="99" t="n"/>
      <c r="I73" s="99" t="n"/>
      <c r="J73" s="99" t="n"/>
      <c r="K73" s="99" t="n"/>
      <c r="L73" s="99" t="n"/>
      <c r="M73" s="99" t="n"/>
      <c r="N73" s="99" t="n"/>
      <c r="O73" s="99" t="n"/>
      <c r="P73" s="99" t="n"/>
      <c r="Q73" s="99" t="n"/>
      <c r="R73" s="99" t="n"/>
      <c r="S73" s="99" t="n"/>
      <c r="T73" s="99" t="n"/>
      <c r="U73" s="99" t="n"/>
      <c r="V73" s="99" t="n"/>
      <c r="W73" s="99" t="n"/>
      <c r="X73" s="99" t="n"/>
      <c r="Y73" s="99" t="n"/>
      <c r="Z73" s="99" t="n"/>
      <c r="AA73" s="99" t="n"/>
    </row>
    <row r="74" ht="15.75" customHeight="1" s="205">
      <c r="A74" s="99" t="n"/>
      <c r="B74" s="99" t="n"/>
      <c r="C74" s="99" t="n"/>
      <c r="D74" s="99" t="n"/>
      <c r="E74" s="99" t="n"/>
      <c r="F74" s="99" t="n"/>
      <c r="G74" s="99" t="n"/>
      <c r="H74" s="99" t="n"/>
      <c r="I74" s="99" t="n"/>
      <c r="J74" s="99" t="n"/>
      <c r="K74" s="99" t="n"/>
      <c r="L74" s="99" t="n"/>
      <c r="M74" s="99" t="n"/>
      <c r="N74" s="99" t="n"/>
      <c r="O74" s="99" t="n"/>
      <c r="P74" s="99" t="n"/>
      <c r="Q74" s="99" t="n"/>
      <c r="R74" s="99" t="n"/>
      <c r="S74" s="99" t="n"/>
      <c r="T74" s="99" t="n"/>
      <c r="U74" s="99" t="n"/>
      <c r="V74" s="99" t="n"/>
      <c r="W74" s="99" t="n"/>
      <c r="X74" s="99" t="n"/>
      <c r="Y74" s="99" t="n"/>
      <c r="Z74" s="99" t="n"/>
      <c r="AA74" s="99" t="n"/>
    </row>
    <row r="75" ht="15.75" customHeight="1" s="205">
      <c r="A75" s="99" t="n"/>
      <c r="B75" s="99" t="n"/>
      <c r="C75" s="99" t="n"/>
      <c r="D75" s="99" t="n"/>
      <c r="E75" s="99" t="n"/>
      <c r="F75" s="99" t="n"/>
      <c r="G75" s="99" t="n"/>
      <c r="H75" s="99" t="n"/>
      <c r="I75" s="99" t="n"/>
      <c r="J75" s="99" t="n"/>
      <c r="K75" s="99" t="n"/>
      <c r="L75" s="99" t="n"/>
      <c r="M75" s="99" t="n"/>
      <c r="N75" s="99" t="n"/>
      <c r="O75" s="99" t="n"/>
      <c r="P75" s="99" t="n"/>
      <c r="Q75" s="99" t="n"/>
      <c r="R75" s="99" t="n"/>
      <c r="S75" s="99" t="n"/>
      <c r="T75" s="99" t="n"/>
      <c r="U75" s="99" t="n"/>
      <c r="V75" s="99" t="n"/>
      <c r="W75" s="99" t="n"/>
      <c r="X75" s="99" t="n"/>
      <c r="Y75" s="99" t="n"/>
      <c r="Z75" s="99" t="n"/>
      <c r="AA75" s="99" t="n"/>
    </row>
    <row r="76" ht="15.75" customHeight="1" s="205">
      <c r="A76" s="99" t="n"/>
      <c r="B76" s="99" t="n"/>
      <c r="C76" s="99" t="n"/>
      <c r="D76" s="99" t="n"/>
      <c r="E76" s="99" t="n"/>
      <c r="F76" s="99" t="n"/>
      <c r="G76" s="99" t="n"/>
      <c r="H76" s="99" t="n"/>
      <c r="I76" s="99" t="n"/>
      <c r="J76" s="99" t="n"/>
      <c r="K76" s="99" t="n"/>
      <c r="L76" s="99" t="n"/>
      <c r="M76" s="99" t="n"/>
      <c r="N76" s="99" t="n"/>
      <c r="O76" s="99" t="n"/>
      <c r="P76" s="99" t="n"/>
      <c r="Q76" s="99" t="n"/>
      <c r="R76" s="99" t="n"/>
      <c r="S76" s="99" t="n"/>
      <c r="T76" s="99" t="n"/>
      <c r="U76" s="99" t="n"/>
      <c r="V76" s="99" t="n"/>
      <c r="W76" s="99" t="n"/>
      <c r="X76" s="99" t="n"/>
      <c r="Y76" s="99" t="n"/>
      <c r="Z76" s="99" t="n"/>
      <c r="AA76" s="99" t="n"/>
    </row>
    <row r="77" ht="15.75" customHeight="1" s="205">
      <c r="A77" s="99" t="n"/>
      <c r="B77" s="99" t="n"/>
      <c r="C77" s="99" t="n"/>
      <c r="D77" s="99" t="n"/>
      <c r="E77" s="99" t="n"/>
      <c r="F77" s="99" t="n"/>
      <c r="G77" s="99" t="n"/>
      <c r="H77" s="99" t="n"/>
      <c r="I77" s="99" t="n"/>
      <c r="J77" s="99" t="n"/>
      <c r="K77" s="99" t="n"/>
      <c r="L77" s="99" t="n"/>
      <c r="M77" s="99" t="n"/>
      <c r="N77" s="99" t="n"/>
      <c r="O77" s="99" t="n"/>
      <c r="P77" s="99" t="n"/>
      <c r="Q77" s="99" t="n"/>
      <c r="R77" s="99" t="n"/>
      <c r="S77" s="99" t="n"/>
      <c r="T77" s="99" t="n"/>
      <c r="U77" s="99" t="n"/>
      <c r="V77" s="99" t="n"/>
      <c r="W77" s="99" t="n"/>
      <c r="X77" s="99" t="n"/>
      <c r="Y77" s="99" t="n"/>
      <c r="Z77" s="99" t="n"/>
      <c r="AA77" s="99" t="n"/>
    </row>
    <row r="78" ht="15.75" customHeight="1" s="205">
      <c r="A78" s="99" t="n"/>
      <c r="B78" s="99" t="n"/>
      <c r="C78" s="99" t="n"/>
      <c r="D78" s="99" t="n"/>
      <c r="E78" s="99" t="n"/>
      <c r="F78" s="99" t="n"/>
      <c r="G78" s="99" t="n"/>
      <c r="H78" s="99" t="n"/>
      <c r="I78" s="99" t="n"/>
      <c r="J78" s="99" t="n"/>
      <c r="K78" s="99" t="n"/>
      <c r="L78" s="99" t="n"/>
      <c r="M78" s="99" t="n"/>
      <c r="N78" s="99" t="n"/>
      <c r="O78" s="99" t="n"/>
      <c r="P78" s="99" t="n"/>
      <c r="Q78" s="99" t="n"/>
      <c r="R78" s="99" t="n"/>
      <c r="S78" s="99" t="n"/>
      <c r="T78" s="99" t="n"/>
      <c r="U78" s="99" t="n"/>
      <c r="V78" s="99" t="n"/>
      <c r="W78" s="99" t="n"/>
      <c r="X78" s="99" t="n"/>
      <c r="Y78" s="99" t="n"/>
      <c r="Z78" s="99" t="n"/>
      <c r="AA78" s="99" t="n"/>
    </row>
    <row r="79" ht="15.75" customHeight="1" s="205">
      <c r="A79" s="99" t="n"/>
      <c r="B79" s="99" t="n"/>
      <c r="C79" s="99" t="n"/>
      <c r="D79" s="99" t="n"/>
      <c r="E79" s="99" t="n"/>
      <c r="F79" s="99" t="n"/>
      <c r="G79" s="99" t="n"/>
      <c r="H79" s="99" t="n"/>
      <c r="I79" s="99" t="n"/>
      <c r="J79" s="99" t="n"/>
      <c r="K79" s="99" t="n"/>
      <c r="L79" s="99" t="n"/>
      <c r="M79" s="99" t="n"/>
      <c r="N79" s="99" t="n"/>
      <c r="O79" s="99" t="n"/>
      <c r="P79" s="99" t="n"/>
      <c r="Q79" s="99" t="n"/>
      <c r="R79" s="99" t="n"/>
      <c r="S79" s="99" t="n"/>
      <c r="T79" s="99" t="n"/>
      <c r="U79" s="99" t="n"/>
      <c r="V79" s="99" t="n"/>
      <c r="W79" s="99" t="n"/>
      <c r="X79" s="99" t="n"/>
      <c r="Y79" s="99" t="n"/>
      <c r="Z79" s="99" t="n"/>
      <c r="AA79" s="99" t="n"/>
    </row>
    <row r="80" ht="15.75" customHeight="1" s="205">
      <c r="A80" s="99" t="n"/>
      <c r="B80" s="99" t="n"/>
      <c r="C80" s="99" t="n"/>
      <c r="D80" s="99" t="n"/>
      <c r="E80" s="99" t="n"/>
      <c r="F80" s="99" t="n"/>
      <c r="G80" s="99" t="n"/>
      <c r="H80" s="99" t="n"/>
      <c r="I80" s="99" t="n"/>
      <c r="J80" s="99" t="n"/>
      <c r="K80" s="99" t="n"/>
      <c r="L80" s="99" t="n"/>
      <c r="M80" s="99" t="n"/>
      <c r="N80" s="99" t="n"/>
      <c r="O80" s="99" t="n"/>
      <c r="P80" s="99" t="n"/>
      <c r="Q80" s="99" t="n"/>
      <c r="R80" s="99" t="n"/>
      <c r="S80" s="99" t="n"/>
      <c r="T80" s="99" t="n"/>
      <c r="U80" s="99" t="n"/>
      <c r="V80" s="99" t="n"/>
      <c r="W80" s="99" t="n"/>
      <c r="X80" s="99" t="n"/>
      <c r="Y80" s="99" t="n"/>
      <c r="Z80" s="99" t="n"/>
      <c r="AA80" s="99" t="n"/>
    </row>
    <row r="81" ht="15.75" customHeight="1" s="205">
      <c r="A81" s="99" t="n"/>
      <c r="B81" s="99" t="n"/>
      <c r="C81" s="99" t="n"/>
      <c r="D81" s="99" t="n"/>
      <c r="E81" s="99" t="n"/>
      <c r="F81" s="99" t="n"/>
      <c r="G81" s="99" t="n"/>
      <c r="H81" s="99" t="n"/>
      <c r="I81" s="99" t="n"/>
      <c r="J81" s="99" t="n"/>
      <c r="K81" s="99" t="n"/>
      <c r="L81" s="99" t="n"/>
      <c r="M81" s="99" t="n"/>
      <c r="N81" s="99" t="n"/>
      <c r="O81" s="99" t="n"/>
      <c r="P81" s="99" t="n"/>
      <c r="Q81" s="99" t="n"/>
      <c r="R81" s="99" t="n"/>
      <c r="S81" s="99" t="n"/>
      <c r="T81" s="99" t="n"/>
      <c r="U81" s="99" t="n"/>
      <c r="V81" s="99" t="n"/>
      <c r="W81" s="99" t="n"/>
      <c r="X81" s="99" t="n"/>
      <c r="Y81" s="99" t="n"/>
      <c r="Z81" s="99" t="n"/>
      <c r="AA81" s="99" t="n"/>
    </row>
    <row r="82" ht="15.75" customHeight="1" s="205">
      <c r="A82" s="99" t="n"/>
      <c r="B82" s="99" t="n"/>
      <c r="C82" s="99" t="n"/>
      <c r="D82" s="99" t="n"/>
      <c r="E82" s="99" t="n"/>
      <c r="F82" s="99" t="n"/>
      <c r="G82" s="99" t="n"/>
      <c r="H82" s="99" t="n"/>
      <c r="I82" s="99" t="n"/>
      <c r="J82" s="99" t="n"/>
      <c r="K82" s="99" t="n"/>
      <c r="L82" s="99" t="n"/>
      <c r="M82" s="99" t="n"/>
      <c r="N82" s="99" t="n"/>
      <c r="O82" s="99" t="n"/>
      <c r="P82" s="99" t="n"/>
      <c r="Q82" s="99" t="n"/>
      <c r="R82" s="99" t="n"/>
      <c r="S82" s="99" t="n"/>
      <c r="T82" s="99" t="n"/>
      <c r="U82" s="99" t="n"/>
      <c r="V82" s="99" t="n"/>
      <c r="W82" s="99" t="n"/>
      <c r="X82" s="99" t="n"/>
      <c r="Y82" s="99" t="n"/>
      <c r="Z82" s="99" t="n"/>
      <c r="AA82" s="99" t="n"/>
    </row>
    <row r="83" ht="15.75" customHeight="1" s="205">
      <c r="A83" s="99" t="n"/>
      <c r="B83" s="99" t="n"/>
      <c r="C83" s="99" t="n"/>
      <c r="D83" s="99" t="n"/>
      <c r="E83" s="99" t="n"/>
      <c r="F83" s="99" t="n"/>
      <c r="G83" s="99" t="n"/>
      <c r="H83" s="99" t="n"/>
      <c r="I83" s="99" t="n"/>
      <c r="J83" s="99" t="n"/>
      <c r="K83" s="99" t="n"/>
      <c r="L83" s="99" t="n"/>
      <c r="M83" s="99" t="n"/>
      <c r="N83" s="99" t="n"/>
      <c r="O83" s="99" t="n"/>
      <c r="P83" s="99" t="n"/>
      <c r="Q83" s="99" t="n"/>
      <c r="R83" s="99" t="n"/>
      <c r="S83" s="99" t="n"/>
      <c r="T83" s="99" t="n"/>
      <c r="U83" s="99" t="n"/>
      <c r="V83" s="99" t="n"/>
      <c r="W83" s="99" t="n"/>
      <c r="X83" s="99" t="n"/>
      <c r="Y83" s="99" t="n"/>
      <c r="Z83" s="99" t="n"/>
      <c r="AA83" s="99" t="n"/>
    </row>
    <row r="84" ht="15.75" customHeight="1" s="205">
      <c r="A84" s="99" t="n"/>
      <c r="B84" s="99" t="n"/>
      <c r="C84" s="99" t="n"/>
      <c r="D84" s="99" t="n"/>
      <c r="E84" s="99" t="n"/>
      <c r="F84" s="99" t="n"/>
      <c r="G84" s="99" t="n"/>
      <c r="H84" s="99" t="n"/>
      <c r="I84" s="99" t="n"/>
      <c r="J84" s="99" t="n"/>
      <c r="K84" s="99" t="n"/>
      <c r="L84" s="99" t="n"/>
      <c r="M84" s="99" t="n"/>
      <c r="N84" s="99" t="n"/>
      <c r="O84" s="99" t="n"/>
      <c r="P84" s="99" t="n"/>
      <c r="Q84" s="99" t="n"/>
      <c r="R84" s="99" t="n"/>
      <c r="S84" s="99" t="n"/>
      <c r="T84" s="99" t="n"/>
      <c r="U84" s="99" t="n"/>
      <c r="V84" s="99" t="n"/>
      <c r="W84" s="99" t="n"/>
      <c r="X84" s="99" t="n"/>
      <c r="Y84" s="99" t="n"/>
      <c r="Z84" s="99" t="n"/>
      <c r="AA84" s="99" t="n"/>
    </row>
    <row r="85" ht="15.75" customHeight="1" s="205">
      <c r="A85" s="99" t="n"/>
      <c r="B85" s="99" t="n"/>
      <c r="C85" s="99" t="n"/>
      <c r="D85" s="99" t="n"/>
      <c r="E85" s="99" t="n"/>
      <c r="F85" s="99" t="n"/>
      <c r="G85" s="99" t="n"/>
      <c r="H85" s="99" t="n"/>
      <c r="I85" s="99" t="n"/>
      <c r="J85" s="99" t="n"/>
      <c r="K85" s="99" t="n"/>
      <c r="L85" s="99" t="n"/>
      <c r="M85" s="99" t="n"/>
      <c r="N85" s="99" t="n"/>
      <c r="O85" s="99" t="n"/>
      <c r="P85" s="99" t="n"/>
      <c r="Q85" s="99" t="n"/>
      <c r="R85" s="99" t="n"/>
      <c r="S85" s="99" t="n"/>
      <c r="T85" s="99" t="n"/>
      <c r="U85" s="99" t="n"/>
      <c r="V85" s="99" t="n"/>
      <c r="W85" s="99" t="n"/>
      <c r="X85" s="99" t="n"/>
      <c r="Y85" s="99" t="n"/>
      <c r="Z85" s="99" t="n"/>
      <c r="AA85" s="99" t="n"/>
    </row>
    <row r="86" ht="15.75" customHeight="1" s="205">
      <c r="A86" s="99" t="n"/>
      <c r="B86" s="99" t="n"/>
      <c r="C86" s="99" t="n"/>
      <c r="D86" s="99" t="n"/>
      <c r="E86" s="99" t="n"/>
      <c r="F86" s="99" t="n"/>
      <c r="G86" s="99" t="n"/>
      <c r="H86" s="99" t="n"/>
      <c r="I86" s="99" t="n"/>
      <c r="J86" s="99" t="n"/>
      <c r="K86" s="99" t="n"/>
      <c r="L86" s="99" t="n"/>
      <c r="M86" s="99" t="n"/>
      <c r="N86" s="99" t="n"/>
      <c r="O86" s="99" t="n"/>
      <c r="P86" s="99" t="n"/>
      <c r="Q86" s="99" t="n"/>
      <c r="R86" s="99" t="n"/>
      <c r="S86" s="99" t="n"/>
      <c r="T86" s="99" t="n"/>
      <c r="U86" s="99" t="n"/>
      <c r="V86" s="99" t="n"/>
      <c r="W86" s="99" t="n"/>
      <c r="X86" s="99" t="n"/>
      <c r="Y86" s="99" t="n"/>
      <c r="Z86" s="99" t="n"/>
      <c r="AA86" s="99" t="n"/>
    </row>
    <row r="87" ht="15.75" customHeight="1" s="205">
      <c r="A87" s="99" t="n"/>
      <c r="B87" s="99" t="n"/>
      <c r="C87" s="99" t="n"/>
      <c r="D87" s="99" t="n"/>
      <c r="E87" s="99" t="n"/>
      <c r="F87" s="99" t="n"/>
      <c r="G87" s="99" t="n"/>
      <c r="H87" s="99" t="n"/>
      <c r="I87" s="99" t="n"/>
      <c r="J87" s="99" t="n"/>
      <c r="K87" s="99" t="n"/>
      <c r="L87" s="99" t="n"/>
      <c r="M87" s="99" t="n"/>
      <c r="N87" s="99" t="n"/>
      <c r="O87" s="99" t="n"/>
      <c r="P87" s="99" t="n"/>
      <c r="Q87" s="99" t="n"/>
      <c r="R87" s="99" t="n"/>
      <c r="S87" s="99" t="n"/>
      <c r="T87" s="99" t="n"/>
      <c r="U87" s="99" t="n"/>
      <c r="V87" s="99" t="n"/>
      <c r="W87" s="99" t="n"/>
      <c r="X87" s="99" t="n"/>
      <c r="Y87" s="99" t="n"/>
      <c r="Z87" s="99" t="n"/>
      <c r="AA87" s="99" t="n"/>
    </row>
    <row r="88" ht="15.75" customHeight="1" s="205">
      <c r="A88" s="99" t="n"/>
      <c r="B88" s="99" t="n"/>
      <c r="C88" s="99" t="n"/>
      <c r="D88" s="99" t="n"/>
      <c r="E88" s="99" t="n"/>
      <c r="F88" s="99" t="n"/>
      <c r="G88" s="99" t="n"/>
      <c r="H88" s="99" t="n"/>
      <c r="I88" s="99" t="n"/>
      <c r="J88" s="99" t="n"/>
      <c r="K88" s="99" t="n"/>
      <c r="L88" s="99" t="n"/>
      <c r="M88" s="99" t="n"/>
      <c r="N88" s="99" t="n"/>
      <c r="O88" s="99" t="n"/>
      <c r="P88" s="99" t="n"/>
      <c r="Q88" s="99" t="n"/>
      <c r="R88" s="99" t="n"/>
      <c r="S88" s="99" t="n"/>
      <c r="T88" s="99" t="n"/>
      <c r="U88" s="99" t="n"/>
      <c r="V88" s="99" t="n"/>
      <c r="W88" s="99" t="n"/>
      <c r="X88" s="99" t="n"/>
      <c r="Y88" s="99" t="n"/>
      <c r="Z88" s="99" t="n"/>
      <c r="AA88" s="99" t="n"/>
    </row>
    <row r="89" ht="15.75" customHeight="1" s="205">
      <c r="A89" s="99" t="n"/>
      <c r="B89" s="99" t="n"/>
      <c r="C89" s="99" t="n"/>
      <c r="D89" s="99" t="n"/>
      <c r="E89" s="99" t="n"/>
      <c r="F89" s="99" t="n"/>
      <c r="G89" s="99" t="n"/>
      <c r="H89" s="99" t="n"/>
      <c r="I89" s="99" t="n"/>
      <c r="J89" s="99" t="n"/>
      <c r="K89" s="99" t="n"/>
      <c r="L89" s="99" t="n"/>
      <c r="M89" s="99" t="n"/>
      <c r="N89" s="99" t="n"/>
      <c r="O89" s="99" t="n"/>
      <c r="P89" s="99" t="n"/>
      <c r="Q89" s="99" t="n"/>
      <c r="R89" s="99" t="n"/>
      <c r="S89" s="99" t="n"/>
      <c r="T89" s="99" t="n"/>
      <c r="U89" s="99" t="n"/>
      <c r="V89" s="99" t="n"/>
      <c r="W89" s="99" t="n"/>
      <c r="X89" s="99" t="n"/>
      <c r="Y89" s="99" t="n"/>
      <c r="Z89" s="99" t="n"/>
      <c r="AA89" s="99" t="n"/>
    </row>
    <row r="90" ht="15.75" customHeight="1" s="205">
      <c r="A90" s="99" t="n"/>
      <c r="B90" s="99" t="n"/>
      <c r="C90" s="99" t="n"/>
      <c r="D90" s="99" t="n"/>
      <c r="E90" s="99" t="n"/>
      <c r="F90" s="99" t="n"/>
      <c r="G90" s="99" t="n"/>
      <c r="H90" s="99" t="n"/>
      <c r="I90" s="99" t="n"/>
      <c r="J90" s="99" t="n"/>
      <c r="K90" s="99" t="n"/>
      <c r="L90" s="99" t="n"/>
      <c r="M90" s="99" t="n"/>
      <c r="N90" s="99" t="n"/>
      <c r="O90" s="99" t="n"/>
      <c r="P90" s="99" t="n"/>
      <c r="Q90" s="99" t="n"/>
      <c r="R90" s="99" t="n"/>
      <c r="S90" s="99" t="n"/>
      <c r="T90" s="99" t="n"/>
      <c r="U90" s="99" t="n"/>
      <c r="V90" s="99" t="n"/>
      <c r="W90" s="99" t="n"/>
      <c r="X90" s="99" t="n"/>
      <c r="Y90" s="99" t="n"/>
      <c r="Z90" s="99" t="n"/>
      <c r="AA90" s="99" t="n"/>
    </row>
    <row r="91" ht="15.75" customHeight="1" s="205">
      <c r="A91" s="99" t="n"/>
      <c r="B91" s="99" t="n"/>
      <c r="C91" s="99" t="n"/>
      <c r="D91" s="99" t="n"/>
      <c r="E91" s="99" t="n"/>
      <c r="F91" s="99" t="n"/>
      <c r="G91" s="99" t="n"/>
      <c r="H91" s="99" t="n"/>
      <c r="I91" s="99" t="n"/>
      <c r="J91" s="99" t="n"/>
      <c r="K91" s="99" t="n"/>
      <c r="L91" s="99" t="n"/>
      <c r="M91" s="99" t="n"/>
      <c r="N91" s="99" t="n"/>
      <c r="O91" s="99" t="n"/>
      <c r="P91" s="99" t="n"/>
      <c r="Q91" s="99" t="n"/>
      <c r="R91" s="99" t="n"/>
      <c r="S91" s="99" t="n"/>
      <c r="T91" s="99" t="n"/>
      <c r="U91" s="99" t="n"/>
      <c r="V91" s="99" t="n"/>
      <c r="W91" s="99" t="n"/>
      <c r="X91" s="99" t="n"/>
      <c r="Y91" s="99" t="n"/>
      <c r="Z91" s="99" t="n"/>
      <c r="AA91" s="99" t="n"/>
    </row>
    <row r="92" ht="15.75" customHeight="1" s="205">
      <c r="A92" s="99" t="n"/>
      <c r="B92" s="99" t="n"/>
      <c r="C92" s="99" t="n"/>
      <c r="D92" s="99" t="n"/>
      <c r="E92" s="99" t="n"/>
      <c r="F92" s="99" t="n"/>
      <c r="G92" s="99" t="n"/>
      <c r="H92" s="99" t="n"/>
      <c r="I92" s="99" t="n"/>
      <c r="J92" s="99" t="n"/>
      <c r="K92" s="99" t="n"/>
      <c r="L92" s="99" t="n"/>
      <c r="M92" s="99" t="n"/>
      <c r="N92" s="99" t="n"/>
      <c r="O92" s="99" t="n"/>
      <c r="P92" s="99" t="n"/>
      <c r="Q92" s="99" t="n"/>
      <c r="R92" s="99" t="n"/>
      <c r="S92" s="99" t="n"/>
      <c r="T92" s="99" t="n"/>
      <c r="U92" s="99" t="n"/>
      <c r="V92" s="99" t="n"/>
      <c r="W92" s="99" t="n"/>
      <c r="X92" s="99" t="n"/>
      <c r="Y92" s="99" t="n"/>
      <c r="Z92" s="99" t="n"/>
      <c r="AA92" s="99" t="n"/>
    </row>
    <row r="93" ht="15.75" customHeight="1" s="205">
      <c r="A93" s="99" t="n"/>
      <c r="B93" s="99" t="n"/>
      <c r="C93" s="99" t="n"/>
      <c r="D93" s="99" t="n"/>
      <c r="E93" s="99" t="n"/>
      <c r="F93" s="99" t="n"/>
      <c r="G93" s="99" t="n"/>
      <c r="H93" s="99" t="n"/>
      <c r="I93" s="99" t="n"/>
      <c r="J93" s="99" t="n"/>
      <c r="K93" s="99" t="n"/>
      <c r="L93" s="99" t="n"/>
      <c r="M93" s="99" t="n"/>
      <c r="N93" s="99" t="n"/>
      <c r="O93" s="99" t="n"/>
      <c r="P93" s="99" t="n"/>
      <c r="Q93" s="99" t="n"/>
      <c r="R93" s="99" t="n"/>
      <c r="S93" s="99" t="n"/>
      <c r="T93" s="99" t="n"/>
      <c r="U93" s="99" t="n"/>
      <c r="V93" s="99" t="n"/>
      <c r="W93" s="99" t="n"/>
      <c r="X93" s="99" t="n"/>
      <c r="Y93" s="99" t="n"/>
      <c r="Z93" s="99" t="n"/>
      <c r="AA93" s="99" t="n"/>
    </row>
    <row r="94" ht="15.75" customHeight="1" s="205">
      <c r="A94" s="99" t="n"/>
      <c r="B94" s="99" t="n"/>
      <c r="C94" s="99" t="n"/>
      <c r="D94" s="99" t="n"/>
      <c r="E94" s="99" t="n"/>
      <c r="F94" s="99" t="n"/>
      <c r="G94" s="99" t="n"/>
      <c r="H94" s="99" t="n"/>
      <c r="I94" s="99" t="n"/>
      <c r="J94" s="99" t="n"/>
      <c r="K94" s="99" t="n"/>
      <c r="L94" s="99" t="n"/>
      <c r="M94" s="99" t="n"/>
      <c r="N94" s="99" t="n"/>
      <c r="O94" s="99" t="n"/>
      <c r="P94" s="99" t="n"/>
      <c r="Q94" s="99" t="n"/>
      <c r="R94" s="99" t="n"/>
      <c r="S94" s="99" t="n"/>
      <c r="T94" s="99" t="n"/>
      <c r="U94" s="99" t="n"/>
      <c r="V94" s="99" t="n"/>
      <c r="W94" s="99" t="n"/>
      <c r="X94" s="99" t="n"/>
      <c r="Y94" s="99" t="n"/>
      <c r="Z94" s="99" t="n"/>
      <c r="AA94" s="99" t="n"/>
    </row>
    <row r="95" ht="15.75" customHeight="1" s="205">
      <c r="A95" s="99" t="n"/>
      <c r="B95" s="99" t="n"/>
      <c r="C95" s="99" t="n"/>
      <c r="D95" s="99" t="n"/>
      <c r="E95" s="99" t="n"/>
      <c r="F95" s="99" t="n"/>
      <c r="G95" s="99" t="n"/>
      <c r="H95" s="99" t="n"/>
      <c r="I95" s="99" t="n"/>
      <c r="J95" s="99" t="n"/>
      <c r="K95" s="99" t="n"/>
      <c r="L95" s="99" t="n"/>
      <c r="M95" s="99" t="n"/>
      <c r="N95" s="99" t="n"/>
      <c r="O95" s="99" t="n"/>
      <c r="P95" s="99" t="n"/>
      <c r="Q95" s="99" t="n"/>
      <c r="R95" s="99" t="n"/>
      <c r="S95" s="99" t="n"/>
      <c r="T95" s="99" t="n"/>
      <c r="U95" s="99" t="n"/>
      <c r="V95" s="99" t="n"/>
      <c r="W95" s="99" t="n"/>
      <c r="X95" s="99" t="n"/>
      <c r="Y95" s="99" t="n"/>
      <c r="Z95" s="99" t="n"/>
      <c r="AA95" s="99" t="n"/>
    </row>
    <row r="96" ht="15.75" customHeight="1" s="205">
      <c r="A96" s="99" t="n"/>
      <c r="B96" s="99" t="n"/>
      <c r="C96" s="99" t="n"/>
      <c r="D96" s="99" t="n"/>
      <c r="E96" s="99" t="n"/>
      <c r="F96" s="99" t="n"/>
      <c r="G96" s="99" t="n"/>
      <c r="H96" s="99" t="n"/>
      <c r="I96" s="99" t="n"/>
      <c r="J96" s="99" t="n"/>
      <c r="K96" s="99" t="n"/>
      <c r="L96" s="99" t="n"/>
      <c r="M96" s="99" t="n"/>
      <c r="N96" s="99" t="n"/>
      <c r="O96" s="99" t="n"/>
      <c r="P96" s="99" t="n"/>
      <c r="Q96" s="99" t="n"/>
      <c r="R96" s="99" t="n"/>
      <c r="S96" s="99" t="n"/>
      <c r="T96" s="99" t="n"/>
      <c r="U96" s="99" t="n"/>
      <c r="V96" s="99" t="n"/>
      <c r="W96" s="99" t="n"/>
      <c r="X96" s="99" t="n"/>
      <c r="Y96" s="99" t="n"/>
      <c r="Z96" s="99" t="n"/>
      <c r="AA96" s="99" t="n"/>
    </row>
    <row r="97" ht="15.75" customHeight="1" s="205">
      <c r="A97" s="99" t="n"/>
      <c r="B97" s="99" t="n"/>
      <c r="C97" s="99" t="n"/>
      <c r="D97" s="99" t="n"/>
      <c r="E97" s="99" t="n"/>
      <c r="F97" s="99" t="n"/>
      <c r="G97" s="99" t="n"/>
      <c r="H97" s="99" t="n"/>
      <c r="I97" s="99" t="n"/>
      <c r="J97" s="99" t="n"/>
      <c r="K97" s="99" t="n"/>
      <c r="L97" s="99" t="n"/>
      <c r="M97" s="99" t="n"/>
      <c r="N97" s="99" t="n"/>
      <c r="O97" s="99" t="n"/>
      <c r="P97" s="99" t="n"/>
      <c r="Q97" s="99" t="n"/>
      <c r="R97" s="99" t="n"/>
      <c r="S97" s="99" t="n"/>
      <c r="T97" s="99" t="n"/>
      <c r="U97" s="99" t="n"/>
      <c r="V97" s="99" t="n"/>
      <c r="W97" s="99" t="n"/>
      <c r="X97" s="99" t="n"/>
      <c r="Y97" s="99" t="n"/>
      <c r="Z97" s="99" t="n"/>
      <c r="AA97" s="99" t="n"/>
    </row>
    <row r="98" ht="15.75" customHeight="1" s="205">
      <c r="A98" s="99" t="n"/>
      <c r="B98" s="99" t="n"/>
      <c r="C98" s="99" t="n"/>
      <c r="D98" s="99" t="n"/>
      <c r="E98" s="99" t="n"/>
      <c r="F98" s="99" t="n"/>
      <c r="G98" s="99" t="n"/>
      <c r="H98" s="99" t="n"/>
      <c r="I98" s="99" t="n"/>
      <c r="J98" s="99" t="n"/>
      <c r="K98" s="99" t="n"/>
      <c r="L98" s="99" t="n"/>
      <c r="M98" s="99" t="n"/>
      <c r="N98" s="99" t="n"/>
      <c r="O98" s="99" t="n"/>
      <c r="P98" s="99" t="n"/>
      <c r="Q98" s="99" t="n"/>
      <c r="R98" s="99" t="n"/>
      <c r="S98" s="99" t="n"/>
      <c r="T98" s="99" t="n"/>
      <c r="U98" s="99" t="n"/>
      <c r="V98" s="99" t="n"/>
      <c r="W98" s="99" t="n"/>
      <c r="X98" s="99" t="n"/>
      <c r="Y98" s="99" t="n"/>
      <c r="Z98" s="99" t="n"/>
      <c r="AA98" s="99" t="n"/>
    </row>
    <row r="99" ht="15.75" customHeight="1" s="205">
      <c r="A99" s="99" t="n"/>
      <c r="B99" s="99" t="n"/>
      <c r="C99" s="99" t="n"/>
      <c r="D99" s="99" t="n"/>
      <c r="E99" s="99" t="n"/>
      <c r="F99" s="99" t="n"/>
      <c r="G99" s="99" t="n"/>
      <c r="H99" s="99" t="n"/>
      <c r="I99" s="99" t="n"/>
      <c r="J99" s="99" t="n"/>
      <c r="K99" s="99" t="n"/>
      <c r="L99" s="99" t="n"/>
      <c r="M99" s="99" t="n"/>
      <c r="N99" s="99" t="n"/>
      <c r="O99" s="99" t="n"/>
      <c r="P99" s="99" t="n"/>
      <c r="Q99" s="99" t="n"/>
      <c r="R99" s="99" t="n"/>
      <c r="S99" s="99" t="n"/>
      <c r="T99" s="99" t="n"/>
      <c r="U99" s="99" t="n"/>
      <c r="V99" s="99" t="n"/>
      <c r="W99" s="99" t="n"/>
      <c r="X99" s="99" t="n"/>
      <c r="Y99" s="99" t="n"/>
      <c r="Z99" s="99" t="n"/>
      <c r="AA99" s="99" t="n"/>
    </row>
    <row r="100" ht="15.75" customHeight="1" s="205">
      <c r="A100" s="99" t="n"/>
      <c r="B100" s="99" t="n"/>
      <c r="C100" s="99" t="n"/>
      <c r="D100" s="99" t="n"/>
      <c r="E100" s="99" t="n"/>
      <c r="F100" s="99" t="n"/>
      <c r="G100" s="99" t="n"/>
      <c r="H100" s="99" t="n"/>
      <c r="I100" s="99" t="n"/>
      <c r="J100" s="99" t="n"/>
      <c r="K100" s="99" t="n"/>
      <c r="L100" s="99" t="n"/>
      <c r="M100" s="99" t="n"/>
      <c r="N100" s="99" t="n"/>
      <c r="O100" s="99" t="n"/>
      <c r="P100" s="99" t="n"/>
      <c r="Q100" s="99" t="n"/>
      <c r="R100" s="99" t="n"/>
      <c r="S100" s="99" t="n"/>
      <c r="T100" s="99" t="n"/>
      <c r="U100" s="99" t="n"/>
      <c r="V100" s="99" t="n"/>
      <c r="W100" s="99" t="n"/>
      <c r="X100" s="99" t="n"/>
      <c r="Y100" s="99" t="n"/>
      <c r="Z100" s="99" t="n"/>
      <c r="AA100" s="99" t="n"/>
    </row>
    <row r="101" ht="15.75" customHeight="1" s="205">
      <c r="A101" s="99" t="n"/>
      <c r="B101" s="99" t="n"/>
      <c r="C101" s="99" t="n"/>
      <c r="D101" s="99" t="n"/>
      <c r="E101" s="99" t="n"/>
      <c r="F101" s="99" t="n"/>
      <c r="G101" s="99" t="n"/>
      <c r="H101" s="99" t="n"/>
      <c r="I101" s="99" t="n"/>
      <c r="J101" s="99" t="n"/>
      <c r="K101" s="99" t="n"/>
      <c r="L101" s="99" t="n"/>
      <c r="M101" s="99" t="n"/>
      <c r="N101" s="99" t="n"/>
      <c r="O101" s="99" t="n"/>
      <c r="P101" s="99" t="n"/>
      <c r="Q101" s="99" t="n"/>
      <c r="R101" s="99" t="n"/>
      <c r="S101" s="99" t="n"/>
      <c r="T101" s="99" t="n"/>
      <c r="U101" s="99" t="n"/>
      <c r="V101" s="99" t="n"/>
      <c r="W101" s="99" t="n"/>
      <c r="X101" s="99" t="n"/>
      <c r="Y101" s="99" t="n"/>
      <c r="Z101" s="99" t="n"/>
      <c r="AA101" s="99" t="n"/>
    </row>
    <row r="102" ht="15.75" customHeight="1" s="205">
      <c r="A102" s="99" t="n"/>
      <c r="B102" s="99" t="n"/>
      <c r="C102" s="99" t="n"/>
      <c r="D102" s="99" t="n"/>
      <c r="E102" s="99" t="n"/>
      <c r="F102" s="99" t="n"/>
      <c r="G102" s="99" t="n"/>
      <c r="H102" s="99" t="n"/>
      <c r="I102" s="99" t="n"/>
      <c r="J102" s="99" t="n"/>
      <c r="K102" s="99" t="n"/>
      <c r="L102" s="99" t="n"/>
      <c r="M102" s="99" t="n"/>
      <c r="N102" s="99" t="n"/>
      <c r="O102" s="99" t="n"/>
      <c r="P102" s="99" t="n"/>
      <c r="Q102" s="99" t="n"/>
      <c r="R102" s="99" t="n"/>
      <c r="S102" s="99" t="n"/>
      <c r="T102" s="99" t="n"/>
      <c r="U102" s="99" t="n"/>
      <c r="V102" s="99" t="n"/>
      <c r="W102" s="99" t="n"/>
      <c r="X102" s="99" t="n"/>
      <c r="Y102" s="99" t="n"/>
      <c r="Z102" s="99" t="n"/>
      <c r="AA102" s="99" t="n"/>
    </row>
    <row r="103" ht="15.75" customHeight="1" s="205">
      <c r="A103" s="99" t="n"/>
      <c r="B103" s="99" t="n"/>
      <c r="C103" s="99" t="n"/>
      <c r="D103" s="99" t="n"/>
      <c r="E103" s="99" t="n"/>
      <c r="F103" s="99" t="n"/>
      <c r="G103" s="99" t="n"/>
      <c r="H103" s="99" t="n"/>
      <c r="I103" s="99" t="n"/>
      <c r="J103" s="99" t="n"/>
      <c r="K103" s="99" t="n"/>
      <c r="L103" s="99" t="n"/>
      <c r="M103" s="99" t="n"/>
      <c r="N103" s="99" t="n"/>
      <c r="O103" s="99" t="n"/>
      <c r="P103" s="99" t="n"/>
      <c r="Q103" s="99" t="n"/>
      <c r="R103" s="99" t="n"/>
      <c r="S103" s="99" t="n"/>
      <c r="T103" s="99" t="n"/>
      <c r="U103" s="99" t="n"/>
      <c r="V103" s="99" t="n"/>
      <c r="W103" s="99" t="n"/>
      <c r="X103" s="99" t="n"/>
      <c r="Y103" s="99" t="n"/>
      <c r="Z103" s="99" t="n"/>
      <c r="AA103" s="99" t="n"/>
    </row>
    <row r="104" ht="15.75" customHeight="1" s="205">
      <c r="A104" s="99" t="n"/>
      <c r="B104" s="99" t="n"/>
      <c r="C104" s="99" t="n"/>
      <c r="D104" s="99" t="n"/>
      <c r="E104" s="99" t="n"/>
      <c r="F104" s="99" t="n"/>
      <c r="G104" s="99" t="n"/>
      <c r="H104" s="99" t="n"/>
      <c r="I104" s="99" t="n"/>
      <c r="J104" s="99" t="n"/>
      <c r="K104" s="99" t="n"/>
      <c r="L104" s="99" t="n"/>
      <c r="M104" s="99" t="n"/>
      <c r="N104" s="99" t="n"/>
      <c r="O104" s="99" t="n"/>
      <c r="P104" s="99" t="n"/>
      <c r="Q104" s="99" t="n"/>
      <c r="R104" s="99" t="n"/>
      <c r="S104" s="99" t="n"/>
      <c r="T104" s="99" t="n"/>
      <c r="U104" s="99" t="n"/>
      <c r="V104" s="99" t="n"/>
      <c r="W104" s="99" t="n"/>
      <c r="X104" s="99" t="n"/>
      <c r="Y104" s="99" t="n"/>
      <c r="Z104" s="99" t="n"/>
      <c r="AA104" s="99" t="n"/>
    </row>
    <row r="105" ht="15.75" customHeight="1" s="205">
      <c r="A105" s="99" t="n"/>
      <c r="B105" s="99" t="n"/>
      <c r="C105" s="99" t="n"/>
      <c r="D105" s="99" t="n"/>
      <c r="E105" s="99" t="n"/>
      <c r="F105" s="99" t="n"/>
      <c r="G105" s="99" t="n"/>
      <c r="H105" s="99" t="n"/>
      <c r="I105" s="99" t="n"/>
      <c r="J105" s="99" t="n"/>
      <c r="K105" s="99" t="n"/>
      <c r="L105" s="99" t="n"/>
      <c r="M105" s="99" t="n"/>
      <c r="N105" s="99" t="n"/>
      <c r="O105" s="99" t="n"/>
      <c r="P105" s="99" t="n"/>
      <c r="Q105" s="99" t="n"/>
      <c r="R105" s="99" t="n"/>
      <c r="S105" s="99" t="n"/>
      <c r="T105" s="99" t="n"/>
      <c r="U105" s="99" t="n"/>
      <c r="V105" s="99" t="n"/>
      <c r="W105" s="99" t="n"/>
      <c r="X105" s="99" t="n"/>
      <c r="Y105" s="99" t="n"/>
      <c r="Z105" s="99" t="n"/>
      <c r="AA105" s="99" t="n"/>
    </row>
    <row r="106" ht="15.75" customHeight="1" s="205">
      <c r="A106" s="99" t="n"/>
      <c r="B106" s="99" t="n"/>
      <c r="C106" s="99" t="n"/>
      <c r="D106" s="99" t="n"/>
      <c r="E106" s="99" t="n"/>
      <c r="F106" s="99" t="n"/>
      <c r="G106" s="99" t="n"/>
      <c r="H106" s="99" t="n"/>
      <c r="I106" s="99" t="n"/>
      <c r="J106" s="99" t="n"/>
      <c r="K106" s="99" t="n"/>
      <c r="L106" s="99" t="n"/>
      <c r="M106" s="99" t="n"/>
      <c r="N106" s="99" t="n"/>
      <c r="O106" s="99" t="n"/>
      <c r="P106" s="99" t="n"/>
      <c r="Q106" s="99" t="n"/>
      <c r="R106" s="99" t="n"/>
      <c r="S106" s="99" t="n"/>
      <c r="T106" s="99" t="n"/>
      <c r="U106" s="99" t="n"/>
      <c r="V106" s="99" t="n"/>
      <c r="W106" s="99" t="n"/>
      <c r="X106" s="99" t="n"/>
      <c r="Y106" s="99" t="n"/>
      <c r="Z106" s="99" t="n"/>
      <c r="AA106" s="99" t="n"/>
    </row>
    <row r="107" ht="15.75" customHeight="1" s="205">
      <c r="A107" s="99" t="n"/>
      <c r="B107" s="99" t="n"/>
      <c r="C107" s="99" t="n"/>
      <c r="D107" s="99" t="n"/>
      <c r="E107" s="99" t="n"/>
      <c r="F107" s="99" t="n"/>
      <c r="G107" s="99" t="n"/>
      <c r="H107" s="99" t="n"/>
      <c r="I107" s="99" t="n"/>
      <c r="J107" s="99" t="n"/>
      <c r="K107" s="99" t="n"/>
      <c r="L107" s="99" t="n"/>
      <c r="M107" s="99" t="n"/>
      <c r="N107" s="99" t="n"/>
      <c r="O107" s="99" t="n"/>
      <c r="P107" s="99" t="n"/>
      <c r="Q107" s="99" t="n"/>
      <c r="R107" s="99" t="n"/>
      <c r="S107" s="99" t="n"/>
      <c r="T107" s="99" t="n"/>
      <c r="U107" s="99" t="n"/>
      <c r="V107" s="99" t="n"/>
      <c r="W107" s="99" t="n"/>
      <c r="X107" s="99" t="n"/>
      <c r="Y107" s="99" t="n"/>
      <c r="Z107" s="99" t="n"/>
      <c r="AA107" s="99" t="n"/>
    </row>
    <row r="108" ht="15.75" customHeight="1" s="205">
      <c r="A108" s="99" t="n"/>
      <c r="B108" s="99" t="n"/>
      <c r="C108" s="99" t="n"/>
      <c r="D108" s="99" t="n"/>
      <c r="E108" s="99" t="n"/>
      <c r="F108" s="99" t="n"/>
      <c r="G108" s="99" t="n"/>
      <c r="H108" s="99" t="n"/>
      <c r="I108" s="99" t="n"/>
      <c r="J108" s="99" t="n"/>
      <c r="K108" s="99" t="n"/>
      <c r="L108" s="99" t="n"/>
      <c r="M108" s="99" t="n"/>
      <c r="N108" s="99" t="n"/>
      <c r="O108" s="99" t="n"/>
      <c r="P108" s="99" t="n"/>
      <c r="Q108" s="99" t="n"/>
      <c r="R108" s="99" t="n"/>
      <c r="S108" s="99" t="n"/>
      <c r="T108" s="99" t="n"/>
      <c r="U108" s="99" t="n"/>
      <c r="V108" s="99" t="n"/>
      <c r="W108" s="99" t="n"/>
      <c r="X108" s="99" t="n"/>
      <c r="Y108" s="99" t="n"/>
      <c r="Z108" s="99" t="n"/>
      <c r="AA108" s="99" t="n"/>
    </row>
    <row r="109" ht="15.75" customHeight="1" s="205">
      <c r="A109" s="99" t="n"/>
      <c r="B109" s="99" t="n"/>
      <c r="C109" s="99" t="n"/>
      <c r="D109" s="99" t="n"/>
      <c r="E109" s="99" t="n"/>
      <c r="F109" s="99" t="n"/>
      <c r="G109" s="99" t="n"/>
      <c r="H109" s="99" t="n"/>
      <c r="I109" s="99" t="n"/>
      <c r="J109" s="99" t="n"/>
      <c r="K109" s="99" t="n"/>
      <c r="L109" s="99" t="n"/>
      <c r="M109" s="99" t="n"/>
      <c r="N109" s="99" t="n"/>
      <c r="O109" s="99" t="n"/>
      <c r="P109" s="99" t="n"/>
      <c r="Q109" s="99" t="n"/>
      <c r="R109" s="99" t="n"/>
      <c r="S109" s="99" t="n"/>
      <c r="T109" s="99" t="n"/>
      <c r="U109" s="99" t="n"/>
      <c r="V109" s="99" t="n"/>
      <c r="W109" s="99" t="n"/>
      <c r="X109" s="99" t="n"/>
      <c r="Y109" s="99" t="n"/>
      <c r="Z109" s="99" t="n"/>
      <c r="AA109" s="99" t="n"/>
    </row>
    <row r="110" ht="15.75" customHeight="1" s="205">
      <c r="A110" s="99" t="n"/>
      <c r="B110" s="99" t="n"/>
      <c r="C110" s="99" t="n"/>
      <c r="D110" s="99" t="n"/>
      <c r="E110" s="99" t="n"/>
      <c r="F110" s="99" t="n"/>
      <c r="G110" s="99" t="n"/>
      <c r="H110" s="99" t="n"/>
      <c r="I110" s="99" t="n"/>
      <c r="J110" s="99" t="n"/>
      <c r="K110" s="99" t="n"/>
      <c r="L110" s="99" t="n"/>
      <c r="M110" s="99" t="n"/>
      <c r="N110" s="99" t="n"/>
      <c r="O110" s="99" t="n"/>
      <c r="P110" s="99" t="n"/>
      <c r="Q110" s="99" t="n"/>
      <c r="R110" s="99" t="n"/>
      <c r="S110" s="99" t="n"/>
      <c r="T110" s="99" t="n"/>
      <c r="U110" s="99" t="n"/>
      <c r="V110" s="99" t="n"/>
      <c r="W110" s="99" t="n"/>
      <c r="X110" s="99" t="n"/>
      <c r="Y110" s="99" t="n"/>
      <c r="Z110" s="99" t="n"/>
      <c r="AA110" s="99" t="n"/>
    </row>
    <row r="111" ht="15.75" customHeight="1" s="205">
      <c r="A111" s="99" t="n"/>
      <c r="B111" s="99" t="n"/>
      <c r="C111" s="99" t="n"/>
      <c r="D111" s="99" t="n"/>
      <c r="E111" s="99" t="n"/>
      <c r="F111" s="99" t="n"/>
      <c r="G111" s="99" t="n"/>
      <c r="H111" s="99" t="n"/>
      <c r="I111" s="99" t="n"/>
      <c r="J111" s="99" t="n"/>
      <c r="K111" s="99" t="n"/>
      <c r="L111" s="99" t="n"/>
      <c r="M111" s="99" t="n"/>
      <c r="N111" s="99" t="n"/>
      <c r="O111" s="99" t="n"/>
      <c r="P111" s="99" t="n"/>
      <c r="Q111" s="99" t="n"/>
      <c r="R111" s="99" t="n"/>
      <c r="S111" s="99" t="n"/>
      <c r="T111" s="99" t="n"/>
      <c r="U111" s="99" t="n"/>
      <c r="V111" s="99" t="n"/>
      <c r="W111" s="99" t="n"/>
      <c r="X111" s="99" t="n"/>
      <c r="Y111" s="99" t="n"/>
      <c r="Z111" s="99" t="n"/>
      <c r="AA111" s="99" t="n"/>
    </row>
    <row r="112" ht="15.75" customHeight="1" s="205">
      <c r="A112" s="99" t="n"/>
      <c r="B112" s="99" t="n"/>
      <c r="C112" s="99" t="n"/>
      <c r="D112" s="99" t="n"/>
      <c r="E112" s="99" t="n"/>
      <c r="F112" s="99" t="n"/>
      <c r="G112" s="99" t="n"/>
      <c r="H112" s="99" t="n"/>
      <c r="I112" s="99" t="n"/>
      <c r="J112" s="99" t="n"/>
      <c r="K112" s="99" t="n"/>
      <c r="L112" s="99" t="n"/>
      <c r="M112" s="99" t="n"/>
      <c r="N112" s="99" t="n"/>
      <c r="O112" s="99" t="n"/>
      <c r="P112" s="99" t="n"/>
      <c r="Q112" s="99" t="n"/>
      <c r="R112" s="99" t="n"/>
      <c r="S112" s="99" t="n"/>
      <c r="T112" s="99" t="n"/>
      <c r="U112" s="99" t="n"/>
      <c r="V112" s="99" t="n"/>
      <c r="W112" s="99" t="n"/>
      <c r="X112" s="99" t="n"/>
      <c r="Y112" s="99" t="n"/>
      <c r="Z112" s="99" t="n"/>
      <c r="AA112" s="99" t="n"/>
    </row>
    <row r="113" ht="15.75" customHeight="1" s="205">
      <c r="A113" s="99" t="n"/>
      <c r="B113" s="99" t="n"/>
      <c r="C113" s="99" t="n"/>
      <c r="D113" s="99" t="n"/>
      <c r="E113" s="99" t="n"/>
      <c r="F113" s="99" t="n"/>
      <c r="G113" s="99" t="n"/>
      <c r="H113" s="99" t="n"/>
      <c r="I113" s="99" t="n"/>
      <c r="J113" s="99" t="n"/>
      <c r="K113" s="99" t="n"/>
      <c r="L113" s="99" t="n"/>
      <c r="M113" s="99" t="n"/>
      <c r="N113" s="99" t="n"/>
      <c r="O113" s="99" t="n"/>
      <c r="P113" s="99" t="n"/>
      <c r="Q113" s="99" t="n"/>
      <c r="R113" s="99" t="n"/>
      <c r="S113" s="99" t="n"/>
      <c r="T113" s="99" t="n"/>
      <c r="U113" s="99" t="n"/>
      <c r="V113" s="99" t="n"/>
      <c r="W113" s="99" t="n"/>
      <c r="X113" s="99" t="n"/>
      <c r="Y113" s="99" t="n"/>
      <c r="Z113" s="99" t="n"/>
      <c r="AA113" s="99" t="n"/>
    </row>
    <row r="114" ht="15.75" customHeight="1" s="205">
      <c r="A114" s="99" t="n"/>
      <c r="B114" s="99" t="n"/>
      <c r="C114" s="99" t="n"/>
      <c r="D114" s="99" t="n"/>
      <c r="E114" s="99" t="n"/>
      <c r="F114" s="99" t="n"/>
      <c r="G114" s="99" t="n"/>
      <c r="H114" s="99" t="n"/>
      <c r="I114" s="99" t="n"/>
      <c r="J114" s="99" t="n"/>
      <c r="K114" s="99" t="n"/>
      <c r="L114" s="99" t="n"/>
      <c r="M114" s="99" t="n"/>
      <c r="N114" s="99" t="n"/>
      <c r="O114" s="99" t="n"/>
      <c r="P114" s="99" t="n"/>
      <c r="Q114" s="99" t="n"/>
      <c r="R114" s="99" t="n"/>
      <c r="S114" s="99" t="n"/>
      <c r="T114" s="99" t="n"/>
      <c r="U114" s="99" t="n"/>
      <c r="V114" s="99" t="n"/>
      <c r="W114" s="99" t="n"/>
      <c r="X114" s="99" t="n"/>
      <c r="Y114" s="99" t="n"/>
      <c r="Z114" s="99" t="n"/>
      <c r="AA114" s="99" t="n"/>
    </row>
    <row r="115" ht="15.75" customHeight="1" s="205">
      <c r="A115" s="99" t="n"/>
      <c r="B115" s="99" t="n"/>
      <c r="C115" s="99" t="n"/>
      <c r="D115" s="99" t="n"/>
      <c r="E115" s="99" t="n"/>
      <c r="F115" s="99" t="n"/>
      <c r="G115" s="99" t="n"/>
      <c r="H115" s="99" t="n"/>
      <c r="I115" s="99" t="n"/>
      <c r="J115" s="99" t="n"/>
      <c r="K115" s="99" t="n"/>
      <c r="L115" s="99" t="n"/>
      <c r="M115" s="99" t="n"/>
      <c r="N115" s="99" t="n"/>
      <c r="O115" s="99" t="n"/>
      <c r="P115" s="99" t="n"/>
      <c r="Q115" s="99" t="n"/>
      <c r="R115" s="99" t="n"/>
      <c r="S115" s="99" t="n"/>
      <c r="T115" s="99" t="n"/>
      <c r="U115" s="99" t="n"/>
      <c r="V115" s="99" t="n"/>
      <c r="W115" s="99" t="n"/>
      <c r="X115" s="99" t="n"/>
      <c r="Y115" s="99" t="n"/>
      <c r="Z115" s="99" t="n"/>
      <c r="AA115" s="99" t="n"/>
    </row>
    <row r="116" ht="15.75" customHeight="1" s="205">
      <c r="A116" s="99" t="n"/>
      <c r="B116" s="99" t="n"/>
      <c r="C116" s="99" t="n"/>
      <c r="D116" s="99" t="n"/>
      <c r="E116" s="99" t="n"/>
      <c r="F116" s="99" t="n"/>
      <c r="G116" s="99" t="n"/>
      <c r="H116" s="99" t="n"/>
      <c r="I116" s="99" t="n"/>
      <c r="J116" s="99" t="n"/>
      <c r="K116" s="99" t="n"/>
      <c r="L116" s="99" t="n"/>
      <c r="M116" s="99" t="n"/>
      <c r="N116" s="99" t="n"/>
      <c r="O116" s="99" t="n"/>
      <c r="P116" s="99" t="n"/>
      <c r="Q116" s="99" t="n"/>
      <c r="R116" s="99" t="n"/>
      <c r="S116" s="99" t="n"/>
      <c r="T116" s="99" t="n"/>
      <c r="U116" s="99" t="n"/>
      <c r="V116" s="99" t="n"/>
      <c r="W116" s="99" t="n"/>
      <c r="X116" s="99" t="n"/>
      <c r="Y116" s="99" t="n"/>
      <c r="Z116" s="99" t="n"/>
      <c r="AA116" s="99" t="n"/>
    </row>
    <row r="117" ht="15.75" customHeight="1" s="205">
      <c r="A117" s="99" t="n"/>
      <c r="B117" s="99" t="n"/>
      <c r="C117" s="99" t="n"/>
      <c r="D117" s="99" t="n"/>
      <c r="E117" s="99" t="n"/>
      <c r="F117" s="99" t="n"/>
      <c r="G117" s="99" t="n"/>
      <c r="H117" s="99" t="n"/>
      <c r="I117" s="99" t="n"/>
      <c r="J117" s="99" t="n"/>
      <c r="K117" s="99" t="n"/>
      <c r="L117" s="99" t="n"/>
      <c r="M117" s="99" t="n"/>
      <c r="N117" s="99" t="n"/>
      <c r="O117" s="99" t="n"/>
      <c r="P117" s="99" t="n"/>
      <c r="Q117" s="99" t="n"/>
      <c r="R117" s="99" t="n"/>
      <c r="S117" s="99" t="n"/>
      <c r="T117" s="99" t="n"/>
      <c r="U117" s="99" t="n"/>
      <c r="V117" s="99" t="n"/>
      <c r="W117" s="99" t="n"/>
      <c r="X117" s="99" t="n"/>
      <c r="Y117" s="99" t="n"/>
      <c r="Z117" s="99" t="n"/>
      <c r="AA117" s="99" t="n"/>
    </row>
    <row r="118" ht="15.75" customHeight="1" s="205">
      <c r="A118" s="99" t="n"/>
      <c r="B118" s="99" t="n"/>
      <c r="C118" s="99" t="n"/>
      <c r="D118" s="99" t="n"/>
      <c r="E118" s="99" t="n"/>
      <c r="F118" s="99" t="n"/>
      <c r="G118" s="99" t="n"/>
      <c r="H118" s="99" t="n"/>
      <c r="I118" s="99" t="n"/>
      <c r="J118" s="99" t="n"/>
      <c r="K118" s="99" t="n"/>
      <c r="L118" s="99" t="n"/>
      <c r="M118" s="99" t="n"/>
      <c r="N118" s="99" t="n"/>
      <c r="O118" s="99" t="n"/>
      <c r="P118" s="99" t="n"/>
      <c r="Q118" s="99" t="n"/>
      <c r="R118" s="99" t="n"/>
      <c r="S118" s="99" t="n"/>
      <c r="T118" s="99" t="n"/>
      <c r="U118" s="99" t="n"/>
      <c r="V118" s="99" t="n"/>
      <c r="W118" s="99" t="n"/>
      <c r="X118" s="99" t="n"/>
      <c r="Y118" s="99" t="n"/>
      <c r="Z118" s="99" t="n"/>
      <c r="AA118" s="99" t="n"/>
    </row>
    <row r="119" ht="15.75" customHeight="1" s="205">
      <c r="A119" s="99" t="n"/>
      <c r="B119" s="99" t="n"/>
      <c r="C119" s="99" t="n"/>
      <c r="D119" s="99" t="n"/>
      <c r="E119" s="99" t="n"/>
      <c r="F119" s="99" t="n"/>
      <c r="G119" s="99" t="n"/>
      <c r="H119" s="99" t="n"/>
      <c r="I119" s="99" t="n"/>
      <c r="J119" s="99" t="n"/>
      <c r="K119" s="99" t="n"/>
      <c r="L119" s="99" t="n"/>
      <c r="M119" s="99" t="n"/>
      <c r="N119" s="99" t="n"/>
      <c r="O119" s="99" t="n"/>
      <c r="P119" s="99" t="n"/>
      <c r="Q119" s="99" t="n"/>
      <c r="R119" s="99" t="n"/>
      <c r="S119" s="99" t="n"/>
      <c r="T119" s="99" t="n"/>
      <c r="U119" s="99" t="n"/>
      <c r="V119" s="99" t="n"/>
      <c r="W119" s="99" t="n"/>
      <c r="X119" s="99" t="n"/>
      <c r="Y119" s="99" t="n"/>
      <c r="Z119" s="99" t="n"/>
      <c r="AA119" s="99" t="n"/>
    </row>
    <row r="120" ht="15.75" customHeight="1" s="205">
      <c r="A120" s="99" t="n"/>
      <c r="B120" s="99" t="n"/>
      <c r="C120" s="99" t="n"/>
      <c r="D120" s="99" t="n"/>
      <c r="E120" s="99" t="n"/>
      <c r="F120" s="99" t="n"/>
      <c r="G120" s="99" t="n"/>
      <c r="H120" s="99" t="n"/>
      <c r="I120" s="99" t="n"/>
      <c r="J120" s="99" t="n"/>
      <c r="K120" s="99" t="n"/>
      <c r="L120" s="99" t="n"/>
      <c r="M120" s="99" t="n"/>
      <c r="N120" s="99" t="n"/>
      <c r="O120" s="99" t="n"/>
      <c r="P120" s="99" t="n"/>
      <c r="Q120" s="99" t="n"/>
      <c r="R120" s="99" t="n"/>
      <c r="S120" s="99" t="n"/>
      <c r="T120" s="99" t="n"/>
      <c r="U120" s="99" t="n"/>
      <c r="V120" s="99" t="n"/>
      <c r="W120" s="99" t="n"/>
      <c r="X120" s="99" t="n"/>
      <c r="Y120" s="99" t="n"/>
      <c r="Z120" s="99" t="n"/>
      <c r="AA120" s="99" t="n"/>
    </row>
    <row r="121" ht="15.75" customHeight="1" s="205">
      <c r="A121" s="99" t="n"/>
      <c r="B121" s="99" t="n"/>
      <c r="C121" s="99" t="n"/>
      <c r="D121" s="99" t="n"/>
      <c r="E121" s="99" t="n"/>
      <c r="F121" s="99" t="n"/>
      <c r="G121" s="99" t="n"/>
      <c r="H121" s="99" t="n"/>
      <c r="I121" s="99" t="n"/>
      <c r="J121" s="99" t="n"/>
      <c r="K121" s="99" t="n"/>
      <c r="L121" s="99" t="n"/>
      <c r="M121" s="99" t="n"/>
      <c r="N121" s="99" t="n"/>
      <c r="O121" s="99" t="n"/>
      <c r="P121" s="99" t="n"/>
      <c r="Q121" s="99" t="n"/>
      <c r="R121" s="99" t="n"/>
      <c r="S121" s="99" t="n"/>
      <c r="T121" s="99" t="n"/>
      <c r="U121" s="99" t="n"/>
      <c r="V121" s="99" t="n"/>
      <c r="W121" s="99" t="n"/>
      <c r="X121" s="99" t="n"/>
      <c r="Y121" s="99" t="n"/>
      <c r="Z121" s="99" t="n"/>
      <c r="AA121" s="99" t="n"/>
    </row>
    <row r="122" ht="15.75" customHeight="1" s="205">
      <c r="A122" s="99" t="n"/>
      <c r="B122" s="99" t="n"/>
      <c r="C122" s="99" t="n"/>
      <c r="D122" s="99" t="n"/>
      <c r="E122" s="99" t="n"/>
      <c r="F122" s="99" t="n"/>
      <c r="G122" s="99" t="n"/>
      <c r="H122" s="99" t="n"/>
      <c r="I122" s="99" t="n"/>
      <c r="J122" s="99" t="n"/>
      <c r="K122" s="99" t="n"/>
      <c r="L122" s="99" t="n"/>
      <c r="M122" s="99" t="n"/>
      <c r="N122" s="99" t="n"/>
      <c r="O122" s="99" t="n"/>
      <c r="P122" s="99" t="n"/>
      <c r="Q122" s="99" t="n"/>
      <c r="R122" s="99" t="n"/>
      <c r="S122" s="99" t="n"/>
      <c r="T122" s="99" t="n"/>
      <c r="U122" s="99" t="n"/>
      <c r="V122" s="99" t="n"/>
      <c r="W122" s="99" t="n"/>
      <c r="X122" s="99" t="n"/>
      <c r="Y122" s="99" t="n"/>
      <c r="Z122" s="99" t="n"/>
      <c r="AA122" s="99" t="n"/>
    </row>
    <row r="123" ht="15.75" customHeight="1" s="205">
      <c r="A123" s="99" t="n"/>
      <c r="B123" s="99" t="n"/>
      <c r="C123" s="99" t="n"/>
      <c r="D123" s="99" t="n"/>
      <c r="E123" s="99" t="n"/>
      <c r="F123" s="99" t="n"/>
      <c r="G123" s="99" t="n"/>
      <c r="H123" s="99" t="n"/>
      <c r="I123" s="99" t="n"/>
      <c r="J123" s="99" t="n"/>
      <c r="K123" s="99" t="n"/>
      <c r="L123" s="99" t="n"/>
      <c r="M123" s="99" t="n"/>
      <c r="N123" s="99" t="n"/>
      <c r="O123" s="99" t="n"/>
      <c r="P123" s="99" t="n"/>
      <c r="Q123" s="99" t="n"/>
      <c r="R123" s="99" t="n"/>
      <c r="S123" s="99" t="n"/>
      <c r="T123" s="99" t="n"/>
      <c r="U123" s="99" t="n"/>
      <c r="V123" s="99" t="n"/>
      <c r="W123" s="99" t="n"/>
      <c r="X123" s="99" t="n"/>
      <c r="Y123" s="99" t="n"/>
      <c r="Z123" s="99" t="n"/>
      <c r="AA123" s="99" t="n"/>
    </row>
    <row r="124" ht="15.75" customHeight="1" s="205">
      <c r="A124" s="99" t="n"/>
      <c r="B124" s="99" t="n"/>
      <c r="C124" s="99" t="n"/>
      <c r="D124" s="99" t="n"/>
      <c r="E124" s="99" t="n"/>
      <c r="F124" s="99" t="n"/>
      <c r="G124" s="99" t="n"/>
      <c r="H124" s="99" t="n"/>
      <c r="I124" s="99" t="n"/>
      <c r="J124" s="99" t="n"/>
      <c r="K124" s="99" t="n"/>
      <c r="L124" s="99" t="n"/>
      <c r="M124" s="99" t="n"/>
      <c r="N124" s="99" t="n"/>
      <c r="O124" s="99" t="n"/>
      <c r="P124" s="99" t="n"/>
      <c r="Q124" s="99" t="n"/>
      <c r="R124" s="99" t="n"/>
      <c r="S124" s="99" t="n"/>
      <c r="T124" s="99" t="n"/>
      <c r="U124" s="99" t="n"/>
      <c r="V124" s="99" t="n"/>
      <c r="W124" s="99" t="n"/>
      <c r="X124" s="99" t="n"/>
      <c r="Y124" s="99" t="n"/>
      <c r="Z124" s="99" t="n"/>
      <c r="AA124" s="99" t="n"/>
    </row>
    <row r="125" ht="15.75" customHeight="1" s="205">
      <c r="A125" s="99" t="n"/>
      <c r="B125" s="99" t="n"/>
      <c r="C125" s="99" t="n"/>
      <c r="D125" s="99" t="n"/>
      <c r="E125" s="99" t="n"/>
      <c r="F125" s="99" t="n"/>
      <c r="G125" s="99" t="n"/>
      <c r="H125" s="99" t="n"/>
      <c r="I125" s="99" t="n"/>
      <c r="J125" s="99" t="n"/>
      <c r="K125" s="99" t="n"/>
      <c r="L125" s="99" t="n"/>
      <c r="M125" s="99" t="n"/>
      <c r="N125" s="99" t="n"/>
      <c r="O125" s="99" t="n"/>
      <c r="P125" s="99" t="n"/>
      <c r="Q125" s="99" t="n"/>
      <c r="R125" s="99" t="n"/>
      <c r="S125" s="99" t="n"/>
      <c r="T125" s="99" t="n"/>
      <c r="U125" s="99" t="n"/>
      <c r="V125" s="99" t="n"/>
      <c r="W125" s="99" t="n"/>
      <c r="X125" s="99" t="n"/>
      <c r="Y125" s="99" t="n"/>
      <c r="Z125" s="99" t="n"/>
      <c r="AA125" s="99" t="n"/>
    </row>
    <row r="126" ht="15.75" customHeight="1" s="205">
      <c r="A126" s="99" t="n"/>
      <c r="B126" s="99" t="n"/>
      <c r="C126" s="99" t="n"/>
      <c r="D126" s="99" t="n"/>
      <c r="E126" s="99" t="n"/>
      <c r="F126" s="99" t="n"/>
      <c r="G126" s="99" t="n"/>
      <c r="H126" s="99" t="n"/>
      <c r="I126" s="99" t="n"/>
      <c r="J126" s="99" t="n"/>
      <c r="K126" s="99" t="n"/>
      <c r="L126" s="99" t="n"/>
      <c r="M126" s="99" t="n"/>
      <c r="N126" s="99" t="n"/>
      <c r="O126" s="99" t="n"/>
      <c r="P126" s="99" t="n"/>
      <c r="Q126" s="99" t="n"/>
      <c r="R126" s="99" t="n"/>
      <c r="S126" s="99" t="n"/>
      <c r="T126" s="99" t="n"/>
      <c r="U126" s="99" t="n"/>
      <c r="V126" s="99" t="n"/>
      <c r="W126" s="99" t="n"/>
      <c r="X126" s="99" t="n"/>
      <c r="Y126" s="99" t="n"/>
      <c r="Z126" s="99" t="n"/>
      <c r="AA126" s="99" t="n"/>
    </row>
    <row r="127" ht="15.75" customHeight="1" s="205">
      <c r="A127" s="99" t="n"/>
      <c r="B127" s="99" t="n"/>
      <c r="C127" s="99" t="n"/>
      <c r="D127" s="99" t="n"/>
      <c r="E127" s="99" t="n"/>
      <c r="F127" s="99" t="n"/>
      <c r="G127" s="99" t="n"/>
      <c r="H127" s="99" t="n"/>
      <c r="I127" s="99" t="n"/>
      <c r="J127" s="99" t="n"/>
      <c r="K127" s="99" t="n"/>
      <c r="L127" s="99" t="n"/>
      <c r="M127" s="99" t="n"/>
      <c r="N127" s="99" t="n"/>
      <c r="O127" s="99" t="n"/>
      <c r="P127" s="99" t="n"/>
      <c r="Q127" s="99" t="n"/>
      <c r="R127" s="99" t="n"/>
      <c r="S127" s="99" t="n"/>
      <c r="T127" s="99" t="n"/>
      <c r="U127" s="99" t="n"/>
      <c r="V127" s="99" t="n"/>
      <c r="W127" s="99" t="n"/>
      <c r="X127" s="99" t="n"/>
      <c r="Y127" s="99" t="n"/>
      <c r="Z127" s="99" t="n"/>
      <c r="AA127" s="99" t="n"/>
    </row>
    <row r="128" ht="15.75" customHeight="1" s="205">
      <c r="A128" s="99" t="n"/>
      <c r="B128" s="99" t="n"/>
      <c r="C128" s="99" t="n"/>
      <c r="D128" s="99" t="n"/>
      <c r="E128" s="99" t="n"/>
      <c r="F128" s="99" t="n"/>
      <c r="G128" s="99" t="n"/>
      <c r="H128" s="99" t="n"/>
      <c r="I128" s="99" t="n"/>
      <c r="J128" s="99" t="n"/>
      <c r="K128" s="99" t="n"/>
      <c r="L128" s="99" t="n"/>
      <c r="M128" s="99" t="n"/>
      <c r="N128" s="99" t="n"/>
      <c r="O128" s="99" t="n"/>
      <c r="P128" s="99" t="n"/>
      <c r="Q128" s="99" t="n"/>
      <c r="R128" s="99" t="n"/>
      <c r="S128" s="99" t="n"/>
      <c r="T128" s="99" t="n"/>
      <c r="U128" s="99" t="n"/>
      <c r="V128" s="99" t="n"/>
      <c r="W128" s="99" t="n"/>
      <c r="X128" s="99" t="n"/>
      <c r="Y128" s="99" t="n"/>
      <c r="Z128" s="99" t="n"/>
      <c r="AA128" s="99" t="n"/>
    </row>
    <row r="129" ht="15.75" customHeight="1" s="205">
      <c r="A129" s="99" t="n"/>
      <c r="B129" s="99" t="n"/>
      <c r="C129" s="99" t="n"/>
      <c r="D129" s="99" t="n"/>
      <c r="E129" s="99" t="n"/>
      <c r="F129" s="99" t="n"/>
      <c r="G129" s="99" t="n"/>
      <c r="H129" s="99" t="n"/>
      <c r="I129" s="99" t="n"/>
      <c r="J129" s="99" t="n"/>
      <c r="K129" s="99" t="n"/>
      <c r="L129" s="99" t="n"/>
      <c r="M129" s="99" t="n"/>
      <c r="N129" s="99" t="n"/>
      <c r="O129" s="99" t="n"/>
      <c r="P129" s="99" t="n"/>
      <c r="Q129" s="99" t="n"/>
      <c r="R129" s="99" t="n"/>
      <c r="S129" s="99" t="n"/>
      <c r="T129" s="99" t="n"/>
      <c r="U129" s="99" t="n"/>
      <c r="V129" s="99" t="n"/>
      <c r="W129" s="99" t="n"/>
      <c r="X129" s="99" t="n"/>
      <c r="Y129" s="99" t="n"/>
      <c r="Z129" s="99" t="n"/>
      <c r="AA129" s="99" t="n"/>
    </row>
    <row r="130" ht="15.75" customHeight="1" s="205">
      <c r="A130" s="99" t="n"/>
      <c r="B130" s="99" t="n"/>
      <c r="C130" s="99" t="n"/>
      <c r="D130" s="99" t="n"/>
      <c r="E130" s="99" t="n"/>
      <c r="F130" s="99" t="n"/>
      <c r="G130" s="99" t="n"/>
      <c r="H130" s="99" t="n"/>
      <c r="I130" s="99" t="n"/>
      <c r="J130" s="99" t="n"/>
      <c r="K130" s="99" t="n"/>
      <c r="L130" s="99" t="n"/>
      <c r="M130" s="99" t="n"/>
      <c r="N130" s="99" t="n"/>
      <c r="O130" s="99" t="n"/>
      <c r="P130" s="99" t="n"/>
      <c r="Q130" s="99" t="n"/>
      <c r="R130" s="99" t="n"/>
      <c r="S130" s="99" t="n"/>
      <c r="T130" s="99" t="n"/>
      <c r="U130" s="99" t="n"/>
      <c r="V130" s="99" t="n"/>
      <c r="W130" s="99" t="n"/>
      <c r="X130" s="99" t="n"/>
      <c r="Y130" s="99" t="n"/>
      <c r="Z130" s="99" t="n"/>
      <c r="AA130" s="99" t="n"/>
    </row>
    <row r="131" ht="15.75" customHeight="1" s="205">
      <c r="A131" s="99" t="n"/>
      <c r="B131" s="99" t="n"/>
      <c r="C131" s="99" t="n"/>
      <c r="D131" s="99" t="n"/>
      <c r="E131" s="99" t="n"/>
      <c r="F131" s="99" t="n"/>
      <c r="G131" s="99" t="n"/>
      <c r="H131" s="99" t="n"/>
      <c r="I131" s="99" t="n"/>
      <c r="J131" s="99" t="n"/>
      <c r="K131" s="99" t="n"/>
      <c r="L131" s="99" t="n"/>
      <c r="M131" s="99" t="n"/>
      <c r="N131" s="99" t="n"/>
      <c r="O131" s="99" t="n"/>
      <c r="P131" s="99" t="n"/>
      <c r="Q131" s="99" t="n"/>
      <c r="R131" s="99" t="n"/>
      <c r="S131" s="99" t="n"/>
      <c r="T131" s="99" t="n"/>
      <c r="U131" s="99" t="n"/>
      <c r="V131" s="99" t="n"/>
      <c r="W131" s="99" t="n"/>
      <c r="X131" s="99" t="n"/>
      <c r="Y131" s="99" t="n"/>
      <c r="Z131" s="99" t="n"/>
      <c r="AA131" s="99" t="n"/>
    </row>
    <row r="132" ht="15.75" customHeight="1" s="205">
      <c r="A132" s="99" t="n"/>
      <c r="B132" s="99" t="n"/>
      <c r="C132" s="99" t="n"/>
      <c r="D132" s="99" t="n"/>
      <c r="E132" s="99" t="n"/>
      <c r="F132" s="99" t="n"/>
      <c r="G132" s="99" t="n"/>
      <c r="H132" s="99" t="n"/>
      <c r="I132" s="99" t="n"/>
      <c r="J132" s="99" t="n"/>
      <c r="K132" s="99" t="n"/>
      <c r="L132" s="99" t="n"/>
      <c r="M132" s="99" t="n"/>
      <c r="N132" s="99" t="n"/>
      <c r="O132" s="99" t="n"/>
      <c r="P132" s="99" t="n"/>
      <c r="Q132" s="99" t="n"/>
      <c r="R132" s="99" t="n"/>
      <c r="S132" s="99" t="n"/>
      <c r="T132" s="99" t="n"/>
      <c r="U132" s="99" t="n"/>
      <c r="V132" s="99" t="n"/>
      <c r="W132" s="99" t="n"/>
      <c r="X132" s="99" t="n"/>
      <c r="Y132" s="99" t="n"/>
      <c r="Z132" s="99" t="n"/>
      <c r="AA132" s="99" t="n"/>
    </row>
    <row r="133" ht="15.75" customHeight="1" s="205">
      <c r="A133" s="99" t="n"/>
      <c r="B133" s="99" t="n"/>
      <c r="C133" s="99" t="n"/>
      <c r="D133" s="99" t="n"/>
      <c r="E133" s="99" t="n"/>
      <c r="F133" s="99" t="n"/>
      <c r="G133" s="99" t="n"/>
      <c r="H133" s="99" t="n"/>
      <c r="I133" s="99" t="n"/>
      <c r="J133" s="99" t="n"/>
      <c r="K133" s="99" t="n"/>
      <c r="L133" s="99" t="n"/>
      <c r="M133" s="99" t="n"/>
      <c r="N133" s="99" t="n"/>
      <c r="O133" s="99" t="n"/>
      <c r="P133" s="99" t="n"/>
      <c r="Q133" s="99" t="n"/>
      <c r="R133" s="99" t="n"/>
      <c r="S133" s="99" t="n"/>
      <c r="T133" s="99" t="n"/>
      <c r="U133" s="99" t="n"/>
      <c r="V133" s="99" t="n"/>
      <c r="W133" s="99" t="n"/>
      <c r="X133" s="99" t="n"/>
      <c r="Y133" s="99" t="n"/>
      <c r="Z133" s="99" t="n"/>
      <c r="AA133" s="99" t="n"/>
    </row>
    <row r="134" ht="15.75" customHeight="1" s="205">
      <c r="A134" s="99" t="n"/>
      <c r="B134" s="99" t="n"/>
      <c r="C134" s="99" t="n"/>
      <c r="D134" s="99" t="n"/>
      <c r="E134" s="99" t="n"/>
      <c r="F134" s="99" t="n"/>
      <c r="G134" s="99" t="n"/>
      <c r="H134" s="99" t="n"/>
      <c r="I134" s="99" t="n"/>
      <c r="J134" s="99" t="n"/>
      <c r="K134" s="99" t="n"/>
      <c r="L134" s="99" t="n"/>
      <c r="M134" s="99" t="n"/>
      <c r="N134" s="99" t="n"/>
      <c r="O134" s="99" t="n"/>
      <c r="P134" s="99" t="n"/>
      <c r="Q134" s="99" t="n"/>
      <c r="R134" s="99" t="n"/>
      <c r="S134" s="99" t="n"/>
      <c r="T134" s="99" t="n"/>
      <c r="U134" s="99" t="n"/>
      <c r="V134" s="99" t="n"/>
      <c r="W134" s="99" t="n"/>
      <c r="X134" s="99" t="n"/>
      <c r="Y134" s="99" t="n"/>
      <c r="Z134" s="99" t="n"/>
      <c r="AA134" s="99" t="n"/>
    </row>
    <row r="135" ht="15.75" customHeight="1" s="205">
      <c r="A135" s="99" t="n"/>
      <c r="B135" s="99" t="n"/>
      <c r="C135" s="99" t="n"/>
      <c r="D135" s="99" t="n"/>
      <c r="E135" s="99" t="n"/>
      <c r="F135" s="99" t="n"/>
      <c r="G135" s="99" t="n"/>
      <c r="H135" s="99" t="n"/>
      <c r="I135" s="99" t="n"/>
      <c r="J135" s="99" t="n"/>
      <c r="K135" s="99" t="n"/>
      <c r="L135" s="99" t="n"/>
      <c r="M135" s="99" t="n"/>
      <c r="N135" s="99" t="n"/>
      <c r="O135" s="99" t="n"/>
      <c r="P135" s="99" t="n"/>
      <c r="Q135" s="99" t="n"/>
      <c r="R135" s="99" t="n"/>
      <c r="S135" s="99" t="n"/>
      <c r="T135" s="99" t="n"/>
      <c r="U135" s="99" t="n"/>
      <c r="V135" s="99" t="n"/>
      <c r="W135" s="99" t="n"/>
      <c r="X135" s="99" t="n"/>
      <c r="Y135" s="99" t="n"/>
      <c r="Z135" s="99" t="n"/>
      <c r="AA135" s="99" t="n"/>
    </row>
    <row r="136" ht="15.75" customHeight="1" s="205">
      <c r="A136" s="99" t="n"/>
      <c r="B136" s="99" t="n"/>
      <c r="C136" s="99" t="n"/>
      <c r="D136" s="99" t="n"/>
      <c r="E136" s="99" t="n"/>
      <c r="F136" s="99" t="n"/>
      <c r="G136" s="99" t="n"/>
      <c r="H136" s="99" t="n"/>
      <c r="I136" s="99" t="n"/>
      <c r="J136" s="99" t="n"/>
      <c r="K136" s="99" t="n"/>
      <c r="L136" s="99" t="n"/>
      <c r="M136" s="99" t="n"/>
      <c r="N136" s="99" t="n"/>
      <c r="O136" s="99" t="n"/>
      <c r="P136" s="99" t="n"/>
      <c r="Q136" s="99" t="n"/>
      <c r="R136" s="99" t="n"/>
      <c r="S136" s="99" t="n"/>
      <c r="T136" s="99" t="n"/>
      <c r="U136" s="99" t="n"/>
      <c r="V136" s="99" t="n"/>
      <c r="W136" s="99" t="n"/>
      <c r="X136" s="99" t="n"/>
      <c r="Y136" s="99" t="n"/>
      <c r="Z136" s="99" t="n"/>
      <c r="AA136" s="99" t="n"/>
    </row>
    <row r="137" ht="15.75" customHeight="1" s="205">
      <c r="A137" s="99" t="n"/>
      <c r="B137" s="99" t="n"/>
      <c r="C137" s="99" t="n"/>
      <c r="D137" s="99" t="n"/>
      <c r="E137" s="99" t="n"/>
      <c r="F137" s="99" t="n"/>
      <c r="G137" s="99" t="n"/>
      <c r="H137" s="99" t="n"/>
      <c r="I137" s="99" t="n"/>
      <c r="J137" s="99" t="n"/>
      <c r="K137" s="99" t="n"/>
      <c r="L137" s="99" t="n"/>
      <c r="M137" s="99" t="n"/>
      <c r="N137" s="99" t="n"/>
      <c r="O137" s="99" t="n"/>
      <c r="P137" s="99" t="n"/>
      <c r="Q137" s="99" t="n"/>
      <c r="R137" s="99" t="n"/>
      <c r="S137" s="99" t="n"/>
      <c r="T137" s="99" t="n"/>
      <c r="U137" s="99" t="n"/>
      <c r="V137" s="99" t="n"/>
      <c r="W137" s="99" t="n"/>
      <c r="X137" s="99" t="n"/>
      <c r="Y137" s="99" t="n"/>
      <c r="Z137" s="99" t="n"/>
      <c r="AA137" s="99" t="n"/>
    </row>
    <row r="138" ht="15.75" customHeight="1" s="205">
      <c r="A138" s="99" t="n"/>
      <c r="B138" s="99" t="n"/>
      <c r="C138" s="99" t="n"/>
      <c r="D138" s="99" t="n"/>
      <c r="E138" s="99" t="n"/>
      <c r="F138" s="99" t="n"/>
      <c r="G138" s="99" t="n"/>
      <c r="H138" s="99" t="n"/>
      <c r="I138" s="99" t="n"/>
      <c r="J138" s="99" t="n"/>
      <c r="K138" s="99" t="n"/>
      <c r="L138" s="99" t="n"/>
      <c r="M138" s="99" t="n"/>
      <c r="N138" s="99" t="n"/>
      <c r="O138" s="99" t="n"/>
      <c r="P138" s="99" t="n"/>
      <c r="Q138" s="99" t="n"/>
      <c r="R138" s="99" t="n"/>
      <c r="S138" s="99" t="n"/>
      <c r="T138" s="99" t="n"/>
      <c r="U138" s="99" t="n"/>
      <c r="V138" s="99" t="n"/>
      <c r="W138" s="99" t="n"/>
      <c r="X138" s="99" t="n"/>
      <c r="Y138" s="99" t="n"/>
      <c r="Z138" s="99" t="n"/>
      <c r="AA138" s="99" t="n"/>
    </row>
    <row r="139" ht="15.75" customHeight="1" s="205">
      <c r="A139" s="99" t="n"/>
      <c r="B139" s="99" t="n"/>
      <c r="C139" s="99" t="n"/>
      <c r="D139" s="99" t="n"/>
      <c r="E139" s="99" t="n"/>
      <c r="F139" s="99" t="n"/>
      <c r="G139" s="99" t="n"/>
      <c r="H139" s="99" t="n"/>
      <c r="I139" s="99" t="n"/>
      <c r="J139" s="99" t="n"/>
      <c r="K139" s="99" t="n"/>
      <c r="L139" s="99" t="n"/>
      <c r="M139" s="99" t="n"/>
      <c r="N139" s="99" t="n"/>
      <c r="O139" s="99" t="n"/>
      <c r="P139" s="99" t="n"/>
      <c r="Q139" s="99" t="n"/>
      <c r="R139" s="99" t="n"/>
      <c r="S139" s="99" t="n"/>
      <c r="T139" s="99" t="n"/>
      <c r="U139" s="99" t="n"/>
      <c r="V139" s="99" t="n"/>
      <c r="W139" s="99" t="n"/>
      <c r="X139" s="99" t="n"/>
      <c r="Y139" s="99" t="n"/>
      <c r="Z139" s="99" t="n"/>
      <c r="AA139" s="99" t="n"/>
    </row>
    <row r="140" ht="15.75" customHeight="1" s="205">
      <c r="A140" s="99" t="n"/>
      <c r="B140" s="99" t="n"/>
      <c r="C140" s="99" t="n"/>
      <c r="D140" s="99" t="n"/>
      <c r="E140" s="99" t="n"/>
      <c r="F140" s="99" t="n"/>
      <c r="G140" s="99" t="n"/>
      <c r="H140" s="99" t="n"/>
      <c r="I140" s="99" t="n"/>
      <c r="J140" s="99" t="n"/>
      <c r="K140" s="99" t="n"/>
      <c r="L140" s="99" t="n"/>
      <c r="M140" s="99" t="n"/>
      <c r="N140" s="99" t="n"/>
      <c r="O140" s="99" t="n"/>
      <c r="P140" s="99" t="n"/>
      <c r="Q140" s="99" t="n"/>
      <c r="R140" s="99" t="n"/>
      <c r="S140" s="99" t="n"/>
      <c r="T140" s="99" t="n"/>
      <c r="U140" s="99" t="n"/>
      <c r="V140" s="99" t="n"/>
      <c r="W140" s="99" t="n"/>
      <c r="X140" s="99" t="n"/>
      <c r="Y140" s="99" t="n"/>
      <c r="Z140" s="99" t="n"/>
      <c r="AA140" s="99" t="n"/>
    </row>
    <row r="141" ht="15.75" customHeight="1" s="205">
      <c r="A141" s="99" t="n"/>
      <c r="B141" s="99" t="n"/>
      <c r="C141" s="99" t="n"/>
      <c r="D141" s="99" t="n"/>
      <c r="E141" s="99" t="n"/>
      <c r="F141" s="99" t="n"/>
      <c r="G141" s="99" t="n"/>
      <c r="H141" s="99" t="n"/>
      <c r="I141" s="99" t="n"/>
      <c r="J141" s="99" t="n"/>
      <c r="K141" s="99" t="n"/>
      <c r="L141" s="99" t="n"/>
      <c r="M141" s="99" t="n"/>
      <c r="N141" s="99" t="n"/>
      <c r="O141" s="99" t="n"/>
      <c r="P141" s="99" t="n"/>
      <c r="Q141" s="99" t="n"/>
      <c r="R141" s="99" t="n"/>
      <c r="S141" s="99" t="n"/>
      <c r="T141" s="99" t="n"/>
      <c r="U141" s="99" t="n"/>
      <c r="V141" s="99" t="n"/>
      <c r="W141" s="99" t="n"/>
      <c r="X141" s="99" t="n"/>
      <c r="Y141" s="99" t="n"/>
      <c r="Z141" s="99" t="n"/>
      <c r="AA141" s="99" t="n"/>
    </row>
    <row r="142" ht="15.75" customHeight="1" s="205">
      <c r="A142" s="99" t="n"/>
      <c r="B142" s="99" t="n"/>
      <c r="C142" s="99" t="n"/>
      <c r="D142" s="99" t="n"/>
      <c r="E142" s="99" t="n"/>
      <c r="F142" s="99" t="n"/>
      <c r="G142" s="99" t="n"/>
      <c r="H142" s="99" t="n"/>
      <c r="I142" s="99" t="n"/>
      <c r="J142" s="99" t="n"/>
      <c r="K142" s="99" t="n"/>
      <c r="L142" s="99" t="n"/>
      <c r="M142" s="99" t="n"/>
      <c r="N142" s="99" t="n"/>
      <c r="O142" s="99" t="n"/>
      <c r="P142" s="99" t="n"/>
      <c r="Q142" s="99" t="n"/>
      <c r="R142" s="99" t="n"/>
      <c r="S142" s="99" t="n"/>
      <c r="T142" s="99" t="n"/>
      <c r="U142" s="99" t="n"/>
      <c r="V142" s="99" t="n"/>
      <c r="W142" s="99" t="n"/>
      <c r="X142" s="99" t="n"/>
      <c r="Y142" s="99" t="n"/>
      <c r="Z142" s="99" t="n"/>
      <c r="AA142" s="99" t="n"/>
    </row>
    <row r="143" ht="15.75" customHeight="1" s="205">
      <c r="A143" s="99" t="n"/>
      <c r="B143" s="99" t="n"/>
      <c r="C143" s="99" t="n"/>
      <c r="D143" s="99" t="n"/>
      <c r="E143" s="99" t="n"/>
      <c r="F143" s="99" t="n"/>
      <c r="G143" s="99" t="n"/>
      <c r="H143" s="99" t="n"/>
      <c r="I143" s="99" t="n"/>
      <c r="J143" s="99" t="n"/>
      <c r="K143" s="99" t="n"/>
      <c r="L143" s="99" t="n"/>
      <c r="M143" s="99" t="n"/>
      <c r="N143" s="99" t="n"/>
      <c r="O143" s="99" t="n"/>
      <c r="P143" s="99" t="n"/>
      <c r="Q143" s="99" t="n"/>
      <c r="R143" s="99" t="n"/>
      <c r="S143" s="99" t="n"/>
      <c r="T143" s="99" t="n"/>
      <c r="U143" s="99" t="n"/>
      <c r="V143" s="99" t="n"/>
      <c r="W143" s="99" t="n"/>
      <c r="X143" s="99" t="n"/>
      <c r="Y143" s="99" t="n"/>
      <c r="Z143" s="99" t="n"/>
      <c r="AA143" s="99" t="n"/>
    </row>
    <row r="144" ht="15.75" customHeight="1" s="205">
      <c r="A144" s="99" t="n"/>
      <c r="B144" s="99" t="n"/>
      <c r="C144" s="99" t="n"/>
      <c r="D144" s="99" t="n"/>
      <c r="E144" s="99" t="n"/>
      <c r="F144" s="99" t="n"/>
      <c r="G144" s="99" t="n"/>
      <c r="H144" s="99" t="n"/>
      <c r="I144" s="99" t="n"/>
      <c r="J144" s="99" t="n"/>
      <c r="K144" s="99" t="n"/>
      <c r="L144" s="99" t="n"/>
      <c r="M144" s="99" t="n"/>
      <c r="N144" s="99" t="n"/>
      <c r="O144" s="99" t="n"/>
      <c r="P144" s="99" t="n"/>
      <c r="Q144" s="99" t="n"/>
      <c r="R144" s="99" t="n"/>
      <c r="S144" s="99" t="n"/>
      <c r="T144" s="99" t="n"/>
      <c r="U144" s="99" t="n"/>
      <c r="V144" s="99" t="n"/>
      <c r="W144" s="99" t="n"/>
      <c r="X144" s="99" t="n"/>
      <c r="Y144" s="99" t="n"/>
      <c r="Z144" s="99" t="n"/>
      <c r="AA144" s="99" t="n"/>
    </row>
    <row r="145" ht="15.75" customHeight="1" s="205">
      <c r="A145" s="99" t="n"/>
      <c r="B145" s="99" t="n"/>
      <c r="C145" s="99" t="n"/>
      <c r="D145" s="99" t="n"/>
      <c r="E145" s="99" t="n"/>
      <c r="F145" s="99" t="n"/>
      <c r="G145" s="99" t="n"/>
      <c r="H145" s="99" t="n"/>
      <c r="I145" s="99" t="n"/>
      <c r="J145" s="99" t="n"/>
      <c r="K145" s="99" t="n"/>
      <c r="L145" s="99" t="n"/>
      <c r="M145" s="99" t="n"/>
      <c r="N145" s="99" t="n"/>
      <c r="O145" s="99" t="n"/>
      <c r="P145" s="99" t="n"/>
      <c r="Q145" s="99" t="n"/>
      <c r="R145" s="99" t="n"/>
      <c r="S145" s="99" t="n"/>
      <c r="T145" s="99" t="n"/>
      <c r="U145" s="99" t="n"/>
      <c r="V145" s="99" t="n"/>
      <c r="W145" s="99" t="n"/>
      <c r="X145" s="99" t="n"/>
      <c r="Y145" s="99" t="n"/>
      <c r="Z145" s="99" t="n"/>
      <c r="AA145" s="99" t="n"/>
    </row>
    <row r="146" ht="15.75" customHeight="1" s="205">
      <c r="A146" s="99" t="n"/>
      <c r="B146" s="99" t="n"/>
      <c r="C146" s="99" t="n"/>
      <c r="D146" s="99" t="n"/>
      <c r="E146" s="99" t="n"/>
      <c r="F146" s="99" t="n"/>
      <c r="G146" s="99" t="n"/>
      <c r="H146" s="99" t="n"/>
      <c r="I146" s="99" t="n"/>
      <c r="J146" s="99" t="n"/>
      <c r="K146" s="99" t="n"/>
      <c r="L146" s="99" t="n"/>
      <c r="M146" s="99" t="n"/>
      <c r="N146" s="99" t="n"/>
      <c r="O146" s="99" t="n"/>
      <c r="P146" s="99" t="n"/>
      <c r="Q146" s="99" t="n"/>
      <c r="R146" s="99" t="n"/>
      <c r="S146" s="99" t="n"/>
      <c r="T146" s="99" t="n"/>
      <c r="U146" s="99" t="n"/>
      <c r="V146" s="99" t="n"/>
      <c r="W146" s="99" t="n"/>
      <c r="X146" s="99" t="n"/>
      <c r="Y146" s="99" t="n"/>
      <c r="Z146" s="99" t="n"/>
      <c r="AA146" s="99" t="n"/>
    </row>
    <row r="147" ht="15.75" customHeight="1" s="205">
      <c r="A147" s="99" t="n"/>
      <c r="B147" s="99" t="n"/>
      <c r="C147" s="99" t="n"/>
      <c r="D147" s="99" t="n"/>
      <c r="E147" s="99" t="n"/>
      <c r="F147" s="99" t="n"/>
      <c r="G147" s="99" t="n"/>
      <c r="H147" s="99" t="n"/>
      <c r="I147" s="99" t="n"/>
      <c r="J147" s="99" t="n"/>
      <c r="K147" s="99" t="n"/>
      <c r="L147" s="99" t="n"/>
      <c r="M147" s="99" t="n"/>
      <c r="N147" s="99" t="n"/>
      <c r="O147" s="99" t="n"/>
      <c r="P147" s="99" t="n"/>
      <c r="Q147" s="99" t="n"/>
      <c r="R147" s="99" t="n"/>
      <c r="S147" s="99" t="n"/>
      <c r="T147" s="99" t="n"/>
      <c r="U147" s="99" t="n"/>
      <c r="V147" s="99" t="n"/>
      <c r="W147" s="99" t="n"/>
      <c r="X147" s="99" t="n"/>
      <c r="Y147" s="99" t="n"/>
      <c r="Z147" s="99" t="n"/>
      <c r="AA147" s="99" t="n"/>
    </row>
    <row r="148" ht="15.75" customHeight="1" s="205">
      <c r="A148" s="99" t="n"/>
      <c r="B148" s="99" t="n"/>
      <c r="C148" s="99" t="n"/>
      <c r="D148" s="99" t="n"/>
      <c r="E148" s="99" t="n"/>
      <c r="F148" s="99" t="n"/>
      <c r="G148" s="99" t="n"/>
      <c r="H148" s="99" t="n"/>
      <c r="I148" s="99" t="n"/>
      <c r="J148" s="99" t="n"/>
      <c r="K148" s="99" t="n"/>
      <c r="L148" s="99" t="n"/>
      <c r="M148" s="99" t="n"/>
      <c r="N148" s="99" t="n"/>
      <c r="O148" s="99" t="n"/>
      <c r="P148" s="99" t="n"/>
      <c r="Q148" s="99" t="n"/>
      <c r="R148" s="99" t="n"/>
      <c r="S148" s="99" t="n"/>
      <c r="T148" s="99" t="n"/>
      <c r="U148" s="99" t="n"/>
      <c r="V148" s="99" t="n"/>
      <c r="W148" s="99" t="n"/>
      <c r="X148" s="99" t="n"/>
      <c r="Y148" s="99" t="n"/>
      <c r="Z148" s="99" t="n"/>
      <c r="AA148" s="99" t="n"/>
    </row>
    <row r="149" ht="15.75" customHeight="1" s="205">
      <c r="A149" s="99" t="n"/>
      <c r="B149" s="99" t="n"/>
      <c r="C149" s="99" t="n"/>
      <c r="D149" s="99" t="n"/>
      <c r="E149" s="99" t="n"/>
      <c r="F149" s="99" t="n"/>
      <c r="G149" s="99" t="n"/>
      <c r="H149" s="99" t="n"/>
      <c r="I149" s="99" t="n"/>
      <c r="J149" s="99" t="n"/>
      <c r="K149" s="99" t="n"/>
      <c r="L149" s="99" t="n"/>
      <c r="M149" s="99" t="n"/>
      <c r="N149" s="99" t="n"/>
      <c r="O149" s="99" t="n"/>
      <c r="P149" s="99" t="n"/>
      <c r="Q149" s="99" t="n"/>
      <c r="R149" s="99" t="n"/>
      <c r="S149" s="99" t="n"/>
      <c r="T149" s="99" t="n"/>
      <c r="U149" s="99" t="n"/>
      <c r="V149" s="99" t="n"/>
      <c r="W149" s="99" t="n"/>
      <c r="X149" s="99" t="n"/>
      <c r="Y149" s="99" t="n"/>
      <c r="Z149" s="99" t="n"/>
      <c r="AA149" s="99" t="n"/>
    </row>
    <row r="150" ht="15.75" customHeight="1" s="205">
      <c r="A150" s="99" t="n"/>
      <c r="B150" s="99" t="n"/>
      <c r="C150" s="99" t="n"/>
      <c r="D150" s="99" t="n"/>
      <c r="E150" s="99" t="n"/>
      <c r="F150" s="99" t="n"/>
      <c r="G150" s="99" t="n"/>
      <c r="H150" s="99" t="n"/>
      <c r="I150" s="99" t="n"/>
      <c r="J150" s="99" t="n"/>
      <c r="K150" s="99" t="n"/>
      <c r="L150" s="99" t="n"/>
      <c r="M150" s="99" t="n"/>
      <c r="N150" s="99" t="n"/>
      <c r="O150" s="99" t="n"/>
      <c r="P150" s="99" t="n"/>
      <c r="Q150" s="99" t="n"/>
      <c r="R150" s="99" t="n"/>
      <c r="S150" s="99" t="n"/>
      <c r="T150" s="99" t="n"/>
      <c r="U150" s="99" t="n"/>
      <c r="V150" s="99" t="n"/>
      <c r="W150" s="99" t="n"/>
      <c r="X150" s="99" t="n"/>
      <c r="Y150" s="99" t="n"/>
      <c r="Z150" s="99" t="n"/>
      <c r="AA150" s="99" t="n"/>
    </row>
    <row r="151" ht="15.75" customHeight="1" s="205">
      <c r="A151" s="99" t="n"/>
      <c r="B151" s="99" t="n"/>
      <c r="C151" s="99" t="n"/>
      <c r="D151" s="99" t="n"/>
      <c r="E151" s="99" t="n"/>
      <c r="F151" s="99" t="n"/>
      <c r="G151" s="99" t="n"/>
      <c r="H151" s="99" t="n"/>
      <c r="I151" s="99" t="n"/>
      <c r="J151" s="99" t="n"/>
      <c r="K151" s="99" t="n"/>
      <c r="L151" s="99" t="n"/>
      <c r="M151" s="99" t="n"/>
      <c r="N151" s="99" t="n"/>
      <c r="O151" s="99" t="n"/>
      <c r="P151" s="99" t="n"/>
      <c r="Q151" s="99" t="n"/>
      <c r="R151" s="99" t="n"/>
      <c r="S151" s="99" t="n"/>
      <c r="T151" s="99" t="n"/>
      <c r="U151" s="99" t="n"/>
      <c r="V151" s="99" t="n"/>
      <c r="W151" s="99" t="n"/>
      <c r="X151" s="99" t="n"/>
      <c r="Y151" s="99" t="n"/>
      <c r="Z151" s="99" t="n"/>
      <c r="AA151" s="99" t="n"/>
    </row>
    <row r="152" ht="15.75" customHeight="1" s="205">
      <c r="A152" s="99" t="n"/>
      <c r="B152" s="99" t="n"/>
      <c r="C152" s="99" t="n"/>
      <c r="D152" s="99" t="n"/>
      <c r="E152" s="99" t="n"/>
      <c r="F152" s="99" t="n"/>
      <c r="G152" s="99" t="n"/>
      <c r="H152" s="99" t="n"/>
      <c r="I152" s="99" t="n"/>
      <c r="J152" s="99" t="n"/>
      <c r="K152" s="99" t="n"/>
      <c r="L152" s="99" t="n"/>
      <c r="M152" s="99" t="n"/>
      <c r="N152" s="99" t="n"/>
      <c r="O152" s="99" t="n"/>
      <c r="P152" s="99" t="n"/>
      <c r="Q152" s="99" t="n"/>
      <c r="R152" s="99" t="n"/>
      <c r="S152" s="99" t="n"/>
      <c r="T152" s="99" t="n"/>
      <c r="U152" s="99" t="n"/>
      <c r="V152" s="99" t="n"/>
      <c r="W152" s="99" t="n"/>
      <c r="X152" s="99" t="n"/>
      <c r="Y152" s="99" t="n"/>
      <c r="Z152" s="99" t="n"/>
      <c r="AA152" s="99" t="n"/>
    </row>
    <row r="153" ht="15.75" customHeight="1" s="205">
      <c r="A153" s="99" t="n"/>
      <c r="B153" s="99" t="n"/>
      <c r="C153" s="99" t="n"/>
      <c r="D153" s="99" t="n"/>
      <c r="E153" s="99" t="n"/>
      <c r="F153" s="99" t="n"/>
      <c r="G153" s="99" t="n"/>
      <c r="H153" s="99" t="n"/>
      <c r="I153" s="99" t="n"/>
      <c r="J153" s="99" t="n"/>
      <c r="K153" s="99" t="n"/>
      <c r="L153" s="99" t="n"/>
      <c r="M153" s="99" t="n"/>
      <c r="N153" s="99" t="n"/>
      <c r="O153" s="99" t="n"/>
      <c r="P153" s="99" t="n"/>
      <c r="Q153" s="99" t="n"/>
      <c r="R153" s="99" t="n"/>
      <c r="S153" s="99" t="n"/>
      <c r="T153" s="99" t="n"/>
      <c r="U153" s="99" t="n"/>
      <c r="V153" s="99" t="n"/>
      <c r="W153" s="99" t="n"/>
      <c r="X153" s="99" t="n"/>
      <c r="Y153" s="99" t="n"/>
      <c r="Z153" s="99" t="n"/>
      <c r="AA153" s="99" t="n"/>
    </row>
    <row r="154" ht="15.75" customHeight="1" s="205">
      <c r="A154" s="99" t="n"/>
      <c r="B154" s="99" t="n"/>
      <c r="C154" s="99" t="n"/>
      <c r="D154" s="99" t="n"/>
      <c r="E154" s="99" t="n"/>
      <c r="F154" s="99" t="n"/>
      <c r="G154" s="99" t="n"/>
      <c r="H154" s="99" t="n"/>
      <c r="I154" s="99" t="n"/>
      <c r="J154" s="99" t="n"/>
      <c r="K154" s="99" t="n"/>
      <c r="L154" s="99" t="n"/>
      <c r="M154" s="99" t="n"/>
      <c r="N154" s="99" t="n"/>
      <c r="O154" s="99" t="n"/>
      <c r="P154" s="99" t="n"/>
      <c r="Q154" s="99" t="n"/>
      <c r="R154" s="99" t="n"/>
      <c r="S154" s="99" t="n"/>
      <c r="T154" s="99" t="n"/>
      <c r="U154" s="99" t="n"/>
      <c r="V154" s="99" t="n"/>
      <c r="W154" s="99" t="n"/>
      <c r="X154" s="99" t="n"/>
      <c r="Y154" s="99" t="n"/>
      <c r="Z154" s="99" t="n"/>
      <c r="AA154" s="99" t="n"/>
    </row>
    <row r="155" ht="15.75" customHeight="1" s="205">
      <c r="A155" s="99" t="n"/>
      <c r="B155" s="99" t="n"/>
      <c r="C155" s="99" t="n"/>
      <c r="D155" s="99" t="n"/>
      <c r="E155" s="99" t="n"/>
      <c r="F155" s="99" t="n"/>
      <c r="G155" s="99" t="n"/>
      <c r="H155" s="99" t="n"/>
      <c r="I155" s="99" t="n"/>
      <c r="J155" s="99" t="n"/>
      <c r="K155" s="99" t="n"/>
      <c r="L155" s="99" t="n"/>
      <c r="M155" s="99" t="n"/>
      <c r="N155" s="99" t="n"/>
      <c r="O155" s="99" t="n"/>
      <c r="P155" s="99" t="n"/>
      <c r="Q155" s="99" t="n"/>
      <c r="R155" s="99" t="n"/>
      <c r="S155" s="99" t="n"/>
      <c r="T155" s="99" t="n"/>
      <c r="U155" s="99" t="n"/>
      <c r="V155" s="99" t="n"/>
      <c r="W155" s="99" t="n"/>
      <c r="X155" s="99" t="n"/>
      <c r="Y155" s="99" t="n"/>
      <c r="Z155" s="99" t="n"/>
      <c r="AA155" s="99" t="n"/>
    </row>
    <row r="156" ht="15.75" customHeight="1" s="205">
      <c r="A156" s="99" t="n"/>
      <c r="B156" s="99" t="n"/>
      <c r="C156" s="99" t="n"/>
      <c r="D156" s="99" t="n"/>
      <c r="E156" s="99" t="n"/>
      <c r="F156" s="99" t="n"/>
      <c r="G156" s="99" t="n"/>
      <c r="H156" s="99" t="n"/>
      <c r="I156" s="99" t="n"/>
      <c r="J156" s="99" t="n"/>
      <c r="K156" s="99" t="n"/>
      <c r="L156" s="99" t="n"/>
      <c r="M156" s="99" t="n"/>
      <c r="N156" s="99" t="n"/>
      <c r="O156" s="99" t="n"/>
      <c r="P156" s="99" t="n"/>
      <c r="Q156" s="99" t="n"/>
      <c r="R156" s="99" t="n"/>
      <c r="S156" s="99" t="n"/>
      <c r="T156" s="99" t="n"/>
      <c r="U156" s="99" t="n"/>
      <c r="V156" s="99" t="n"/>
      <c r="W156" s="99" t="n"/>
      <c r="X156" s="99" t="n"/>
      <c r="Y156" s="99" t="n"/>
      <c r="Z156" s="99" t="n"/>
      <c r="AA156" s="99" t="n"/>
    </row>
    <row r="157" ht="15.75" customHeight="1" s="205">
      <c r="A157" s="99" t="n"/>
      <c r="B157" s="99" t="n"/>
      <c r="C157" s="99" t="n"/>
      <c r="D157" s="99" t="n"/>
      <c r="E157" s="99" t="n"/>
      <c r="F157" s="99" t="n"/>
      <c r="G157" s="99" t="n"/>
      <c r="H157" s="99" t="n"/>
      <c r="I157" s="99" t="n"/>
      <c r="J157" s="99" t="n"/>
      <c r="K157" s="99" t="n"/>
      <c r="L157" s="99" t="n"/>
      <c r="M157" s="99" t="n"/>
      <c r="N157" s="99" t="n"/>
      <c r="O157" s="99" t="n"/>
      <c r="P157" s="99" t="n"/>
      <c r="Q157" s="99" t="n"/>
      <c r="R157" s="99" t="n"/>
      <c r="S157" s="99" t="n"/>
      <c r="T157" s="99" t="n"/>
      <c r="U157" s="99" t="n"/>
      <c r="V157" s="99" t="n"/>
      <c r="W157" s="99" t="n"/>
      <c r="X157" s="99" t="n"/>
      <c r="Y157" s="99" t="n"/>
      <c r="Z157" s="99" t="n"/>
      <c r="AA157" s="99" t="n"/>
    </row>
    <row r="158" ht="15.75" customHeight="1" s="205">
      <c r="A158" s="99" t="n"/>
      <c r="B158" s="99" t="n"/>
      <c r="C158" s="99" t="n"/>
      <c r="D158" s="99" t="n"/>
      <c r="E158" s="99" t="n"/>
      <c r="F158" s="99" t="n"/>
      <c r="G158" s="99" t="n"/>
      <c r="H158" s="99" t="n"/>
      <c r="I158" s="99" t="n"/>
      <c r="J158" s="99" t="n"/>
      <c r="K158" s="99" t="n"/>
      <c r="L158" s="99" t="n"/>
      <c r="M158" s="99" t="n"/>
      <c r="N158" s="99" t="n"/>
      <c r="O158" s="99" t="n"/>
      <c r="P158" s="99" t="n"/>
      <c r="Q158" s="99" t="n"/>
      <c r="R158" s="99" t="n"/>
      <c r="S158" s="99" t="n"/>
      <c r="T158" s="99" t="n"/>
      <c r="U158" s="99" t="n"/>
      <c r="V158" s="99" t="n"/>
      <c r="W158" s="99" t="n"/>
      <c r="X158" s="99" t="n"/>
      <c r="Y158" s="99" t="n"/>
      <c r="Z158" s="99" t="n"/>
      <c r="AA158" s="99" t="n"/>
    </row>
    <row r="159" ht="15.75" customHeight="1" s="205">
      <c r="A159" s="99" t="n"/>
      <c r="B159" s="99" t="n"/>
      <c r="C159" s="99" t="n"/>
      <c r="D159" s="99" t="n"/>
      <c r="E159" s="99" t="n"/>
      <c r="F159" s="99" t="n"/>
      <c r="G159" s="99" t="n"/>
      <c r="H159" s="99" t="n"/>
      <c r="I159" s="99" t="n"/>
      <c r="J159" s="99" t="n"/>
      <c r="K159" s="99" t="n"/>
      <c r="L159" s="99" t="n"/>
      <c r="M159" s="99" t="n"/>
      <c r="N159" s="99" t="n"/>
      <c r="O159" s="99" t="n"/>
      <c r="P159" s="99" t="n"/>
      <c r="Q159" s="99" t="n"/>
      <c r="R159" s="99" t="n"/>
      <c r="S159" s="99" t="n"/>
      <c r="T159" s="99" t="n"/>
      <c r="U159" s="99" t="n"/>
      <c r="V159" s="99" t="n"/>
      <c r="W159" s="99" t="n"/>
      <c r="X159" s="99" t="n"/>
      <c r="Y159" s="99" t="n"/>
      <c r="Z159" s="99" t="n"/>
      <c r="AA159" s="99" t="n"/>
    </row>
    <row r="160" ht="15.75" customHeight="1" s="205">
      <c r="A160" s="99" t="n"/>
      <c r="B160" s="99" t="n"/>
      <c r="C160" s="99" t="n"/>
      <c r="D160" s="99" t="n"/>
      <c r="E160" s="99" t="n"/>
      <c r="F160" s="99" t="n"/>
      <c r="G160" s="99" t="n"/>
      <c r="H160" s="99" t="n"/>
      <c r="I160" s="99" t="n"/>
      <c r="J160" s="99" t="n"/>
      <c r="K160" s="99" t="n"/>
      <c r="L160" s="99" t="n"/>
      <c r="M160" s="99" t="n"/>
      <c r="N160" s="99" t="n"/>
      <c r="O160" s="99" t="n"/>
      <c r="P160" s="99" t="n"/>
      <c r="Q160" s="99" t="n"/>
      <c r="R160" s="99" t="n"/>
      <c r="S160" s="99" t="n"/>
      <c r="T160" s="99" t="n"/>
      <c r="U160" s="99" t="n"/>
      <c r="V160" s="99" t="n"/>
      <c r="W160" s="99" t="n"/>
      <c r="X160" s="99" t="n"/>
      <c r="Y160" s="99" t="n"/>
      <c r="Z160" s="99" t="n"/>
      <c r="AA160" s="99" t="n"/>
    </row>
    <row r="161" ht="15.75" customHeight="1" s="205">
      <c r="A161" s="99" t="n"/>
      <c r="B161" s="99" t="n"/>
      <c r="C161" s="99" t="n"/>
      <c r="D161" s="99" t="n"/>
      <c r="E161" s="99" t="n"/>
      <c r="F161" s="99" t="n"/>
      <c r="G161" s="99" t="n"/>
      <c r="H161" s="99" t="n"/>
      <c r="I161" s="99" t="n"/>
      <c r="J161" s="99" t="n"/>
      <c r="K161" s="99" t="n"/>
      <c r="L161" s="99" t="n"/>
      <c r="M161" s="99" t="n"/>
      <c r="N161" s="99" t="n"/>
      <c r="O161" s="99" t="n"/>
      <c r="P161" s="99" t="n"/>
      <c r="Q161" s="99" t="n"/>
      <c r="R161" s="99" t="n"/>
      <c r="S161" s="99" t="n"/>
      <c r="T161" s="99" t="n"/>
      <c r="U161" s="99" t="n"/>
      <c r="V161" s="99" t="n"/>
      <c r="W161" s="99" t="n"/>
      <c r="X161" s="99" t="n"/>
      <c r="Y161" s="99" t="n"/>
      <c r="Z161" s="99" t="n"/>
      <c r="AA161" s="99" t="n"/>
    </row>
    <row r="162" ht="15.75" customHeight="1" s="205">
      <c r="A162" s="99" t="n"/>
      <c r="B162" s="99" t="n"/>
      <c r="C162" s="99" t="n"/>
      <c r="D162" s="99" t="n"/>
      <c r="E162" s="99" t="n"/>
      <c r="F162" s="99" t="n"/>
      <c r="G162" s="99" t="n"/>
      <c r="H162" s="99" t="n"/>
      <c r="I162" s="99" t="n"/>
      <c r="J162" s="99" t="n"/>
      <c r="K162" s="99" t="n"/>
      <c r="L162" s="99" t="n"/>
      <c r="M162" s="99" t="n"/>
      <c r="N162" s="99" t="n"/>
      <c r="O162" s="99" t="n"/>
      <c r="P162" s="99" t="n"/>
      <c r="Q162" s="99" t="n"/>
      <c r="R162" s="99" t="n"/>
      <c r="S162" s="99" t="n"/>
      <c r="T162" s="99" t="n"/>
      <c r="U162" s="99" t="n"/>
      <c r="V162" s="99" t="n"/>
      <c r="W162" s="99" t="n"/>
      <c r="X162" s="99" t="n"/>
      <c r="Y162" s="99" t="n"/>
      <c r="Z162" s="99" t="n"/>
      <c r="AA162" s="99" t="n"/>
    </row>
    <row r="163" ht="15.75" customHeight="1" s="205">
      <c r="A163" s="99" t="n"/>
      <c r="B163" s="99" t="n"/>
      <c r="C163" s="99" t="n"/>
      <c r="D163" s="99" t="n"/>
      <c r="E163" s="99" t="n"/>
      <c r="F163" s="99" t="n"/>
      <c r="G163" s="99" t="n"/>
      <c r="H163" s="99" t="n"/>
      <c r="I163" s="99" t="n"/>
      <c r="J163" s="99" t="n"/>
      <c r="K163" s="99" t="n"/>
      <c r="L163" s="99" t="n"/>
      <c r="M163" s="99" t="n"/>
      <c r="N163" s="99" t="n"/>
      <c r="O163" s="99" t="n"/>
      <c r="P163" s="99" t="n"/>
      <c r="Q163" s="99" t="n"/>
      <c r="R163" s="99" t="n"/>
      <c r="S163" s="99" t="n"/>
      <c r="T163" s="99" t="n"/>
      <c r="U163" s="99" t="n"/>
      <c r="V163" s="99" t="n"/>
      <c r="W163" s="99" t="n"/>
      <c r="X163" s="99" t="n"/>
      <c r="Y163" s="99" t="n"/>
      <c r="Z163" s="99" t="n"/>
      <c r="AA163" s="99" t="n"/>
    </row>
    <row r="164" ht="15.75" customHeight="1" s="205">
      <c r="A164" s="99" t="n"/>
      <c r="B164" s="99" t="n"/>
      <c r="C164" s="99" t="n"/>
      <c r="D164" s="99" t="n"/>
      <c r="E164" s="99" t="n"/>
      <c r="F164" s="99" t="n"/>
      <c r="G164" s="99" t="n"/>
      <c r="H164" s="99" t="n"/>
      <c r="I164" s="99" t="n"/>
      <c r="J164" s="99" t="n"/>
      <c r="K164" s="99" t="n"/>
      <c r="L164" s="99" t="n"/>
      <c r="M164" s="99" t="n"/>
      <c r="N164" s="99" t="n"/>
      <c r="O164" s="99" t="n"/>
      <c r="P164" s="99" t="n"/>
      <c r="Q164" s="99" t="n"/>
      <c r="R164" s="99" t="n"/>
      <c r="S164" s="99" t="n"/>
      <c r="T164" s="99" t="n"/>
      <c r="U164" s="99" t="n"/>
      <c r="V164" s="99" t="n"/>
      <c r="W164" s="99" t="n"/>
      <c r="X164" s="99" t="n"/>
      <c r="Y164" s="99" t="n"/>
      <c r="Z164" s="99" t="n"/>
      <c r="AA164" s="99" t="n"/>
    </row>
    <row r="165" ht="15.75" customHeight="1" s="205">
      <c r="A165" s="99" t="n"/>
      <c r="B165" s="99" t="n"/>
      <c r="C165" s="99" t="n"/>
      <c r="D165" s="99" t="n"/>
      <c r="E165" s="99" t="n"/>
      <c r="F165" s="99" t="n"/>
      <c r="G165" s="99" t="n"/>
      <c r="H165" s="99" t="n"/>
      <c r="I165" s="99" t="n"/>
      <c r="J165" s="99" t="n"/>
      <c r="K165" s="99" t="n"/>
      <c r="L165" s="99" t="n"/>
      <c r="M165" s="99" t="n"/>
      <c r="N165" s="99" t="n"/>
      <c r="O165" s="99" t="n"/>
      <c r="P165" s="99" t="n"/>
      <c r="Q165" s="99" t="n"/>
      <c r="R165" s="99" t="n"/>
      <c r="S165" s="99" t="n"/>
      <c r="T165" s="99" t="n"/>
      <c r="U165" s="99" t="n"/>
      <c r="V165" s="99" t="n"/>
      <c r="W165" s="99" t="n"/>
      <c r="X165" s="99" t="n"/>
      <c r="Y165" s="99" t="n"/>
      <c r="Z165" s="99" t="n"/>
      <c r="AA165" s="99" t="n"/>
    </row>
    <row r="166" ht="15.75" customHeight="1" s="205">
      <c r="A166" s="99" t="n"/>
      <c r="B166" s="99" t="n"/>
      <c r="C166" s="99" t="n"/>
      <c r="D166" s="99" t="n"/>
      <c r="E166" s="99" t="n"/>
      <c r="F166" s="99" t="n"/>
      <c r="G166" s="99" t="n"/>
      <c r="H166" s="99" t="n"/>
      <c r="I166" s="99" t="n"/>
      <c r="J166" s="99" t="n"/>
      <c r="K166" s="99" t="n"/>
      <c r="L166" s="99" t="n"/>
      <c r="M166" s="99" t="n"/>
      <c r="N166" s="99" t="n"/>
      <c r="O166" s="99" t="n"/>
      <c r="P166" s="99" t="n"/>
      <c r="Q166" s="99" t="n"/>
      <c r="R166" s="99" t="n"/>
      <c r="S166" s="99" t="n"/>
      <c r="T166" s="99" t="n"/>
      <c r="U166" s="99" t="n"/>
      <c r="V166" s="99" t="n"/>
      <c r="W166" s="99" t="n"/>
      <c r="X166" s="99" t="n"/>
      <c r="Y166" s="99" t="n"/>
      <c r="Z166" s="99" t="n"/>
      <c r="AA166" s="99" t="n"/>
    </row>
    <row r="167" ht="15.75" customHeight="1" s="205">
      <c r="A167" s="99" t="n"/>
      <c r="B167" s="99" t="n"/>
      <c r="C167" s="99" t="n"/>
      <c r="D167" s="99" t="n"/>
      <c r="E167" s="99" t="n"/>
      <c r="F167" s="99" t="n"/>
      <c r="G167" s="99" t="n"/>
      <c r="H167" s="99" t="n"/>
      <c r="I167" s="99" t="n"/>
      <c r="J167" s="99" t="n"/>
      <c r="K167" s="99" t="n"/>
      <c r="L167" s="99" t="n"/>
      <c r="M167" s="99" t="n"/>
      <c r="N167" s="99" t="n"/>
      <c r="O167" s="99" t="n"/>
      <c r="P167" s="99" t="n"/>
      <c r="Q167" s="99" t="n"/>
      <c r="R167" s="99" t="n"/>
      <c r="S167" s="99" t="n"/>
      <c r="T167" s="99" t="n"/>
      <c r="U167" s="99" t="n"/>
      <c r="V167" s="99" t="n"/>
      <c r="W167" s="99" t="n"/>
      <c r="X167" s="99" t="n"/>
      <c r="Y167" s="99" t="n"/>
      <c r="Z167" s="99" t="n"/>
      <c r="AA167" s="99" t="n"/>
    </row>
    <row r="168" ht="15.75" customHeight="1" s="205">
      <c r="A168" s="99" t="n"/>
      <c r="B168" s="99" t="n"/>
      <c r="C168" s="99" t="n"/>
      <c r="D168" s="99" t="n"/>
      <c r="E168" s="99" t="n"/>
      <c r="F168" s="99" t="n"/>
      <c r="G168" s="99" t="n"/>
      <c r="H168" s="99" t="n"/>
      <c r="I168" s="99" t="n"/>
      <c r="J168" s="99" t="n"/>
      <c r="K168" s="99" t="n"/>
      <c r="L168" s="99" t="n"/>
      <c r="M168" s="99" t="n"/>
      <c r="N168" s="99" t="n"/>
      <c r="O168" s="99" t="n"/>
      <c r="P168" s="99" t="n"/>
      <c r="Q168" s="99" t="n"/>
      <c r="R168" s="99" t="n"/>
      <c r="S168" s="99" t="n"/>
      <c r="T168" s="99" t="n"/>
      <c r="U168" s="99" t="n"/>
      <c r="V168" s="99" t="n"/>
      <c r="W168" s="99" t="n"/>
      <c r="X168" s="99" t="n"/>
      <c r="Y168" s="99" t="n"/>
      <c r="Z168" s="99" t="n"/>
      <c r="AA168" s="99" t="n"/>
    </row>
    <row r="169" ht="15.75" customHeight="1" s="205">
      <c r="A169" s="99" t="n"/>
      <c r="B169" s="99" t="n"/>
      <c r="C169" s="99" t="n"/>
      <c r="D169" s="99" t="n"/>
      <c r="E169" s="99" t="n"/>
      <c r="F169" s="99" t="n"/>
      <c r="G169" s="99" t="n"/>
      <c r="H169" s="99" t="n"/>
      <c r="I169" s="99" t="n"/>
      <c r="J169" s="99" t="n"/>
      <c r="K169" s="99" t="n"/>
      <c r="L169" s="99" t="n"/>
      <c r="M169" s="99" t="n"/>
      <c r="N169" s="99" t="n"/>
      <c r="O169" s="99" t="n"/>
      <c r="P169" s="99" t="n"/>
      <c r="Q169" s="99" t="n"/>
      <c r="R169" s="99" t="n"/>
      <c r="S169" s="99" t="n"/>
      <c r="T169" s="99" t="n"/>
      <c r="U169" s="99" t="n"/>
      <c r="V169" s="99" t="n"/>
      <c r="W169" s="99" t="n"/>
      <c r="X169" s="99" t="n"/>
      <c r="Y169" s="99" t="n"/>
      <c r="Z169" s="99" t="n"/>
      <c r="AA169" s="99" t="n"/>
    </row>
    <row r="170" ht="15.75" customHeight="1" s="205">
      <c r="A170" s="99" t="n"/>
      <c r="B170" s="99" t="n"/>
      <c r="C170" s="99" t="n"/>
      <c r="D170" s="99" t="n"/>
      <c r="E170" s="99" t="n"/>
      <c r="F170" s="99" t="n"/>
      <c r="G170" s="99" t="n"/>
      <c r="H170" s="99" t="n"/>
      <c r="I170" s="99" t="n"/>
      <c r="J170" s="99" t="n"/>
      <c r="K170" s="99" t="n"/>
      <c r="L170" s="99" t="n"/>
      <c r="M170" s="99" t="n"/>
      <c r="N170" s="99" t="n"/>
      <c r="O170" s="99" t="n"/>
      <c r="P170" s="99" t="n"/>
      <c r="Q170" s="99" t="n"/>
      <c r="R170" s="99" t="n"/>
      <c r="S170" s="99" t="n"/>
      <c r="T170" s="99" t="n"/>
      <c r="U170" s="99" t="n"/>
      <c r="V170" s="99" t="n"/>
      <c r="W170" s="99" t="n"/>
      <c r="X170" s="99" t="n"/>
      <c r="Y170" s="99" t="n"/>
      <c r="Z170" s="99" t="n"/>
      <c r="AA170" s="99" t="n"/>
    </row>
    <row r="171" ht="15.75" customHeight="1" s="205">
      <c r="A171" s="99" t="n"/>
      <c r="B171" s="99" t="n"/>
      <c r="C171" s="99" t="n"/>
      <c r="D171" s="99" t="n"/>
      <c r="E171" s="99" t="n"/>
      <c r="F171" s="99" t="n"/>
      <c r="G171" s="99" t="n"/>
      <c r="H171" s="99" t="n"/>
      <c r="I171" s="99" t="n"/>
      <c r="J171" s="99" t="n"/>
      <c r="K171" s="99" t="n"/>
      <c r="L171" s="99" t="n"/>
      <c r="M171" s="99" t="n"/>
      <c r="N171" s="99" t="n"/>
      <c r="O171" s="99" t="n"/>
      <c r="P171" s="99" t="n"/>
      <c r="Q171" s="99" t="n"/>
      <c r="R171" s="99" t="n"/>
      <c r="S171" s="99" t="n"/>
      <c r="T171" s="99" t="n"/>
      <c r="U171" s="99" t="n"/>
      <c r="V171" s="99" t="n"/>
      <c r="W171" s="99" t="n"/>
      <c r="X171" s="99" t="n"/>
      <c r="Y171" s="99" t="n"/>
      <c r="Z171" s="99" t="n"/>
      <c r="AA171" s="99" t="n"/>
    </row>
    <row r="172" ht="15.75" customHeight="1" s="205">
      <c r="A172" s="99" t="n"/>
      <c r="B172" s="99" t="n"/>
      <c r="C172" s="99" t="n"/>
      <c r="D172" s="99" t="n"/>
      <c r="E172" s="99" t="n"/>
      <c r="F172" s="99" t="n"/>
      <c r="G172" s="99" t="n"/>
      <c r="H172" s="99" t="n"/>
      <c r="I172" s="99" t="n"/>
      <c r="J172" s="99" t="n"/>
      <c r="K172" s="99" t="n"/>
      <c r="L172" s="99" t="n"/>
      <c r="M172" s="99" t="n"/>
      <c r="N172" s="99" t="n"/>
      <c r="O172" s="99" t="n"/>
      <c r="P172" s="99" t="n"/>
      <c r="Q172" s="99" t="n"/>
      <c r="R172" s="99" t="n"/>
      <c r="S172" s="99" t="n"/>
      <c r="T172" s="99" t="n"/>
      <c r="U172" s="99" t="n"/>
      <c r="V172" s="99" t="n"/>
      <c r="W172" s="99" t="n"/>
      <c r="X172" s="99" t="n"/>
      <c r="Y172" s="99" t="n"/>
      <c r="Z172" s="99" t="n"/>
      <c r="AA172" s="99" t="n"/>
    </row>
    <row r="173" ht="15.75" customHeight="1" s="205">
      <c r="A173" s="99" t="n"/>
      <c r="B173" s="99" t="n"/>
      <c r="C173" s="99" t="n"/>
      <c r="D173" s="99" t="n"/>
      <c r="E173" s="99" t="n"/>
      <c r="F173" s="99" t="n"/>
      <c r="G173" s="99" t="n"/>
      <c r="H173" s="99" t="n"/>
      <c r="I173" s="99" t="n"/>
      <c r="J173" s="99" t="n"/>
      <c r="K173" s="99" t="n"/>
      <c r="L173" s="99" t="n"/>
      <c r="M173" s="99" t="n"/>
      <c r="N173" s="99" t="n"/>
      <c r="O173" s="99" t="n"/>
      <c r="P173" s="99" t="n"/>
      <c r="Q173" s="99" t="n"/>
      <c r="R173" s="99" t="n"/>
      <c r="S173" s="99" t="n"/>
      <c r="T173" s="99" t="n"/>
      <c r="U173" s="99" t="n"/>
      <c r="V173" s="99" t="n"/>
      <c r="W173" s="99" t="n"/>
      <c r="X173" s="99" t="n"/>
      <c r="Y173" s="99" t="n"/>
      <c r="Z173" s="99" t="n"/>
      <c r="AA173" s="99" t="n"/>
    </row>
    <row r="174" ht="15.75" customHeight="1" s="205">
      <c r="A174" s="99" t="n"/>
      <c r="B174" s="99" t="n"/>
      <c r="C174" s="99" t="n"/>
      <c r="D174" s="99" t="n"/>
      <c r="E174" s="99" t="n"/>
      <c r="F174" s="99" t="n"/>
      <c r="G174" s="99" t="n"/>
      <c r="H174" s="99" t="n"/>
      <c r="I174" s="99" t="n"/>
      <c r="J174" s="99" t="n"/>
      <c r="K174" s="99" t="n"/>
      <c r="L174" s="99" t="n"/>
      <c r="M174" s="99" t="n"/>
      <c r="N174" s="99" t="n"/>
      <c r="O174" s="99" t="n"/>
      <c r="P174" s="99" t="n"/>
      <c r="Q174" s="99" t="n"/>
      <c r="R174" s="99" t="n"/>
      <c r="S174" s="99" t="n"/>
      <c r="T174" s="99" t="n"/>
      <c r="U174" s="99" t="n"/>
      <c r="V174" s="99" t="n"/>
      <c r="W174" s="99" t="n"/>
      <c r="X174" s="99" t="n"/>
      <c r="Y174" s="99" t="n"/>
      <c r="Z174" s="99" t="n"/>
      <c r="AA174" s="99" t="n"/>
    </row>
    <row r="175" ht="15.75" customHeight="1" s="205">
      <c r="A175" s="99" t="n"/>
      <c r="B175" s="99" t="n"/>
      <c r="C175" s="99" t="n"/>
      <c r="D175" s="99" t="n"/>
      <c r="E175" s="99" t="n"/>
      <c r="F175" s="99" t="n"/>
      <c r="G175" s="99" t="n"/>
      <c r="H175" s="99" t="n"/>
      <c r="I175" s="99" t="n"/>
      <c r="J175" s="99" t="n"/>
      <c r="K175" s="99" t="n"/>
      <c r="L175" s="99" t="n"/>
      <c r="M175" s="99" t="n"/>
      <c r="N175" s="99" t="n"/>
      <c r="O175" s="99" t="n"/>
      <c r="P175" s="99" t="n"/>
      <c r="Q175" s="99" t="n"/>
      <c r="R175" s="99" t="n"/>
      <c r="S175" s="99" t="n"/>
      <c r="T175" s="99" t="n"/>
      <c r="U175" s="99" t="n"/>
      <c r="V175" s="99" t="n"/>
      <c r="W175" s="99" t="n"/>
      <c r="X175" s="99" t="n"/>
      <c r="Y175" s="99" t="n"/>
      <c r="Z175" s="99" t="n"/>
      <c r="AA175" s="99" t="n"/>
    </row>
    <row r="176" ht="15.75" customHeight="1" s="205">
      <c r="A176" s="99" t="n"/>
      <c r="B176" s="99" t="n"/>
      <c r="C176" s="99" t="n"/>
      <c r="D176" s="99" t="n"/>
      <c r="E176" s="99" t="n"/>
      <c r="F176" s="99" t="n"/>
      <c r="G176" s="99" t="n"/>
      <c r="H176" s="99" t="n"/>
      <c r="I176" s="99" t="n"/>
      <c r="J176" s="99" t="n"/>
      <c r="K176" s="99" t="n"/>
      <c r="L176" s="99" t="n"/>
      <c r="M176" s="99" t="n"/>
      <c r="N176" s="99" t="n"/>
      <c r="O176" s="99" t="n"/>
      <c r="P176" s="99" t="n"/>
      <c r="Q176" s="99" t="n"/>
      <c r="R176" s="99" t="n"/>
      <c r="S176" s="99" t="n"/>
      <c r="T176" s="99" t="n"/>
      <c r="U176" s="99" t="n"/>
      <c r="V176" s="99" t="n"/>
      <c r="W176" s="99" t="n"/>
      <c r="X176" s="99" t="n"/>
      <c r="Y176" s="99" t="n"/>
      <c r="Z176" s="99" t="n"/>
      <c r="AA176" s="99" t="n"/>
    </row>
    <row r="177" ht="15.75" customHeight="1" s="205">
      <c r="A177" s="99" t="n"/>
      <c r="B177" s="99" t="n"/>
      <c r="C177" s="99" t="n"/>
      <c r="D177" s="99" t="n"/>
      <c r="E177" s="99" t="n"/>
      <c r="F177" s="99" t="n"/>
      <c r="G177" s="99" t="n"/>
      <c r="H177" s="99" t="n"/>
      <c r="I177" s="99" t="n"/>
      <c r="J177" s="99" t="n"/>
      <c r="K177" s="99" t="n"/>
      <c r="L177" s="99" t="n"/>
      <c r="M177" s="99" t="n"/>
      <c r="N177" s="99" t="n"/>
      <c r="O177" s="99" t="n"/>
      <c r="P177" s="99" t="n"/>
      <c r="Q177" s="99" t="n"/>
      <c r="R177" s="99" t="n"/>
      <c r="S177" s="99" t="n"/>
      <c r="T177" s="99" t="n"/>
      <c r="U177" s="99" t="n"/>
      <c r="V177" s="99" t="n"/>
      <c r="W177" s="99" t="n"/>
      <c r="X177" s="99" t="n"/>
      <c r="Y177" s="99" t="n"/>
      <c r="Z177" s="99" t="n"/>
      <c r="AA177" s="99" t="n"/>
    </row>
    <row r="178" ht="15.75" customHeight="1" s="205">
      <c r="A178" s="99" t="n"/>
      <c r="B178" s="99" t="n"/>
      <c r="C178" s="99" t="n"/>
      <c r="D178" s="99" t="n"/>
      <c r="E178" s="99" t="n"/>
      <c r="F178" s="99" t="n"/>
      <c r="G178" s="99" t="n"/>
      <c r="H178" s="99" t="n"/>
      <c r="I178" s="99" t="n"/>
      <c r="J178" s="99" t="n"/>
      <c r="K178" s="99" t="n"/>
      <c r="L178" s="99" t="n"/>
      <c r="M178" s="99" t="n"/>
      <c r="N178" s="99" t="n"/>
      <c r="O178" s="99" t="n"/>
      <c r="P178" s="99" t="n"/>
      <c r="Q178" s="99" t="n"/>
      <c r="R178" s="99" t="n"/>
      <c r="S178" s="99" t="n"/>
      <c r="T178" s="99" t="n"/>
      <c r="U178" s="99" t="n"/>
      <c r="V178" s="99" t="n"/>
      <c r="W178" s="99" t="n"/>
      <c r="X178" s="99" t="n"/>
      <c r="Y178" s="99" t="n"/>
      <c r="Z178" s="99" t="n"/>
      <c r="AA178" s="99" t="n"/>
    </row>
    <row r="179" ht="15.75" customHeight="1" s="205">
      <c r="A179" s="99" t="n"/>
      <c r="B179" s="99" t="n"/>
      <c r="C179" s="99" t="n"/>
      <c r="D179" s="99" t="n"/>
      <c r="E179" s="99" t="n"/>
      <c r="F179" s="99" t="n"/>
      <c r="G179" s="99" t="n"/>
      <c r="H179" s="99" t="n"/>
      <c r="I179" s="99" t="n"/>
      <c r="J179" s="99" t="n"/>
      <c r="K179" s="99" t="n"/>
      <c r="L179" s="99" t="n"/>
      <c r="M179" s="99" t="n"/>
      <c r="N179" s="99" t="n"/>
      <c r="O179" s="99" t="n"/>
      <c r="P179" s="99" t="n"/>
      <c r="Q179" s="99" t="n"/>
      <c r="R179" s="99" t="n"/>
      <c r="S179" s="99" t="n"/>
      <c r="T179" s="99" t="n"/>
      <c r="U179" s="99" t="n"/>
      <c r="V179" s="99" t="n"/>
      <c r="W179" s="99" t="n"/>
      <c r="X179" s="99" t="n"/>
      <c r="Y179" s="99" t="n"/>
      <c r="Z179" s="99" t="n"/>
      <c r="AA179" s="99" t="n"/>
    </row>
    <row r="180" ht="15.75" customHeight="1" s="205">
      <c r="A180" s="99" t="n"/>
      <c r="B180" s="99" t="n"/>
      <c r="C180" s="99" t="n"/>
      <c r="D180" s="99" t="n"/>
      <c r="E180" s="99" t="n"/>
      <c r="F180" s="99" t="n"/>
      <c r="G180" s="99" t="n"/>
      <c r="H180" s="99" t="n"/>
      <c r="I180" s="99" t="n"/>
      <c r="J180" s="99" t="n"/>
      <c r="K180" s="99" t="n"/>
      <c r="L180" s="99" t="n"/>
      <c r="M180" s="99" t="n"/>
      <c r="N180" s="99" t="n"/>
      <c r="O180" s="99" t="n"/>
      <c r="P180" s="99" t="n"/>
      <c r="Q180" s="99" t="n"/>
      <c r="R180" s="99" t="n"/>
      <c r="S180" s="99" t="n"/>
      <c r="T180" s="99" t="n"/>
      <c r="U180" s="99" t="n"/>
      <c r="V180" s="99" t="n"/>
      <c r="W180" s="99" t="n"/>
      <c r="X180" s="99" t="n"/>
      <c r="Y180" s="99" t="n"/>
      <c r="Z180" s="99" t="n"/>
      <c r="AA180" s="99" t="n"/>
    </row>
    <row r="181" ht="15.75" customHeight="1" s="205">
      <c r="A181" s="99" t="n"/>
      <c r="B181" s="99" t="n"/>
      <c r="C181" s="99" t="n"/>
      <c r="D181" s="99" t="n"/>
      <c r="E181" s="99" t="n"/>
      <c r="F181" s="99" t="n"/>
      <c r="G181" s="99" t="n"/>
      <c r="H181" s="99" t="n"/>
      <c r="I181" s="99" t="n"/>
      <c r="J181" s="99" t="n"/>
      <c r="K181" s="99" t="n"/>
      <c r="L181" s="99" t="n"/>
      <c r="M181" s="99" t="n"/>
      <c r="N181" s="99" t="n"/>
      <c r="O181" s="99" t="n"/>
      <c r="P181" s="99" t="n"/>
      <c r="Q181" s="99" t="n"/>
      <c r="R181" s="99" t="n"/>
      <c r="S181" s="99" t="n"/>
      <c r="T181" s="99" t="n"/>
      <c r="U181" s="99" t="n"/>
      <c r="V181" s="99" t="n"/>
      <c r="W181" s="99" t="n"/>
      <c r="X181" s="99" t="n"/>
      <c r="Y181" s="99" t="n"/>
      <c r="Z181" s="99" t="n"/>
      <c r="AA181" s="99" t="n"/>
    </row>
    <row r="182" ht="15.75" customHeight="1" s="205">
      <c r="A182" s="99" t="n"/>
      <c r="B182" s="99" t="n"/>
      <c r="C182" s="99" t="n"/>
      <c r="D182" s="99" t="n"/>
      <c r="E182" s="99" t="n"/>
      <c r="F182" s="99" t="n"/>
      <c r="G182" s="99" t="n"/>
      <c r="H182" s="99" t="n"/>
      <c r="I182" s="99" t="n"/>
      <c r="J182" s="99" t="n"/>
      <c r="K182" s="99" t="n"/>
      <c r="L182" s="99" t="n"/>
      <c r="M182" s="99" t="n"/>
      <c r="N182" s="99" t="n"/>
      <c r="O182" s="99" t="n"/>
      <c r="P182" s="99" t="n"/>
      <c r="Q182" s="99" t="n"/>
      <c r="R182" s="99" t="n"/>
      <c r="S182" s="99" t="n"/>
      <c r="T182" s="99" t="n"/>
      <c r="U182" s="99" t="n"/>
      <c r="V182" s="99" t="n"/>
      <c r="W182" s="99" t="n"/>
      <c r="X182" s="99" t="n"/>
      <c r="Y182" s="99" t="n"/>
      <c r="Z182" s="99" t="n"/>
      <c r="AA182" s="99" t="n"/>
    </row>
    <row r="183" ht="15.75" customHeight="1" s="205">
      <c r="A183" s="99" t="n"/>
      <c r="B183" s="99" t="n"/>
      <c r="C183" s="99" t="n"/>
      <c r="D183" s="99" t="n"/>
      <c r="E183" s="99" t="n"/>
      <c r="F183" s="99" t="n"/>
      <c r="G183" s="99" t="n"/>
      <c r="H183" s="99" t="n"/>
      <c r="I183" s="99" t="n"/>
      <c r="J183" s="99" t="n"/>
      <c r="K183" s="99" t="n"/>
      <c r="L183" s="99" t="n"/>
      <c r="M183" s="99" t="n"/>
      <c r="N183" s="99" t="n"/>
      <c r="O183" s="99" t="n"/>
      <c r="P183" s="99" t="n"/>
      <c r="Q183" s="99" t="n"/>
      <c r="R183" s="99" t="n"/>
      <c r="S183" s="99" t="n"/>
      <c r="T183" s="99" t="n"/>
      <c r="U183" s="99" t="n"/>
      <c r="V183" s="99" t="n"/>
      <c r="W183" s="99" t="n"/>
      <c r="X183" s="99" t="n"/>
      <c r="Y183" s="99" t="n"/>
      <c r="Z183" s="99" t="n"/>
      <c r="AA183" s="99" t="n"/>
    </row>
    <row r="184" ht="15.75" customHeight="1" s="205">
      <c r="A184" s="99" t="n"/>
      <c r="B184" s="99" t="n"/>
      <c r="C184" s="99" t="n"/>
      <c r="D184" s="99" t="n"/>
      <c r="E184" s="99" t="n"/>
      <c r="F184" s="99" t="n"/>
      <c r="G184" s="99" t="n"/>
      <c r="H184" s="99" t="n"/>
      <c r="I184" s="99" t="n"/>
      <c r="J184" s="99" t="n"/>
      <c r="K184" s="99" t="n"/>
      <c r="L184" s="99" t="n"/>
      <c r="M184" s="99" t="n"/>
      <c r="N184" s="99" t="n"/>
      <c r="O184" s="99" t="n"/>
      <c r="P184" s="99" t="n"/>
      <c r="Q184" s="99" t="n"/>
      <c r="R184" s="99" t="n"/>
      <c r="S184" s="99" t="n"/>
      <c r="T184" s="99" t="n"/>
      <c r="U184" s="99" t="n"/>
      <c r="V184" s="99" t="n"/>
      <c r="W184" s="99" t="n"/>
      <c r="X184" s="99" t="n"/>
      <c r="Y184" s="99" t="n"/>
      <c r="Z184" s="99" t="n"/>
      <c r="AA184" s="99" t="n"/>
    </row>
    <row r="185" ht="15.75" customHeight="1" s="205">
      <c r="A185" s="99" t="n"/>
      <c r="B185" s="99" t="n"/>
      <c r="C185" s="99" t="n"/>
      <c r="D185" s="99" t="n"/>
      <c r="E185" s="99" t="n"/>
      <c r="F185" s="99" t="n"/>
      <c r="G185" s="99" t="n"/>
      <c r="H185" s="99" t="n"/>
      <c r="I185" s="99" t="n"/>
      <c r="J185" s="99" t="n"/>
      <c r="K185" s="99" t="n"/>
      <c r="L185" s="99" t="n"/>
      <c r="M185" s="99" t="n"/>
      <c r="N185" s="99" t="n"/>
      <c r="O185" s="99" t="n"/>
      <c r="P185" s="99" t="n"/>
      <c r="Q185" s="99" t="n"/>
      <c r="R185" s="99" t="n"/>
      <c r="S185" s="99" t="n"/>
      <c r="T185" s="99" t="n"/>
      <c r="U185" s="99" t="n"/>
      <c r="V185" s="99" t="n"/>
      <c r="W185" s="99" t="n"/>
      <c r="X185" s="99" t="n"/>
      <c r="Y185" s="99" t="n"/>
      <c r="Z185" s="99" t="n"/>
      <c r="AA185" s="99" t="n"/>
    </row>
    <row r="186" ht="15.75" customHeight="1" s="205">
      <c r="A186" s="99" t="n"/>
      <c r="B186" s="99" t="n"/>
      <c r="C186" s="99" t="n"/>
      <c r="D186" s="99" t="n"/>
      <c r="E186" s="99" t="n"/>
      <c r="F186" s="99" t="n"/>
      <c r="G186" s="99" t="n"/>
      <c r="H186" s="99" t="n"/>
      <c r="I186" s="99" t="n"/>
      <c r="J186" s="99" t="n"/>
      <c r="K186" s="99" t="n"/>
      <c r="L186" s="99" t="n"/>
      <c r="M186" s="99" t="n"/>
      <c r="N186" s="99" t="n"/>
      <c r="O186" s="99" t="n"/>
      <c r="P186" s="99" t="n"/>
      <c r="Q186" s="99" t="n"/>
      <c r="R186" s="99" t="n"/>
      <c r="S186" s="99" t="n"/>
      <c r="T186" s="99" t="n"/>
      <c r="U186" s="99" t="n"/>
      <c r="V186" s="99" t="n"/>
      <c r="W186" s="99" t="n"/>
      <c r="X186" s="99" t="n"/>
      <c r="Y186" s="99" t="n"/>
      <c r="Z186" s="99" t="n"/>
      <c r="AA186" s="99" t="n"/>
    </row>
    <row r="187" ht="15.75" customHeight="1" s="205">
      <c r="A187" s="99" t="n"/>
      <c r="B187" s="99" t="n"/>
      <c r="C187" s="99" t="n"/>
      <c r="D187" s="99" t="n"/>
      <c r="E187" s="99" t="n"/>
      <c r="F187" s="99" t="n"/>
      <c r="G187" s="99" t="n"/>
      <c r="H187" s="99" t="n"/>
      <c r="I187" s="99" t="n"/>
      <c r="J187" s="99" t="n"/>
      <c r="K187" s="99" t="n"/>
      <c r="L187" s="99" t="n"/>
      <c r="M187" s="99" t="n"/>
      <c r="N187" s="99" t="n"/>
      <c r="O187" s="99" t="n"/>
      <c r="P187" s="99" t="n"/>
      <c r="Q187" s="99" t="n"/>
      <c r="R187" s="99" t="n"/>
      <c r="S187" s="99" t="n"/>
      <c r="T187" s="99" t="n"/>
      <c r="U187" s="99" t="n"/>
      <c r="V187" s="99" t="n"/>
      <c r="W187" s="99" t="n"/>
      <c r="X187" s="99" t="n"/>
      <c r="Y187" s="99" t="n"/>
      <c r="Z187" s="99" t="n"/>
      <c r="AA187" s="99" t="n"/>
    </row>
    <row r="188" ht="15.75" customHeight="1" s="205">
      <c r="A188" s="99" t="n"/>
      <c r="B188" s="99" t="n"/>
      <c r="C188" s="99" t="n"/>
      <c r="D188" s="99" t="n"/>
      <c r="E188" s="99" t="n"/>
      <c r="F188" s="99" t="n"/>
      <c r="G188" s="99" t="n"/>
      <c r="H188" s="99" t="n"/>
      <c r="I188" s="99" t="n"/>
      <c r="J188" s="99" t="n"/>
      <c r="K188" s="99" t="n"/>
      <c r="L188" s="99" t="n"/>
      <c r="M188" s="99" t="n"/>
      <c r="N188" s="99" t="n"/>
      <c r="O188" s="99" t="n"/>
      <c r="P188" s="99" t="n"/>
      <c r="Q188" s="99" t="n"/>
      <c r="R188" s="99" t="n"/>
      <c r="S188" s="99" t="n"/>
      <c r="T188" s="99" t="n"/>
      <c r="U188" s="99" t="n"/>
      <c r="V188" s="99" t="n"/>
      <c r="W188" s="99" t="n"/>
      <c r="X188" s="99" t="n"/>
      <c r="Y188" s="99" t="n"/>
      <c r="Z188" s="99" t="n"/>
      <c r="AA188" s="99" t="n"/>
    </row>
    <row r="189" ht="15.75" customHeight="1" s="205">
      <c r="A189" s="99" t="n"/>
      <c r="B189" s="99" t="n"/>
      <c r="C189" s="99" t="n"/>
      <c r="D189" s="99" t="n"/>
      <c r="E189" s="99" t="n"/>
      <c r="F189" s="99" t="n"/>
      <c r="G189" s="99" t="n"/>
      <c r="H189" s="99" t="n"/>
      <c r="I189" s="99" t="n"/>
      <c r="J189" s="99" t="n"/>
      <c r="K189" s="99" t="n"/>
      <c r="L189" s="99" t="n"/>
      <c r="M189" s="99" t="n"/>
      <c r="N189" s="99" t="n"/>
      <c r="O189" s="99" t="n"/>
      <c r="P189" s="99" t="n"/>
      <c r="Q189" s="99" t="n"/>
      <c r="R189" s="99" t="n"/>
      <c r="S189" s="99" t="n"/>
      <c r="T189" s="99" t="n"/>
      <c r="U189" s="99" t="n"/>
      <c r="V189" s="99" t="n"/>
      <c r="W189" s="99" t="n"/>
      <c r="X189" s="99" t="n"/>
      <c r="Y189" s="99" t="n"/>
      <c r="Z189" s="99" t="n"/>
      <c r="AA189" s="99" t="n"/>
    </row>
    <row r="190" ht="15.75" customHeight="1" s="205">
      <c r="A190" s="99" t="n"/>
      <c r="B190" s="99" t="n"/>
      <c r="C190" s="99" t="n"/>
      <c r="D190" s="99" t="n"/>
      <c r="E190" s="99" t="n"/>
      <c r="F190" s="99" t="n"/>
      <c r="G190" s="99" t="n"/>
      <c r="H190" s="99" t="n"/>
      <c r="I190" s="99" t="n"/>
      <c r="J190" s="99" t="n"/>
      <c r="K190" s="99" t="n"/>
      <c r="L190" s="99" t="n"/>
      <c r="M190" s="99" t="n"/>
      <c r="N190" s="99" t="n"/>
      <c r="O190" s="99" t="n"/>
      <c r="P190" s="99" t="n"/>
      <c r="Q190" s="99" t="n"/>
      <c r="R190" s="99" t="n"/>
      <c r="S190" s="99" t="n"/>
      <c r="T190" s="99" t="n"/>
      <c r="U190" s="99" t="n"/>
      <c r="V190" s="99" t="n"/>
      <c r="W190" s="99" t="n"/>
      <c r="X190" s="99" t="n"/>
      <c r="Y190" s="99" t="n"/>
      <c r="Z190" s="99" t="n"/>
      <c r="AA190" s="99" t="n"/>
    </row>
    <row r="191" ht="15.75" customHeight="1" s="205">
      <c r="A191" s="99" t="n"/>
      <c r="B191" s="99" t="n"/>
      <c r="C191" s="99" t="n"/>
      <c r="D191" s="99" t="n"/>
      <c r="E191" s="99" t="n"/>
      <c r="F191" s="99" t="n"/>
      <c r="G191" s="99" t="n"/>
      <c r="H191" s="99" t="n"/>
      <c r="I191" s="99" t="n"/>
      <c r="J191" s="99" t="n"/>
      <c r="K191" s="99" t="n"/>
      <c r="L191" s="99" t="n"/>
      <c r="M191" s="99" t="n"/>
      <c r="N191" s="99" t="n"/>
      <c r="O191" s="99" t="n"/>
      <c r="P191" s="99" t="n"/>
      <c r="Q191" s="99" t="n"/>
      <c r="R191" s="99" t="n"/>
      <c r="S191" s="99" t="n"/>
      <c r="T191" s="99" t="n"/>
      <c r="U191" s="99" t="n"/>
      <c r="V191" s="99" t="n"/>
      <c r="W191" s="99" t="n"/>
      <c r="X191" s="99" t="n"/>
      <c r="Y191" s="99" t="n"/>
      <c r="Z191" s="99" t="n"/>
      <c r="AA191" s="99" t="n"/>
    </row>
    <row r="192" ht="15.75" customHeight="1" s="205">
      <c r="A192" s="99" t="n"/>
      <c r="B192" s="99" t="n"/>
      <c r="C192" s="99" t="n"/>
      <c r="D192" s="99" t="n"/>
      <c r="E192" s="99" t="n"/>
      <c r="F192" s="99" t="n"/>
      <c r="G192" s="99" t="n"/>
      <c r="H192" s="99" t="n"/>
      <c r="I192" s="99" t="n"/>
      <c r="J192" s="99" t="n"/>
      <c r="K192" s="99" t="n"/>
      <c r="L192" s="99" t="n"/>
      <c r="M192" s="99" t="n"/>
      <c r="N192" s="99" t="n"/>
      <c r="O192" s="99" t="n"/>
      <c r="P192" s="99" t="n"/>
      <c r="Q192" s="99" t="n"/>
      <c r="R192" s="99" t="n"/>
      <c r="S192" s="99" t="n"/>
      <c r="T192" s="99" t="n"/>
      <c r="U192" s="99" t="n"/>
      <c r="V192" s="99" t="n"/>
      <c r="W192" s="99" t="n"/>
      <c r="X192" s="99" t="n"/>
      <c r="Y192" s="99" t="n"/>
      <c r="Z192" s="99" t="n"/>
      <c r="AA192" s="99" t="n"/>
    </row>
    <row r="193" ht="15.75" customHeight="1" s="205">
      <c r="A193" s="99" t="n"/>
      <c r="B193" s="99" t="n"/>
      <c r="C193" s="99" t="n"/>
      <c r="D193" s="99" t="n"/>
      <c r="E193" s="99" t="n"/>
      <c r="F193" s="99" t="n"/>
      <c r="G193" s="99" t="n"/>
      <c r="H193" s="99" t="n"/>
      <c r="I193" s="99" t="n"/>
      <c r="J193" s="99" t="n"/>
      <c r="K193" s="99" t="n"/>
      <c r="L193" s="99" t="n"/>
      <c r="M193" s="99" t="n"/>
      <c r="N193" s="99" t="n"/>
      <c r="O193" s="99" t="n"/>
      <c r="P193" s="99" t="n"/>
      <c r="Q193" s="99" t="n"/>
      <c r="R193" s="99" t="n"/>
      <c r="S193" s="99" t="n"/>
      <c r="T193" s="99" t="n"/>
      <c r="U193" s="99" t="n"/>
      <c r="V193" s="99" t="n"/>
      <c r="W193" s="99" t="n"/>
      <c r="X193" s="99" t="n"/>
      <c r="Y193" s="99" t="n"/>
      <c r="Z193" s="99" t="n"/>
      <c r="AA193" s="99" t="n"/>
    </row>
    <row r="194" ht="15.75" customHeight="1" s="205">
      <c r="A194" s="99" t="n"/>
      <c r="B194" s="99" t="n"/>
      <c r="C194" s="99" t="n"/>
      <c r="D194" s="99" t="n"/>
      <c r="E194" s="99" t="n"/>
      <c r="F194" s="99" t="n"/>
      <c r="G194" s="99" t="n"/>
      <c r="H194" s="99" t="n"/>
      <c r="I194" s="99" t="n"/>
      <c r="J194" s="99" t="n"/>
      <c r="K194" s="99" t="n"/>
      <c r="L194" s="99" t="n"/>
      <c r="M194" s="99" t="n"/>
      <c r="N194" s="99" t="n"/>
      <c r="O194" s="99" t="n"/>
      <c r="P194" s="99" t="n"/>
      <c r="Q194" s="99" t="n"/>
      <c r="R194" s="99" t="n"/>
      <c r="S194" s="99" t="n"/>
      <c r="T194" s="99" t="n"/>
      <c r="U194" s="99" t="n"/>
      <c r="V194" s="99" t="n"/>
      <c r="W194" s="99" t="n"/>
      <c r="X194" s="99" t="n"/>
      <c r="Y194" s="99" t="n"/>
      <c r="Z194" s="99" t="n"/>
      <c r="AA194" s="99" t="n"/>
    </row>
    <row r="195" ht="15.75" customHeight="1" s="205">
      <c r="A195" s="99" t="n"/>
      <c r="B195" s="99" t="n"/>
      <c r="C195" s="99" t="n"/>
      <c r="D195" s="99" t="n"/>
      <c r="E195" s="99" t="n"/>
      <c r="F195" s="99" t="n"/>
      <c r="G195" s="99" t="n"/>
      <c r="H195" s="99" t="n"/>
      <c r="I195" s="99" t="n"/>
      <c r="J195" s="99" t="n"/>
      <c r="K195" s="99" t="n"/>
      <c r="L195" s="99" t="n"/>
      <c r="M195" s="99" t="n"/>
      <c r="N195" s="99" t="n"/>
      <c r="O195" s="99" t="n"/>
      <c r="P195" s="99" t="n"/>
      <c r="Q195" s="99" t="n"/>
      <c r="R195" s="99" t="n"/>
      <c r="S195" s="99" t="n"/>
      <c r="T195" s="99" t="n"/>
      <c r="U195" s="99" t="n"/>
      <c r="V195" s="99" t="n"/>
      <c r="W195" s="99" t="n"/>
      <c r="X195" s="99" t="n"/>
      <c r="Y195" s="99" t="n"/>
      <c r="Z195" s="99" t="n"/>
      <c r="AA195" s="99" t="n"/>
    </row>
    <row r="196" ht="15.75" customHeight="1" s="205">
      <c r="A196" s="99" t="n"/>
      <c r="B196" s="99" t="n"/>
      <c r="C196" s="99" t="n"/>
      <c r="D196" s="99" t="n"/>
      <c r="E196" s="99" t="n"/>
      <c r="F196" s="99" t="n"/>
      <c r="G196" s="99" t="n"/>
      <c r="H196" s="99" t="n"/>
      <c r="I196" s="99" t="n"/>
      <c r="J196" s="99" t="n"/>
      <c r="K196" s="99" t="n"/>
      <c r="L196" s="99" t="n"/>
      <c r="M196" s="99" t="n"/>
      <c r="N196" s="99" t="n"/>
      <c r="O196" s="99" t="n"/>
      <c r="P196" s="99" t="n"/>
      <c r="Q196" s="99" t="n"/>
      <c r="R196" s="99" t="n"/>
      <c r="S196" s="99" t="n"/>
      <c r="T196" s="99" t="n"/>
      <c r="U196" s="99" t="n"/>
      <c r="V196" s="99" t="n"/>
      <c r="W196" s="99" t="n"/>
      <c r="X196" s="99" t="n"/>
      <c r="Y196" s="99" t="n"/>
      <c r="Z196" s="99" t="n"/>
      <c r="AA196" s="99" t="n"/>
    </row>
    <row r="197" ht="15.75" customHeight="1" s="205">
      <c r="A197" s="99" t="n"/>
      <c r="B197" s="99" t="n"/>
      <c r="C197" s="99" t="n"/>
      <c r="D197" s="99" t="n"/>
      <c r="E197" s="99" t="n"/>
      <c r="F197" s="99" t="n"/>
      <c r="G197" s="99" t="n"/>
      <c r="H197" s="99" t="n"/>
      <c r="I197" s="99" t="n"/>
      <c r="J197" s="99" t="n"/>
      <c r="K197" s="99" t="n"/>
      <c r="L197" s="99" t="n"/>
      <c r="M197" s="99" t="n"/>
      <c r="N197" s="99" t="n"/>
      <c r="O197" s="99" t="n"/>
      <c r="P197" s="99" t="n"/>
      <c r="Q197" s="99" t="n"/>
      <c r="R197" s="99" t="n"/>
      <c r="S197" s="99" t="n"/>
      <c r="T197" s="99" t="n"/>
      <c r="U197" s="99" t="n"/>
      <c r="V197" s="99" t="n"/>
      <c r="W197" s="99" t="n"/>
      <c r="X197" s="99" t="n"/>
      <c r="Y197" s="99" t="n"/>
      <c r="Z197" s="99" t="n"/>
      <c r="AA197" s="99" t="n"/>
    </row>
    <row r="198" ht="15.75" customHeight="1" s="205">
      <c r="A198" s="99" t="n"/>
      <c r="B198" s="99" t="n"/>
      <c r="C198" s="99" t="n"/>
      <c r="D198" s="99" t="n"/>
      <c r="E198" s="99" t="n"/>
      <c r="F198" s="99" t="n"/>
      <c r="G198" s="99" t="n"/>
      <c r="H198" s="99" t="n"/>
      <c r="I198" s="99" t="n"/>
      <c r="J198" s="99" t="n"/>
      <c r="K198" s="99" t="n"/>
      <c r="L198" s="99" t="n"/>
      <c r="M198" s="99" t="n"/>
      <c r="N198" s="99" t="n"/>
      <c r="O198" s="99" t="n"/>
      <c r="P198" s="99" t="n"/>
      <c r="Q198" s="99" t="n"/>
      <c r="R198" s="99" t="n"/>
      <c r="S198" s="99" t="n"/>
      <c r="T198" s="99" t="n"/>
      <c r="U198" s="99" t="n"/>
      <c r="V198" s="99" t="n"/>
      <c r="W198" s="99" t="n"/>
      <c r="X198" s="99" t="n"/>
      <c r="Y198" s="99" t="n"/>
      <c r="Z198" s="99" t="n"/>
      <c r="AA198" s="99" t="n"/>
    </row>
    <row r="199" ht="15.75" customHeight="1" s="205">
      <c r="A199" s="99" t="n"/>
      <c r="B199" s="99" t="n"/>
      <c r="C199" s="99" t="n"/>
      <c r="D199" s="99" t="n"/>
      <c r="E199" s="99" t="n"/>
      <c r="F199" s="99" t="n"/>
      <c r="G199" s="99" t="n"/>
      <c r="H199" s="99" t="n"/>
      <c r="I199" s="99" t="n"/>
      <c r="J199" s="99" t="n"/>
      <c r="K199" s="99" t="n"/>
      <c r="L199" s="99" t="n"/>
      <c r="M199" s="99" t="n"/>
      <c r="N199" s="99" t="n"/>
      <c r="O199" s="99" t="n"/>
      <c r="P199" s="99" t="n"/>
      <c r="Q199" s="99" t="n"/>
      <c r="R199" s="99" t="n"/>
      <c r="S199" s="99" t="n"/>
      <c r="T199" s="99" t="n"/>
      <c r="U199" s="99" t="n"/>
      <c r="V199" s="99" t="n"/>
      <c r="W199" s="99" t="n"/>
      <c r="X199" s="99" t="n"/>
      <c r="Y199" s="99" t="n"/>
      <c r="Z199" s="99" t="n"/>
      <c r="AA199" s="99" t="n"/>
    </row>
    <row r="200" ht="15.75" customHeight="1" s="205">
      <c r="A200" s="99" t="n"/>
      <c r="B200" s="99" t="n"/>
      <c r="C200" s="99" t="n"/>
      <c r="D200" s="99" t="n"/>
      <c r="E200" s="99" t="n"/>
      <c r="F200" s="99" t="n"/>
      <c r="G200" s="99" t="n"/>
      <c r="H200" s="99" t="n"/>
      <c r="I200" s="99" t="n"/>
      <c r="J200" s="99" t="n"/>
      <c r="K200" s="99" t="n"/>
      <c r="L200" s="99" t="n"/>
      <c r="M200" s="99" t="n"/>
      <c r="N200" s="99" t="n"/>
      <c r="O200" s="99" t="n"/>
      <c r="P200" s="99" t="n"/>
      <c r="Q200" s="99" t="n"/>
      <c r="R200" s="99" t="n"/>
      <c r="S200" s="99" t="n"/>
      <c r="T200" s="99" t="n"/>
      <c r="U200" s="99" t="n"/>
      <c r="V200" s="99" t="n"/>
      <c r="W200" s="99" t="n"/>
      <c r="X200" s="99" t="n"/>
      <c r="Y200" s="99" t="n"/>
      <c r="Z200" s="99" t="n"/>
      <c r="AA200" s="99" t="n"/>
    </row>
    <row r="201" ht="15.75" customHeight="1" s="205">
      <c r="A201" s="99" t="n"/>
      <c r="B201" s="99" t="n"/>
      <c r="C201" s="99" t="n"/>
      <c r="D201" s="99" t="n"/>
      <c r="E201" s="99" t="n"/>
      <c r="F201" s="99" t="n"/>
      <c r="G201" s="99" t="n"/>
      <c r="H201" s="99" t="n"/>
      <c r="I201" s="99" t="n"/>
      <c r="J201" s="99" t="n"/>
      <c r="K201" s="99" t="n"/>
      <c r="L201" s="99" t="n"/>
      <c r="M201" s="99" t="n"/>
      <c r="N201" s="99" t="n"/>
      <c r="O201" s="99" t="n"/>
      <c r="P201" s="99" t="n"/>
      <c r="Q201" s="99" t="n"/>
      <c r="R201" s="99" t="n"/>
      <c r="S201" s="99" t="n"/>
      <c r="T201" s="99" t="n"/>
      <c r="U201" s="99" t="n"/>
      <c r="V201" s="99" t="n"/>
      <c r="W201" s="99" t="n"/>
      <c r="X201" s="99" t="n"/>
      <c r="Y201" s="99" t="n"/>
      <c r="Z201" s="99" t="n"/>
      <c r="AA201" s="99" t="n"/>
    </row>
    <row r="202" ht="15.75" customHeight="1" s="205">
      <c r="A202" s="99" t="n"/>
      <c r="B202" s="99" t="n"/>
      <c r="C202" s="99" t="n"/>
      <c r="D202" s="99" t="n"/>
      <c r="E202" s="99" t="n"/>
      <c r="F202" s="99" t="n"/>
      <c r="G202" s="99" t="n"/>
      <c r="H202" s="99" t="n"/>
      <c r="I202" s="99" t="n"/>
      <c r="J202" s="99" t="n"/>
      <c r="K202" s="99" t="n"/>
      <c r="L202" s="99" t="n"/>
      <c r="M202" s="99" t="n"/>
      <c r="N202" s="99" t="n"/>
      <c r="O202" s="99" t="n"/>
      <c r="P202" s="99" t="n"/>
      <c r="Q202" s="99" t="n"/>
      <c r="R202" s="99" t="n"/>
      <c r="S202" s="99" t="n"/>
      <c r="T202" s="99" t="n"/>
      <c r="U202" s="99" t="n"/>
      <c r="V202" s="99" t="n"/>
      <c r="W202" s="99" t="n"/>
      <c r="X202" s="99" t="n"/>
      <c r="Y202" s="99" t="n"/>
      <c r="Z202" s="99" t="n"/>
      <c r="AA202" s="99" t="n"/>
    </row>
    <row r="203" ht="15.75" customHeight="1" s="205">
      <c r="A203" s="99" t="n"/>
      <c r="B203" s="99" t="n"/>
      <c r="C203" s="99" t="n"/>
      <c r="D203" s="99" t="n"/>
      <c r="E203" s="99" t="n"/>
      <c r="F203" s="99" t="n"/>
      <c r="G203" s="99" t="n"/>
      <c r="H203" s="99" t="n"/>
      <c r="I203" s="99" t="n"/>
      <c r="J203" s="99" t="n"/>
      <c r="K203" s="99" t="n"/>
      <c r="L203" s="99" t="n"/>
      <c r="M203" s="99" t="n"/>
      <c r="N203" s="99" t="n"/>
      <c r="O203" s="99" t="n"/>
      <c r="P203" s="99" t="n"/>
      <c r="Q203" s="99" t="n"/>
      <c r="R203" s="99" t="n"/>
      <c r="S203" s="99" t="n"/>
      <c r="T203" s="99" t="n"/>
      <c r="U203" s="99" t="n"/>
      <c r="V203" s="99" t="n"/>
      <c r="W203" s="99" t="n"/>
      <c r="X203" s="99" t="n"/>
      <c r="Y203" s="99" t="n"/>
      <c r="Z203" s="99" t="n"/>
      <c r="AA203" s="99" t="n"/>
    </row>
    <row r="204" ht="15.75" customHeight="1" s="205">
      <c r="A204" s="99" t="n"/>
      <c r="B204" s="99" t="n"/>
      <c r="C204" s="99" t="n"/>
      <c r="D204" s="99" t="n"/>
      <c r="E204" s="99" t="n"/>
      <c r="F204" s="99" t="n"/>
      <c r="G204" s="99" t="n"/>
      <c r="H204" s="99" t="n"/>
      <c r="I204" s="99" t="n"/>
      <c r="J204" s="99" t="n"/>
      <c r="K204" s="99" t="n"/>
      <c r="L204" s="99" t="n"/>
      <c r="M204" s="99" t="n"/>
      <c r="N204" s="99" t="n"/>
      <c r="O204" s="99" t="n"/>
      <c r="P204" s="99" t="n"/>
      <c r="Q204" s="99" t="n"/>
      <c r="R204" s="99" t="n"/>
      <c r="S204" s="99" t="n"/>
      <c r="T204" s="99" t="n"/>
      <c r="U204" s="99" t="n"/>
      <c r="V204" s="99" t="n"/>
      <c r="W204" s="99" t="n"/>
      <c r="X204" s="99" t="n"/>
      <c r="Y204" s="99" t="n"/>
      <c r="Z204" s="99" t="n"/>
      <c r="AA204" s="99" t="n"/>
    </row>
    <row r="205" ht="15.75" customHeight="1" s="205">
      <c r="A205" s="99" t="n"/>
      <c r="B205" s="99" t="n"/>
      <c r="C205" s="99" t="n"/>
      <c r="D205" s="99" t="n"/>
      <c r="E205" s="99" t="n"/>
      <c r="F205" s="99" t="n"/>
      <c r="G205" s="99" t="n"/>
      <c r="H205" s="99" t="n"/>
      <c r="I205" s="99" t="n"/>
      <c r="J205" s="99" t="n"/>
      <c r="K205" s="99" t="n"/>
      <c r="L205" s="99" t="n"/>
      <c r="M205" s="99" t="n"/>
      <c r="N205" s="99" t="n"/>
      <c r="O205" s="99" t="n"/>
      <c r="P205" s="99" t="n"/>
      <c r="Q205" s="99" t="n"/>
      <c r="R205" s="99" t="n"/>
      <c r="S205" s="99" t="n"/>
      <c r="T205" s="99" t="n"/>
      <c r="U205" s="99" t="n"/>
      <c r="V205" s="99" t="n"/>
      <c r="W205" s="99" t="n"/>
      <c r="X205" s="99" t="n"/>
      <c r="Y205" s="99" t="n"/>
      <c r="Z205" s="99" t="n"/>
      <c r="AA205" s="99" t="n"/>
    </row>
    <row r="206" ht="15.75" customHeight="1" s="205">
      <c r="A206" s="99" t="n"/>
      <c r="B206" s="99" t="n"/>
      <c r="C206" s="99" t="n"/>
      <c r="D206" s="99" t="n"/>
      <c r="E206" s="99" t="n"/>
      <c r="F206" s="99" t="n"/>
      <c r="G206" s="99" t="n"/>
      <c r="H206" s="99" t="n"/>
      <c r="I206" s="99" t="n"/>
      <c r="J206" s="99" t="n"/>
      <c r="K206" s="99" t="n"/>
      <c r="L206" s="99" t="n"/>
      <c r="M206" s="99" t="n"/>
      <c r="N206" s="99" t="n"/>
      <c r="O206" s="99" t="n"/>
      <c r="P206" s="99" t="n"/>
      <c r="Q206" s="99" t="n"/>
      <c r="R206" s="99" t="n"/>
      <c r="S206" s="99" t="n"/>
      <c r="T206" s="99" t="n"/>
      <c r="U206" s="99" t="n"/>
      <c r="V206" s="99" t="n"/>
      <c r="W206" s="99" t="n"/>
      <c r="X206" s="99" t="n"/>
      <c r="Y206" s="99" t="n"/>
      <c r="Z206" s="99" t="n"/>
      <c r="AA206" s="99" t="n"/>
    </row>
    <row r="207" ht="15.75" customHeight="1" s="205">
      <c r="A207" s="99" t="n"/>
      <c r="B207" s="99" t="n"/>
      <c r="C207" s="99" t="n"/>
      <c r="D207" s="99" t="n"/>
      <c r="E207" s="99" t="n"/>
      <c r="F207" s="99" t="n"/>
      <c r="G207" s="99" t="n"/>
      <c r="H207" s="99" t="n"/>
      <c r="I207" s="99" t="n"/>
      <c r="J207" s="99" t="n"/>
      <c r="K207" s="99" t="n"/>
      <c r="L207" s="99" t="n"/>
      <c r="M207" s="99" t="n"/>
      <c r="N207" s="99" t="n"/>
      <c r="O207" s="99" t="n"/>
      <c r="P207" s="99" t="n"/>
      <c r="Q207" s="99" t="n"/>
      <c r="R207" s="99" t="n"/>
      <c r="S207" s="99" t="n"/>
      <c r="T207" s="99" t="n"/>
      <c r="U207" s="99" t="n"/>
      <c r="V207" s="99" t="n"/>
      <c r="W207" s="99" t="n"/>
      <c r="X207" s="99" t="n"/>
      <c r="Y207" s="99" t="n"/>
      <c r="Z207" s="99" t="n"/>
      <c r="AA207" s="99" t="n"/>
    </row>
    <row r="208" ht="15.75" customHeight="1" s="205">
      <c r="A208" s="99" t="n"/>
      <c r="B208" s="99" t="n"/>
      <c r="C208" s="99" t="n"/>
      <c r="D208" s="99" t="n"/>
      <c r="E208" s="99" t="n"/>
      <c r="F208" s="99" t="n"/>
      <c r="G208" s="99" t="n"/>
      <c r="H208" s="99" t="n"/>
      <c r="I208" s="99" t="n"/>
      <c r="J208" s="99" t="n"/>
      <c r="K208" s="99" t="n"/>
      <c r="L208" s="99" t="n"/>
      <c r="M208" s="99" t="n"/>
      <c r="N208" s="99" t="n"/>
      <c r="O208" s="99" t="n"/>
      <c r="P208" s="99" t="n"/>
      <c r="Q208" s="99" t="n"/>
      <c r="R208" s="99" t="n"/>
      <c r="S208" s="99" t="n"/>
      <c r="T208" s="99" t="n"/>
      <c r="U208" s="99" t="n"/>
      <c r="V208" s="99" t="n"/>
      <c r="W208" s="99" t="n"/>
      <c r="X208" s="99" t="n"/>
      <c r="Y208" s="99" t="n"/>
      <c r="Z208" s="99" t="n"/>
      <c r="AA208" s="99" t="n"/>
    </row>
    <row r="209" ht="15.75" customHeight="1" s="205">
      <c r="A209" s="99" t="n"/>
      <c r="B209" s="99" t="n"/>
      <c r="C209" s="99" t="n"/>
      <c r="D209" s="99" t="n"/>
      <c r="E209" s="99" t="n"/>
      <c r="F209" s="99" t="n"/>
      <c r="G209" s="99" t="n"/>
      <c r="H209" s="99" t="n"/>
      <c r="I209" s="99" t="n"/>
      <c r="J209" s="99" t="n"/>
      <c r="K209" s="99" t="n"/>
      <c r="L209" s="99" t="n"/>
      <c r="M209" s="99" t="n"/>
      <c r="N209" s="99" t="n"/>
      <c r="O209" s="99" t="n"/>
      <c r="P209" s="99" t="n"/>
      <c r="Q209" s="99" t="n"/>
      <c r="R209" s="99" t="n"/>
      <c r="S209" s="99" t="n"/>
      <c r="T209" s="99" t="n"/>
      <c r="U209" s="99" t="n"/>
      <c r="V209" s="99" t="n"/>
      <c r="W209" s="99" t="n"/>
      <c r="X209" s="99" t="n"/>
      <c r="Y209" s="99" t="n"/>
      <c r="Z209" s="99" t="n"/>
      <c r="AA209" s="99" t="n"/>
    </row>
    <row r="210" ht="15.75" customHeight="1" s="205">
      <c r="A210" s="99" t="n"/>
      <c r="B210" s="99" t="n"/>
      <c r="C210" s="99" t="n"/>
      <c r="D210" s="99" t="n"/>
      <c r="E210" s="99" t="n"/>
      <c r="F210" s="99" t="n"/>
      <c r="G210" s="99" t="n"/>
      <c r="H210" s="99" t="n"/>
      <c r="I210" s="99" t="n"/>
      <c r="J210" s="99" t="n"/>
      <c r="K210" s="99" t="n"/>
      <c r="L210" s="99" t="n"/>
      <c r="M210" s="99" t="n"/>
      <c r="N210" s="99" t="n"/>
      <c r="O210" s="99" t="n"/>
      <c r="P210" s="99" t="n"/>
      <c r="Q210" s="99" t="n"/>
      <c r="R210" s="99" t="n"/>
      <c r="S210" s="99" t="n"/>
      <c r="T210" s="99" t="n"/>
      <c r="U210" s="99" t="n"/>
      <c r="V210" s="99" t="n"/>
      <c r="W210" s="99" t="n"/>
      <c r="X210" s="99" t="n"/>
      <c r="Y210" s="99" t="n"/>
      <c r="Z210" s="99" t="n"/>
      <c r="AA210" s="99" t="n"/>
    </row>
    <row r="211" ht="15.75" customHeight="1" s="205">
      <c r="A211" s="99" t="n"/>
      <c r="B211" s="99" t="n"/>
      <c r="C211" s="99" t="n"/>
      <c r="D211" s="99" t="n"/>
      <c r="E211" s="99" t="n"/>
      <c r="F211" s="99" t="n"/>
      <c r="G211" s="99" t="n"/>
      <c r="H211" s="99" t="n"/>
      <c r="I211" s="99" t="n"/>
      <c r="J211" s="99" t="n"/>
      <c r="K211" s="99" t="n"/>
      <c r="L211" s="99" t="n"/>
      <c r="M211" s="99" t="n"/>
      <c r="N211" s="99" t="n"/>
      <c r="O211" s="99" t="n"/>
      <c r="P211" s="99" t="n"/>
      <c r="Q211" s="99" t="n"/>
      <c r="R211" s="99" t="n"/>
      <c r="S211" s="99" t="n"/>
      <c r="T211" s="99" t="n"/>
      <c r="U211" s="99" t="n"/>
      <c r="V211" s="99" t="n"/>
      <c r="W211" s="99" t="n"/>
      <c r="X211" s="99" t="n"/>
      <c r="Y211" s="99" t="n"/>
      <c r="Z211" s="99" t="n"/>
      <c r="AA211" s="99" t="n"/>
    </row>
    <row r="212" ht="15.75" customHeight="1" s="205">
      <c r="A212" s="99" t="n"/>
      <c r="B212" s="99" t="n"/>
      <c r="C212" s="99" t="n"/>
      <c r="D212" s="99" t="n"/>
      <c r="E212" s="99" t="n"/>
      <c r="F212" s="99" t="n"/>
      <c r="G212" s="99" t="n"/>
      <c r="H212" s="99" t="n"/>
      <c r="I212" s="99" t="n"/>
      <c r="J212" s="99" t="n"/>
      <c r="K212" s="99" t="n"/>
      <c r="L212" s="99" t="n"/>
      <c r="M212" s="99" t="n"/>
      <c r="N212" s="99" t="n"/>
      <c r="O212" s="99" t="n"/>
      <c r="P212" s="99" t="n"/>
      <c r="Q212" s="99" t="n"/>
      <c r="R212" s="99" t="n"/>
      <c r="S212" s="99" t="n"/>
      <c r="T212" s="99" t="n"/>
      <c r="U212" s="99" t="n"/>
      <c r="V212" s="99" t="n"/>
      <c r="W212" s="99" t="n"/>
      <c r="X212" s="99" t="n"/>
      <c r="Y212" s="99" t="n"/>
      <c r="Z212" s="99" t="n"/>
      <c r="AA212" s="99" t="n"/>
    </row>
    <row r="213" ht="15.75" customHeight="1" s="205">
      <c r="A213" s="99" t="n"/>
      <c r="B213" s="99" t="n"/>
      <c r="C213" s="99" t="n"/>
      <c r="D213" s="99" t="n"/>
      <c r="E213" s="99" t="n"/>
      <c r="F213" s="99" t="n"/>
      <c r="G213" s="99" t="n"/>
      <c r="H213" s="99" t="n"/>
      <c r="I213" s="99" t="n"/>
      <c r="J213" s="99" t="n"/>
      <c r="K213" s="99" t="n"/>
      <c r="L213" s="99" t="n"/>
      <c r="M213" s="99" t="n"/>
      <c r="N213" s="99" t="n"/>
      <c r="O213" s="99" t="n"/>
      <c r="P213" s="99" t="n"/>
      <c r="Q213" s="99" t="n"/>
      <c r="R213" s="99" t="n"/>
      <c r="S213" s="99" t="n"/>
      <c r="T213" s="99" t="n"/>
      <c r="U213" s="99" t="n"/>
      <c r="V213" s="99" t="n"/>
      <c r="W213" s="99" t="n"/>
      <c r="X213" s="99" t="n"/>
      <c r="Y213" s="99" t="n"/>
      <c r="Z213" s="99" t="n"/>
      <c r="AA213" s="99" t="n"/>
    </row>
    <row r="214" ht="15.75" customHeight="1" s="205">
      <c r="A214" s="99" t="n"/>
      <c r="B214" s="99" t="n"/>
      <c r="C214" s="99" t="n"/>
      <c r="D214" s="99" t="n"/>
      <c r="E214" s="99" t="n"/>
      <c r="F214" s="99" t="n"/>
      <c r="G214" s="99" t="n"/>
      <c r="H214" s="99" t="n"/>
      <c r="I214" s="99" t="n"/>
      <c r="J214" s="99" t="n"/>
      <c r="K214" s="99" t="n"/>
      <c r="L214" s="99" t="n"/>
      <c r="M214" s="99" t="n"/>
      <c r="N214" s="99" t="n"/>
      <c r="O214" s="99" t="n"/>
      <c r="P214" s="99" t="n"/>
      <c r="Q214" s="99" t="n"/>
      <c r="R214" s="99" t="n"/>
      <c r="S214" s="99" t="n"/>
      <c r="T214" s="99" t="n"/>
      <c r="U214" s="99" t="n"/>
      <c r="V214" s="99" t="n"/>
      <c r="W214" s="99" t="n"/>
      <c r="X214" s="99" t="n"/>
      <c r="Y214" s="99" t="n"/>
      <c r="Z214" s="99" t="n"/>
      <c r="AA214" s="99" t="n"/>
    </row>
    <row r="215" ht="15.75" customHeight="1" s="205">
      <c r="A215" s="99" t="n"/>
      <c r="B215" s="99" t="n"/>
      <c r="C215" s="99" t="n"/>
      <c r="D215" s="99" t="n"/>
      <c r="E215" s="99" t="n"/>
      <c r="F215" s="99" t="n"/>
      <c r="G215" s="99" t="n"/>
      <c r="H215" s="99" t="n"/>
      <c r="I215" s="99" t="n"/>
      <c r="J215" s="99" t="n"/>
      <c r="K215" s="99" t="n"/>
      <c r="L215" s="99" t="n"/>
      <c r="M215" s="99" t="n"/>
      <c r="N215" s="99" t="n"/>
      <c r="O215" s="99" t="n"/>
      <c r="P215" s="99" t="n"/>
      <c r="Q215" s="99" t="n"/>
      <c r="R215" s="99" t="n"/>
      <c r="S215" s="99" t="n"/>
      <c r="T215" s="99" t="n"/>
      <c r="U215" s="99" t="n"/>
      <c r="V215" s="99" t="n"/>
      <c r="W215" s="99" t="n"/>
      <c r="X215" s="99" t="n"/>
      <c r="Y215" s="99" t="n"/>
      <c r="Z215" s="99" t="n"/>
      <c r="AA215" s="99" t="n"/>
    </row>
    <row r="216" ht="15.75" customHeight="1" s="205">
      <c r="A216" s="99" t="n"/>
      <c r="B216" s="99" t="n"/>
      <c r="C216" s="99" t="n"/>
      <c r="D216" s="99" t="n"/>
      <c r="E216" s="99" t="n"/>
      <c r="F216" s="99" t="n"/>
      <c r="G216" s="99" t="n"/>
      <c r="H216" s="99" t="n"/>
      <c r="I216" s="99" t="n"/>
      <c r="J216" s="99" t="n"/>
      <c r="K216" s="99" t="n"/>
      <c r="L216" s="99" t="n"/>
      <c r="M216" s="99" t="n"/>
      <c r="N216" s="99" t="n"/>
      <c r="O216" s="99" t="n"/>
      <c r="P216" s="99" t="n"/>
      <c r="Q216" s="99" t="n"/>
      <c r="R216" s="99" t="n"/>
      <c r="S216" s="99" t="n"/>
      <c r="T216" s="99" t="n"/>
      <c r="U216" s="99" t="n"/>
      <c r="V216" s="99" t="n"/>
      <c r="W216" s="99" t="n"/>
      <c r="X216" s="99" t="n"/>
      <c r="Y216" s="99" t="n"/>
      <c r="Z216" s="99" t="n"/>
      <c r="AA216" s="99" t="n"/>
    </row>
    <row r="217" ht="15.75" customHeight="1" s="205">
      <c r="A217" s="99" t="n"/>
      <c r="B217" s="99" t="n"/>
      <c r="C217" s="99" t="n"/>
      <c r="D217" s="99" t="n"/>
      <c r="E217" s="99" t="n"/>
      <c r="F217" s="99" t="n"/>
      <c r="G217" s="99" t="n"/>
      <c r="H217" s="99" t="n"/>
      <c r="I217" s="99" t="n"/>
      <c r="J217" s="99" t="n"/>
      <c r="K217" s="99" t="n"/>
      <c r="L217" s="99" t="n"/>
      <c r="M217" s="99" t="n"/>
      <c r="N217" s="99" t="n"/>
      <c r="O217" s="99" t="n"/>
      <c r="P217" s="99" t="n"/>
      <c r="Q217" s="99" t="n"/>
      <c r="R217" s="99" t="n"/>
      <c r="S217" s="99" t="n"/>
      <c r="T217" s="99" t="n"/>
      <c r="U217" s="99" t="n"/>
      <c r="V217" s="99" t="n"/>
      <c r="W217" s="99" t="n"/>
      <c r="X217" s="99" t="n"/>
      <c r="Y217" s="99" t="n"/>
      <c r="Z217" s="99" t="n"/>
      <c r="AA217" s="99" t="n"/>
    </row>
    <row r="218" ht="15.75" customHeight="1" s="205">
      <c r="A218" s="99" t="n"/>
      <c r="B218" s="99" t="n"/>
      <c r="C218" s="99" t="n"/>
      <c r="D218" s="99" t="n"/>
      <c r="E218" s="99" t="n"/>
      <c r="F218" s="99" t="n"/>
      <c r="G218" s="99" t="n"/>
      <c r="H218" s="99" t="n"/>
      <c r="I218" s="99" t="n"/>
      <c r="J218" s="99" t="n"/>
      <c r="K218" s="99" t="n"/>
      <c r="L218" s="99" t="n"/>
      <c r="M218" s="99" t="n"/>
      <c r="N218" s="99" t="n"/>
      <c r="O218" s="99" t="n"/>
      <c r="P218" s="99" t="n"/>
      <c r="Q218" s="99" t="n"/>
      <c r="R218" s="99" t="n"/>
      <c r="S218" s="99" t="n"/>
      <c r="T218" s="99" t="n"/>
      <c r="U218" s="99" t="n"/>
      <c r="V218" s="99" t="n"/>
      <c r="W218" s="99" t="n"/>
      <c r="X218" s="99" t="n"/>
      <c r="Y218" s="99" t="n"/>
      <c r="Z218" s="99" t="n"/>
      <c r="AA218" s="99" t="n"/>
    </row>
    <row r="219" ht="15.75" customHeight="1" s="205">
      <c r="A219" s="99" t="n"/>
      <c r="B219" s="99" t="n"/>
      <c r="C219" s="99" t="n"/>
      <c r="D219" s="99" t="n"/>
      <c r="E219" s="99" t="n"/>
      <c r="F219" s="99" t="n"/>
      <c r="G219" s="99" t="n"/>
      <c r="H219" s="99" t="n"/>
      <c r="I219" s="99" t="n"/>
      <c r="J219" s="99" t="n"/>
      <c r="K219" s="99" t="n"/>
      <c r="L219" s="99" t="n"/>
      <c r="M219" s="99" t="n"/>
      <c r="N219" s="99" t="n"/>
      <c r="O219" s="99" t="n"/>
      <c r="P219" s="99" t="n"/>
      <c r="Q219" s="99" t="n"/>
      <c r="R219" s="99" t="n"/>
      <c r="S219" s="99" t="n"/>
      <c r="T219" s="99" t="n"/>
      <c r="U219" s="99" t="n"/>
      <c r="V219" s="99" t="n"/>
      <c r="W219" s="99" t="n"/>
      <c r="X219" s="99" t="n"/>
      <c r="Y219" s="99" t="n"/>
      <c r="Z219" s="99" t="n"/>
      <c r="AA219" s="99" t="n"/>
    </row>
    <row r="220" ht="15.75" customHeight="1" s="205">
      <c r="A220" s="99" t="n"/>
      <c r="B220" s="99" t="n"/>
      <c r="C220" s="99" t="n"/>
      <c r="D220" s="99" t="n"/>
      <c r="E220" s="99" t="n"/>
      <c r="F220" s="99" t="n"/>
      <c r="G220" s="99" t="n"/>
      <c r="H220" s="99" t="n"/>
      <c r="I220" s="99" t="n"/>
      <c r="J220" s="99" t="n"/>
      <c r="K220" s="99" t="n"/>
      <c r="L220" s="99" t="n"/>
      <c r="M220" s="99" t="n"/>
      <c r="N220" s="99" t="n"/>
      <c r="O220" s="99" t="n"/>
      <c r="P220" s="99" t="n"/>
      <c r="Q220" s="99" t="n"/>
      <c r="R220" s="99" t="n"/>
      <c r="S220" s="99" t="n"/>
      <c r="T220" s="99" t="n"/>
      <c r="U220" s="99" t="n"/>
      <c r="V220" s="99" t="n"/>
      <c r="W220" s="99" t="n"/>
      <c r="X220" s="99" t="n"/>
      <c r="Y220" s="99" t="n"/>
      <c r="Z220" s="99" t="n"/>
      <c r="AA220" s="99" t="n"/>
    </row>
    <row r="221" ht="15.75" customHeight="1" s="205">
      <c r="A221" s="99" t="n"/>
      <c r="B221" s="99" t="n"/>
      <c r="C221" s="99" t="n"/>
      <c r="D221" s="99" t="n"/>
      <c r="E221" s="99" t="n"/>
      <c r="F221" s="99" t="n"/>
      <c r="G221" s="99" t="n"/>
      <c r="H221" s="99" t="n"/>
      <c r="I221" s="99" t="n"/>
      <c r="J221" s="99" t="n"/>
      <c r="K221" s="99" t="n"/>
      <c r="L221" s="99" t="n"/>
      <c r="M221" s="99" t="n"/>
      <c r="N221" s="99" t="n"/>
      <c r="O221" s="99" t="n"/>
      <c r="P221" s="99" t="n"/>
      <c r="Q221" s="99" t="n"/>
      <c r="R221" s="99" t="n"/>
      <c r="S221" s="99" t="n"/>
      <c r="T221" s="99" t="n"/>
      <c r="U221" s="99" t="n"/>
      <c r="V221" s="99" t="n"/>
      <c r="W221" s="99" t="n"/>
      <c r="X221" s="99" t="n"/>
      <c r="Y221" s="99" t="n"/>
      <c r="Z221" s="99" t="n"/>
      <c r="AA221" s="99" t="n"/>
    </row>
    <row r="222" ht="15.75" customHeight="1" s="205">
      <c r="A222" s="99" t="n"/>
      <c r="B222" s="99" t="n"/>
      <c r="C222" s="99" t="n"/>
      <c r="D222" s="99" t="n"/>
      <c r="E222" s="99" t="n"/>
      <c r="F222" s="99" t="n"/>
      <c r="G222" s="99" t="n"/>
      <c r="H222" s="99" t="n"/>
      <c r="I222" s="99" t="n"/>
      <c r="J222" s="99" t="n"/>
      <c r="K222" s="99" t="n"/>
      <c r="L222" s="99" t="n"/>
      <c r="M222" s="99" t="n"/>
      <c r="N222" s="99" t="n"/>
      <c r="O222" s="99" t="n"/>
      <c r="P222" s="99" t="n"/>
      <c r="Q222" s="99" t="n"/>
      <c r="R222" s="99" t="n"/>
      <c r="S222" s="99" t="n"/>
      <c r="T222" s="99" t="n"/>
      <c r="U222" s="99" t="n"/>
      <c r="V222" s="99" t="n"/>
      <c r="W222" s="99" t="n"/>
      <c r="X222" s="99" t="n"/>
      <c r="Y222" s="99" t="n"/>
      <c r="Z222" s="99" t="n"/>
      <c r="AA222" s="99" t="n"/>
    </row>
    <row r="223" ht="15.75" customHeight="1" s="205">
      <c r="A223" s="99" t="n"/>
      <c r="B223" s="99" t="n"/>
      <c r="C223" s="99" t="n"/>
      <c r="D223" s="99" t="n"/>
      <c r="E223" s="99" t="n"/>
      <c r="F223" s="99" t="n"/>
      <c r="G223" s="99" t="n"/>
      <c r="H223" s="99" t="n"/>
      <c r="I223" s="99" t="n"/>
      <c r="J223" s="99" t="n"/>
      <c r="K223" s="99" t="n"/>
      <c r="L223" s="99" t="n"/>
      <c r="M223" s="99" t="n"/>
      <c r="N223" s="99" t="n"/>
      <c r="O223" s="99" t="n"/>
      <c r="P223" s="99" t="n"/>
      <c r="Q223" s="99" t="n"/>
      <c r="R223" s="99" t="n"/>
      <c r="S223" s="99" t="n"/>
      <c r="T223" s="99" t="n"/>
      <c r="U223" s="99" t="n"/>
      <c r="V223" s="99" t="n"/>
      <c r="W223" s="99" t="n"/>
      <c r="X223" s="99" t="n"/>
      <c r="Y223" s="99" t="n"/>
      <c r="Z223" s="99" t="n"/>
      <c r="AA223" s="99" t="n"/>
    </row>
    <row r="224" ht="15.75" customHeight="1" s="205">
      <c r="A224" s="99" t="n"/>
      <c r="B224" s="99" t="n"/>
      <c r="C224" s="99" t="n"/>
      <c r="D224" s="99" t="n"/>
      <c r="E224" s="99" t="n"/>
      <c r="F224" s="99" t="n"/>
      <c r="G224" s="99" t="n"/>
      <c r="H224" s="99" t="n"/>
      <c r="I224" s="99" t="n"/>
      <c r="J224" s="99" t="n"/>
      <c r="K224" s="99" t="n"/>
      <c r="L224" s="99" t="n"/>
      <c r="M224" s="99" t="n"/>
      <c r="N224" s="99" t="n"/>
      <c r="O224" s="99" t="n"/>
      <c r="P224" s="99" t="n"/>
      <c r="Q224" s="99" t="n"/>
      <c r="R224" s="99" t="n"/>
      <c r="S224" s="99" t="n"/>
      <c r="T224" s="99" t="n"/>
      <c r="U224" s="99" t="n"/>
      <c r="V224" s="99" t="n"/>
      <c r="W224" s="99" t="n"/>
      <c r="X224" s="99" t="n"/>
      <c r="Y224" s="99" t="n"/>
      <c r="Z224" s="99" t="n"/>
      <c r="AA224" s="99" t="n"/>
    </row>
    <row r="225" ht="15.75" customHeight="1" s="205">
      <c r="A225" s="99" t="n"/>
      <c r="B225" s="99" t="n"/>
      <c r="C225" s="99" t="n"/>
      <c r="D225" s="99" t="n"/>
      <c r="E225" s="99" t="n"/>
      <c r="F225" s="99" t="n"/>
      <c r="G225" s="99" t="n"/>
      <c r="H225" s="99" t="n"/>
      <c r="I225" s="99" t="n"/>
      <c r="J225" s="99" t="n"/>
      <c r="K225" s="99" t="n"/>
      <c r="L225" s="99" t="n"/>
      <c r="M225" s="99" t="n"/>
      <c r="N225" s="99" t="n"/>
      <c r="O225" s="99" t="n"/>
      <c r="P225" s="99" t="n"/>
      <c r="Q225" s="99" t="n"/>
      <c r="R225" s="99" t="n"/>
      <c r="S225" s="99" t="n"/>
      <c r="T225" s="99" t="n"/>
      <c r="U225" s="99" t="n"/>
      <c r="V225" s="99" t="n"/>
      <c r="W225" s="99" t="n"/>
      <c r="X225" s="99" t="n"/>
      <c r="Y225" s="99" t="n"/>
      <c r="Z225" s="99" t="n"/>
      <c r="AA225" s="99" t="n"/>
    </row>
    <row r="226" ht="15.75" customHeight="1" s="205">
      <c r="A226" s="99" t="n"/>
      <c r="B226" s="99" t="n"/>
      <c r="C226" s="99" t="n"/>
      <c r="D226" s="99" t="n"/>
      <c r="E226" s="99" t="n"/>
      <c r="F226" s="99" t="n"/>
      <c r="G226" s="99" t="n"/>
      <c r="H226" s="99" t="n"/>
      <c r="I226" s="99" t="n"/>
      <c r="J226" s="99" t="n"/>
      <c r="K226" s="99" t="n"/>
      <c r="L226" s="99" t="n"/>
      <c r="M226" s="99" t="n"/>
      <c r="N226" s="99" t="n"/>
      <c r="O226" s="99" t="n"/>
      <c r="P226" s="99" t="n"/>
      <c r="Q226" s="99" t="n"/>
      <c r="R226" s="99" t="n"/>
      <c r="S226" s="99" t="n"/>
      <c r="T226" s="99" t="n"/>
      <c r="U226" s="99" t="n"/>
      <c r="V226" s="99" t="n"/>
      <c r="W226" s="99" t="n"/>
      <c r="X226" s="99" t="n"/>
      <c r="Y226" s="99" t="n"/>
      <c r="Z226" s="99" t="n"/>
      <c r="AA226" s="99" t="n"/>
    </row>
    <row r="227" ht="15.75" customHeight="1" s="205">
      <c r="A227" s="99" t="n"/>
      <c r="B227" s="99" t="n"/>
      <c r="C227" s="99" t="n"/>
      <c r="D227" s="99" t="n"/>
      <c r="E227" s="99" t="n"/>
      <c r="F227" s="99" t="n"/>
      <c r="G227" s="99" t="n"/>
      <c r="H227" s="99" t="n"/>
      <c r="I227" s="99" t="n"/>
      <c r="J227" s="99" t="n"/>
      <c r="K227" s="99" t="n"/>
      <c r="L227" s="99" t="n"/>
      <c r="M227" s="99" t="n"/>
      <c r="N227" s="99" t="n"/>
      <c r="O227" s="99" t="n"/>
      <c r="P227" s="99" t="n"/>
      <c r="Q227" s="99" t="n"/>
      <c r="R227" s="99" t="n"/>
      <c r="S227" s="99" t="n"/>
      <c r="T227" s="99" t="n"/>
      <c r="U227" s="99" t="n"/>
      <c r="V227" s="99" t="n"/>
      <c r="W227" s="99" t="n"/>
      <c r="X227" s="99" t="n"/>
      <c r="Y227" s="99" t="n"/>
      <c r="Z227" s="99" t="n"/>
      <c r="AA227" s="99" t="n"/>
    </row>
    <row r="228" ht="15.75" customHeight="1" s="205">
      <c r="A228" s="99" t="n"/>
      <c r="B228" s="99" t="n"/>
      <c r="C228" s="99" t="n"/>
      <c r="D228" s="99" t="n"/>
      <c r="E228" s="99" t="n"/>
      <c r="F228" s="99" t="n"/>
      <c r="G228" s="99" t="n"/>
      <c r="H228" s="99" t="n"/>
      <c r="I228" s="99" t="n"/>
      <c r="J228" s="99" t="n"/>
      <c r="K228" s="99" t="n"/>
      <c r="L228" s="99" t="n"/>
      <c r="M228" s="99" t="n"/>
      <c r="N228" s="99" t="n"/>
      <c r="O228" s="99" t="n"/>
      <c r="P228" s="99" t="n"/>
      <c r="Q228" s="99" t="n"/>
      <c r="R228" s="99" t="n"/>
      <c r="S228" s="99" t="n"/>
      <c r="T228" s="99" t="n"/>
      <c r="U228" s="99" t="n"/>
      <c r="V228" s="99" t="n"/>
      <c r="W228" s="99" t="n"/>
      <c r="X228" s="99" t="n"/>
      <c r="Y228" s="99" t="n"/>
      <c r="Z228" s="99" t="n"/>
      <c r="AA228" s="99" t="n"/>
    </row>
    <row r="229" ht="15.75" customHeight="1" s="205">
      <c r="A229" s="99" t="n"/>
      <c r="B229" s="99" t="n"/>
      <c r="C229" s="99" t="n"/>
      <c r="D229" s="99" t="n"/>
      <c r="E229" s="99" t="n"/>
      <c r="F229" s="99" t="n"/>
      <c r="G229" s="99" t="n"/>
      <c r="H229" s="99" t="n"/>
      <c r="I229" s="99" t="n"/>
      <c r="J229" s="99" t="n"/>
      <c r="K229" s="99" t="n"/>
      <c r="L229" s="99" t="n"/>
      <c r="M229" s="99" t="n"/>
      <c r="N229" s="99" t="n"/>
      <c r="O229" s="99" t="n"/>
      <c r="P229" s="99" t="n"/>
      <c r="Q229" s="99" t="n"/>
      <c r="R229" s="99" t="n"/>
      <c r="S229" s="99" t="n"/>
      <c r="T229" s="99" t="n"/>
      <c r="U229" s="99" t="n"/>
      <c r="V229" s="99" t="n"/>
      <c r="W229" s="99" t="n"/>
      <c r="X229" s="99" t="n"/>
      <c r="Y229" s="99" t="n"/>
      <c r="Z229" s="99" t="n"/>
      <c r="AA229" s="99" t="n"/>
    </row>
    <row r="230" ht="15.75" customHeight="1" s="205"/>
    <row r="231" ht="15.75" customHeight="1" s="205"/>
    <row r="232" ht="15.75" customHeight="1" s="205"/>
    <row r="233" ht="15.75" customHeight="1" s="205"/>
    <row r="234" ht="15.75" customHeight="1" s="205"/>
    <row r="235" ht="15.75" customHeight="1" s="205"/>
    <row r="236" ht="15.75" customHeight="1" s="205"/>
    <row r="237" ht="15.75" customHeight="1" s="205"/>
    <row r="238" ht="15.75" customHeight="1" s="205"/>
    <row r="239" ht="15.75" customHeight="1" s="205"/>
    <row r="240" ht="15.75" customHeight="1" s="205"/>
    <row r="241" ht="15.75" customHeight="1" s="205"/>
    <row r="242" ht="15.75" customHeight="1" s="205"/>
    <row r="243" ht="15.75" customHeight="1" s="205"/>
    <row r="244" ht="15.75" customHeight="1" s="205"/>
    <row r="245" ht="15.75" customHeight="1" s="205"/>
    <row r="246" ht="15.75" customHeight="1" s="205"/>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row r="987" ht="15.75" customHeight="1" s="205"/>
    <row r="988" ht="15.75" customHeight="1" s="205"/>
    <row r="989" ht="15.75" customHeight="1" s="205"/>
    <row r="990" ht="15.75" customHeight="1" s="205"/>
    <row r="991" ht="15.75" customHeight="1" s="205"/>
    <row r="992" ht="15.75" customHeight="1" s="205"/>
    <row r="993" ht="15.75" customHeight="1" s="205"/>
    <row r="994" ht="15.75" customHeight="1" s="205"/>
    <row r="995" ht="15.75" customHeight="1" s="205"/>
    <row r="996" ht="15.75" customHeight="1" s="205"/>
    <row r="997" ht="15.75" customHeight="1" s="205"/>
    <row r="998" ht="15.75" customHeight="1" s="205"/>
    <row r="999" ht="15.75" customHeight="1" s="205"/>
    <row r="1000" ht="15.75" customHeight="1" s="205"/>
  </sheetData>
  <mergeCells count="38">
    <mergeCell ref="C17:F17"/>
    <mergeCell ref="C30:D30"/>
    <mergeCell ref="C33:D33"/>
    <mergeCell ref="C2:D3"/>
    <mergeCell ref="D19:E19"/>
    <mergeCell ref="E33:F33"/>
    <mergeCell ref="C26:D26"/>
    <mergeCell ref="F2:F3"/>
    <mergeCell ref="C29:D29"/>
    <mergeCell ref="B4:B6"/>
    <mergeCell ref="C1:D1"/>
    <mergeCell ref="E29:F29"/>
    <mergeCell ref="E28:F28"/>
    <mergeCell ref="C31:D31"/>
    <mergeCell ref="E2:E3"/>
    <mergeCell ref="E31:F31"/>
    <mergeCell ref="B9:B19"/>
    <mergeCell ref="D10:D16"/>
    <mergeCell ref="E30:F30"/>
    <mergeCell ref="C4:F4"/>
    <mergeCell ref="G4:G5"/>
    <mergeCell ref="C27:D27"/>
    <mergeCell ref="E27:F27"/>
    <mergeCell ref="B25:B33"/>
    <mergeCell ref="D18:E18"/>
    <mergeCell ref="C25:F25"/>
    <mergeCell ref="E26:F26"/>
    <mergeCell ref="C22:F22"/>
    <mergeCell ref="B1:B3"/>
    <mergeCell ref="C32:D32"/>
    <mergeCell ref="E32:F32"/>
    <mergeCell ref="C21:F21"/>
    <mergeCell ref="C28:D28"/>
    <mergeCell ref="C10:C16"/>
    <mergeCell ref="E10:E16"/>
    <mergeCell ref="G2:G3"/>
    <mergeCell ref="B21:B22"/>
    <mergeCell ref="C5:F6"/>
  </mergeCells>
  <dataValidations count="2">
    <dataValidation sqref="D10" showDropDown="0" showInputMessage="0" showErrorMessage="1" allowBlank="1" type="list">
      <formula1>"The Creator,The Ruler,The Hero,The Caregiver,The Explorer,The Innocent,The Rebel,The Lover,The Magician,The Everyman,The Sage,The Jester"</formula1>
    </dataValidation>
    <dataValidation sqref="C10" showDropDown="0" showInputMessage="0" showErrorMessage="1" allowBlank="1" type="list">
      <formula1>"Friendly,Professional,Confident,Playful,Calm,Fun &amp; Energetic,Elegant,Warm,Bold,Empathetic,Inspirational,Witty,Serious"</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D995"/>
  <sheetViews>
    <sheetView showGridLines="0" workbookViewId="0">
      <selection activeCell="A1" sqref="A1"/>
    </sheetView>
  </sheetViews>
  <sheetFormatPr baseColWidth="8" defaultColWidth="14.43" defaultRowHeight="15" customHeight="1"/>
  <cols>
    <col width="5.86" customWidth="1" style="205" min="1" max="1"/>
    <col width="30.57" customWidth="1" style="205" min="2" max="2"/>
    <col width="49.29" customWidth="1" style="205" min="3" max="3"/>
    <col width="19" customWidth="1" style="205" min="4" max="4"/>
    <col width="23.14" customWidth="1" style="205" min="5" max="7"/>
    <col width="25.57" customWidth="1" style="205" min="8" max="8"/>
    <col width="24.71" customWidth="1" style="205" min="9" max="9"/>
    <col width="33.43" customWidth="1" style="205" min="10" max="10"/>
    <col hidden="1" width="3.86" customWidth="1" style="205" min="11" max="11"/>
    <col width="5" customWidth="1" style="205" min="12" max="12"/>
    <col width="101.29" customWidth="1" style="205" min="13" max="13"/>
    <col width="8.710000000000001" customWidth="1" style="205" min="14" max="30"/>
  </cols>
  <sheetData>
    <row r="1" ht="51.75" customHeight="1" s="205">
      <c r="A1" s="1" t="n"/>
      <c r="B1" s="115" t="inlineStr">
        <is>
          <t>Content Pillar Kamu dari Sheet Sebelumnya Otomatis Terisi di Kolom Berikut 👉🏻</t>
        </is>
      </c>
      <c r="C1" s="68" t="inlineStr">
        <is>
          <t>Content Pillar</t>
        </is>
      </c>
      <c r="D1" s="68" t="inlineStr">
        <is>
          <t>Deskripsi</t>
        </is>
      </c>
      <c r="E1" s="244" t="n"/>
      <c r="F1" s="244" t="n"/>
      <c r="G1" s="244" t="n"/>
      <c r="H1" s="244" t="n"/>
      <c r="I1" s="244" t="n"/>
      <c r="J1" s="237" t="n"/>
      <c r="K1" s="69" t="n"/>
      <c r="L1" s="69" t="inlineStr">
        <is>
          <t>Penjelasan Singkat (Bisa Kamu Sesuaikan Berdasarkan Niche)</t>
        </is>
      </c>
      <c r="N1" s="102" t="n"/>
      <c r="O1" s="102" t="n"/>
      <c r="P1" s="102" t="n"/>
      <c r="Q1" s="102" t="n"/>
      <c r="R1" s="102" t="n"/>
      <c r="S1" s="102" t="n"/>
      <c r="T1" s="102" t="n"/>
      <c r="U1" s="102" t="n"/>
      <c r="V1" s="102" t="n"/>
      <c r="W1" s="102" t="n"/>
      <c r="X1" s="102" t="n"/>
      <c r="Y1" s="102" t="n"/>
      <c r="Z1" s="102" t="n"/>
      <c r="AA1" s="102" t="n"/>
      <c r="AB1" s="102" t="n"/>
      <c r="AC1" s="102" t="n"/>
      <c r="AD1" s="102" t="n"/>
    </row>
    <row r="2">
      <c r="A2" s="102" t="n"/>
      <c r="B2" s="238" t="n"/>
      <c r="C2" s="103">
        <f>'CONTENT PILLAR MAPPING'!C27</f>
        <v/>
      </c>
      <c r="D2" s="258">
        <f>'CONTENT PILLAR MAPPING'!E27</f>
        <v/>
      </c>
      <c r="E2" s="244" t="n"/>
      <c r="F2" s="244" t="n"/>
      <c r="G2" s="244" t="n"/>
      <c r="H2" s="244" t="n"/>
      <c r="I2" s="244" t="n"/>
      <c r="J2" s="237" t="n"/>
      <c r="K2" s="105" t="n"/>
      <c r="L2" s="105" t="n"/>
      <c r="M2" s="106" t="inlineStr">
        <is>
          <t>Nilai Tambah</t>
        </is>
      </c>
      <c r="N2" s="102" t="n"/>
      <c r="O2" s="102" t="n"/>
      <c r="P2" s="102" t="n"/>
      <c r="Q2" s="102" t="n"/>
      <c r="R2" s="102" t="n"/>
      <c r="S2" s="102" t="n"/>
      <c r="T2" s="102" t="n"/>
      <c r="U2" s="102" t="n"/>
      <c r="V2" s="102" t="n"/>
      <c r="W2" s="102" t="n"/>
      <c r="X2" s="102" t="n"/>
      <c r="Y2" s="102" t="n"/>
      <c r="Z2" s="102" t="n"/>
      <c r="AA2" s="102" t="n"/>
      <c r="AB2" s="102" t="n"/>
      <c r="AC2" s="102" t="n"/>
      <c r="AD2" s="102" t="n"/>
    </row>
    <row r="3">
      <c r="A3" s="102" t="n"/>
      <c r="B3" s="238" t="n"/>
      <c r="C3" s="107">
        <f>'CONTENT PILLAR MAPPING'!C28</f>
        <v/>
      </c>
      <c r="D3" s="259">
        <f>'CONTENT PILLAR MAPPING'!E28</f>
        <v/>
      </c>
      <c r="E3" s="244" t="n"/>
      <c r="F3" s="244" t="n"/>
      <c r="G3" s="244" t="n"/>
      <c r="H3" s="244" t="n"/>
      <c r="I3" s="244" t="n"/>
      <c r="J3" s="237" t="n"/>
      <c r="K3" s="109" t="n"/>
      <c r="L3" s="109" t="n">
        <v>1</v>
      </c>
      <c r="M3" s="110" t="inlineStr">
        <is>
          <t>Edukasi/Wawasan: Memberikan pengetahuan baru atau pemahaman mendalam.</t>
        </is>
      </c>
      <c r="N3" s="102" t="n"/>
      <c r="O3" s="102" t="n"/>
      <c r="P3" s="102" t="n"/>
      <c r="Q3" s="102" t="n"/>
      <c r="R3" s="102" t="n"/>
      <c r="S3" s="102" t="n"/>
      <c r="T3" s="102" t="n"/>
      <c r="U3" s="102" t="n"/>
      <c r="V3" s="102" t="n"/>
      <c r="W3" s="102" t="n"/>
      <c r="X3" s="102" t="n"/>
      <c r="Y3" s="102" t="n"/>
      <c r="Z3" s="102" t="n"/>
      <c r="AA3" s="102" t="n"/>
      <c r="AB3" s="102" t="n"/>
      <c r="AC3" s="102" t="n"/>
      <c r="AD3" s="102" t="n"/>
    </row>
    <row r="4">
      <c r="A4" s="102" t="n"/>
      <c r="B4" s="238" t="n"/>
      <c r="C4" s="103">
        <f>'CONTENT PILLAR MAPPING'!C29</f>
        <v/>
      </c>
      <c r="D4" s="258">
        <f>'CONTENT PILLAR MAPPING'!E29</f>
        <v/>
      </c>
      <c r="E4" s="244" t="n"/>
      <c r="F4" s="244" t="n"/>
      <c r="G4" s="244" t="n"/>
      <c r="H4" s="244" t="n"/>
      <c r="I4" s="244" t="n"/>
      <c r="J4" s="237" t="n"/>
      <c r="K4" s="111" t="n"/>
      <c r="L4" s="111" t="n">
        <v>2</v>
      </c>
      <c r="M4" s="112" t="inlineStr">
        <is>
          <t>Solusi Praktis: Memberikan tips atau langkah-langkah yang bisa langsung diterapkan.</t>
        </is>
      </c>
      <c r="N4" s="102" t="n"/>
      <c r="O4" s="102" t="n"/>
      <c r="P4" s="102" t="n"/>
      <c r="Q4" s="102" t="n"/>
      <c r="R4" s="102" t="n"/>
      <c r="S4" s="102" t="n"/>
      <c r="T4" s="102" t="n"/>
      <c r="U4" s="102" t="n"/>
      <c r="V4" s="102" t="n"/>
      <c r="W4" s="102" t="n"/>
      <c r="X4" s="102" t="n"/>
      <c r="Y4" s="102" t="n"/>
      <c r="Z4" s="102" t="n"/>
      <c r="AA4" s="102" t="n"/>
      <c r="AB4" s="102" t="n"/>
      <c r="AC4" s="102" t="n"/>
      <c r="AD4" s="102" t="n"/>
    </row>
    <row r="5">
      <c r="A5" s="102" t="n"/>
      <c r="B5" s="238" t="n"/>
      <c r="C5" s="103">
        <f>'CONTENT PILLAR MAPPING'!C30</f>
        <v/>
      </c>
      <c r="D5" s="259">
        <f>'CONTENT PILLAR MAPPING'!E30</f>
        <v/>
      </c>
      <c r="E5" s="244" t="n"/>
      <c r="F5" s="244" t="n"/>
      <c r="G5" s="244" t="n"/>
      <c r="H5" s="244" t="n"/>
      <c r="I5" s="244" t="n"/>
      <c r="J5" s="237" t="n"/>
      <c r="K5" s="109" t="n"/>
      <c r="L5" s="109" t="n">
        <v>3</v>
      </c>
      <c r="M5" s="110" t="inlineStr">
        <is>
          <t>Inspirasi/Motivasi: Mendorong audiens untuk bertindak atau percaya diri.</t>
        </is>
      </c>
      <c r="N5" s="102" t="n"/>
      <c r="O5" s="102" t="n"/>
      <c r="P5" s="102" t="n"/>
      <c r="Q5" s="102" t="n"/>
      <c r="R5" s="102" t="n"/>
      <c r="S5" s="102" t="n"/>
      <c r="T5" s="102" t="n"/>
      <c r="U5" s="102" t="n"/>
      <c r="V5" s="102" t="n"/>
      <c r="W5" s="102" t="n"/>
      <c r="X5" s="102" t="n"/>
      <c r="Y5" s="102" t="n"/>
      <c r="Z5" s="102" t="n"/>
      <c r="AA5" s="102" t="n"/>
      <c r="AB5" s="102" t="n"/>
      <c r="AC5" s="102" t="n"/>
      <c r="AD5" s="102" t="n"/>
    </row>
    <row r="6">
      <c r="A6" s="102" t="n"/>
      <c r="B6" s="241" t="n"/>
      <c r="C6" s="103">
        <f>'CONTENT PILLAR MAPPING'!C31</f>
        <v/>
      </c>
      <c r="D6" s="258">
        <f>'CONTENT PILLAR MAPPING'!E29</f>
        <v/>
      </c>
      <c r="E6" s="244" t="n"/>
      <c r="F6" s="244" t="n"/>
      <c r="G6" s="244" t="n"/>
      <c r="H6" s="244" t="n"/>
      <c r="I6" s="244" t="n"/>
      <c r="J6" s="237" t="n"/>
      <c r="K6" s="111" t="n"/>
      <c r="L6" s="111" t="n">
        <v>4</v>
      </c>
      <c r="M6" s="112" t="inlineStr">
        <is>
          <t>Hiburan/Relaksasi: Menyediakan konten yang menyenangkan dan menghibur.</t>
        </is>
      </c>
      <c r="N6" s="102" t="n"/>
      <c r="O6" s="102" t="n"/>
      <c r="P6" s="102" t="n"/>
      <c r="Q6" s="102" t="n"/>
      <c r="R6" s="102" t="n"/>
      <c r="S6" s="102" t="n"/>
      <c r="T6" s="102" t="n"/>
      <c r="U6" s="102" t="n"/>
      <c r="V6" s="102" t="n"/>
      <c r="W6" s="102" t="n"/>
      <c r="X6" s="102" t="n"/>
      <c r="Y6" s="102" t="n"/>
      <c r="Z6" s="102" t="n"/>
      <c r="AA6" s="102" t="n"/>
      <c r="AB6" s="102" t="n"/>
      <c r="AC6" s="102" t="n"/>
      <c r="AD6" s="102" t="n"/>
    </row>
    <row r="7" ht="19.5" customHeight="1" s="205">
      <c r="A7" s="199" t="n"/>
      <c r="B7" s="113" t="n"/>
      <c r="C7" s="199" t="n"/>
      <c r="D7" s="199" t="n"/>
      <c r="E7" s="114">
        <f>IF(AND(C8&lt;&gt;"", E8&lt;&gt;"",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dengan niche utama '", 'CONTENT PILLAR MAPPING'!C2, "', spesifik kategori '", 'CONTENT PILLAR MAPPING'!E2, "', dan super spesifik '", 'CONTENT PILLAR MAPPING'!F2, "', yang ingin dikenal sebagai '", 'CONTENT PILLAR MAPPING'!C5, "'.", CHAR(10), CHAR(10),
"Saya memiliki Tone of Voice: '", 'CONTENT PILLAR MAPPING'!C10, "', Brand Archetype: '", 'CONTENT PILLAR MAPPING'!D10, "', dan Deskripsi Gaya Komunikasi: '", 'CONTENT PILLAR MAPPING'!E10, "'.", CHAR(10), CHAR(10),
"Target audiens saya adalah: '", 'CONTENT PILLAR MAPPING'!D18, "', dengan segmentasi audiens: '", 'CONTENT PILLAR MAPPING'!D19, "'.", CHAR(10), CHAR(10),
"Mohon buatkan daftar ide konten yang lengkap, kreatif, dan strategis untuk akun media sosial saya. Fokus utama dari ide konten ini adalah pilar '", C8, "'.", CHAR(10), CHAR(10),
"Aku ingin daftar ide konten ini mencakup:", CHAR(10),
"- Ide-ide spesifik yang bisa langsung dieksekusi, yang relevan dengan tren terkini dan membedakan saya dari kompetitor.", CHAR(10),
"- Sudut pandang yang fresh dan unik.", CHAR(10),
"- Gambaran singkat tentang kontennya, potensi viral, dan insight mengapa ide ini kuat.", CHAR(10), CHAR(10),
"Pastikan outputnya:", CHAR(10),
"✔ Berikan sebanyak ", E8, " pilihan ide, agar bisa dipilih sesuai kebutuhan.", CHAR(10),
"✔ Kreatif, menarik, inovatif, dan punya potensi viral sesuai tren terkini.", CHAR(10),
"✔ Bisa dikembangkan menjadi strategi konten jangka panjang.",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CHAR(10),
"✔ Kemas dalam bentuk tabel agar rapi, mudah di baca dan dipahami, dengan kolom 'Topik Konten', 'Pilar', 'Format Ideal', 'Platform Ideal', dan 'Gambaran Singkat Ide'."
),
"")</f>
        <v/>
      </c>
      <c r="F7" s="199" t="n"/>
      <c r="G7" s="199" t="n"/>
      <c r="H7" s="199" t="n"/>
      <c r="I7" s="199" t="n"/>
      <c r="J7" s="199" t="n"/>
      <c r="K7" s="109" t="n"/>
      <c r="L7" s="109" t="n">
        <v>5</v>
      </c>
      <c r="M7" s="110" t="inlineStr">
        <is>
          <t>Validasi/Bukti Sosial: Menunjukkan hasil nyata atau testimoni.</t>
        </is>
      </c>
      <c r="N7" s="199" t="n"/>
      <c r="O7" s="199" t="n"/>
      <c r="P7" s="199" t="n"/>
      <c r="Q7" s="199" t="n"/>
      <c r="R7" s="199" t="n"/>
      <c r="S7" s="199" t="n"/>
      <c r="T7" s="199" t="n"/>
      <c r="U7" s="199" t="n"/>
      <c r="V7" s="199" t="n"/>
      <c r="W7" s="199" t="n"/>
      <c r="X7" s="199" t="n"/>
      <c r="Y7" s="199" t="n"/>
      <c r="Z7" s="199" t="n"/>
      <c r="AA7" s="199" t="n"/>
      <c r="AB7" s="199" t="n"/>
      <c r="AC7" s="199" t="n"/>
      <c r="AD7" s="199" t="n"/>
    </row>
    <row r="8" ht="91.5" customHeight="1" s="205">
      <c r="A8" s="102" t="n"/>
      <c r="B8" s="115" t="inlineStr">
        <is>
          <t>Pilih Pillar yang Ingin Kamu Cari Ide Kontennya  👉🏻</t>
        </is>
      </c>
      <c r="C8" s="116" t="inlineStr">
        <is>
          <t>Opportunity Content (Informasi)</t>
        </is>
      </c>
      <c r="D8" s="115" t="inlineStr">
        <is>
          <t>Mau Bikin Berapa Ide Konten? 👉🏻</t>
        </is>
      </c>
      <c r="E8" s="117" t="n">
        <v>10</v>
      </c>
      <c r="F8" s="260">
        <f>IF(E7&lt;&gt;"", HYPERLINK("https://chatgpt.com/?prompt=" &amp; SUBSTITUTE(SUBSTITUTE(E7, " ", "+"), "&amp;", "dan") &amp; "&amp;force-refresh=true&amp;timestamp=" &amp; TEXT(NOW(), "yyyymmddhhmmss"), "👉 Klik untuk Generate Ide Konten! 🔥"), "")</f>
        <v/>
      </c>
      <c r="G8" s="244" t="n"/>
      <c r="H8" s="244" t="n"/>
      <c r="I8" s="244" t="n"/>
      <c r="J8" s="237" t="n"/>
      <c r="K8" s="111" t="n"/>
      <c r="L8" s="111" t="n">
        <v>6</v>
      </c>
      <c r="M8" s="112" t="inlineStr">
        <is>
          <t>Hemat Waktu/Efisiensi: Memberikan cara untuk menyelesaikan sesuatu lebih cepat.</t>
        </is>
      </c>
      <c r="N8" s="102" t="n"/>
      <c r="O8" s="102" t="n"/>
      <c r="P8" s="102" t="n"/>
      <c r="Q8" s="102" t="n"/>
      <c r="R8" s="102" t="n"/>
      <c r="S8" s="102" t="n"/>
      <c r="T8" s="102" t="n"/>
      <c r="U8" s="102" t="n"/>
      <c r="V8" s="102" t="n"/>
      <c r="W8" s="102" t="n"/>
      <c r="X8" s="102" t="n"/>
      <c r="Y8" s="102" t="n"/>
      <c r="Z8" s="102" t="n"/>
      <c r="AA8" s="102" t="n"/>
      <c r="AB8" s="102" t="n"/>
      <c r="AC8" s="102" t="n"/>
      <c r="AD8" s="102" t="n"/>
    </row>
    <row r="9" ht="19.5" customHeight="1" s="205">
      <c r="A9" s="199" t="n"/>
      <c r="B9" s="199" t="n"/>
      <c r="C9" s="199" t="n"/>
      <c r="D9" s="199" t="n"/>
      <c r="E9" s="199" t="n"/>
      <c r="F9" s="199" t="n"/>
      <c r="G9" s="199" t="n"/>
      <c r="H9" s="114">
        <f>IF(AND(B12&lt;&gt;"", C12&lt;&gt;"", D12&lt;&gt;"", E12&lt;&gt;"", F12&lt;&gt;"", G12&lt;&gt;"", J12&lt;&gt;"",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B12, "'.", CHAR(10),
"Konten ini memiliki pilar '", C12, "', nilai tambah utama '", F12, "', dan akan menggunakan storytelling framework '", G12, "'.", CHAR(10),
"Gambaran singkat ide kontennya adalah: '", J12, "'.", CHAR(10),
"Konten ini akan diunggah di platform '", E12, "' dengan format '", D12,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I9" s="199" t="n"/>
      <c r="J9" s="199" t="n"/>
      <c r="K9" s="109" t="n"/>
      <c r="L9" s="109" t="n">
        <v>7</v>
      </c>
      <c r="M9" s="110" t="inlineStr">
        <is>
          <t>Conversion/Jualan: Konten Promo, Penawaran yang tujuannya untuk jualan</t>
        </is>
      </c>
      <c r="N9" s="199" t="n"/>
      <c r="O9" s="199" t="n"/>
      <c r="P9" s="199" t="n"/>
      <c r="Q9" s="199" t="n"/>
      <c r="R9" s="199" t="n"/>
      <c r="S9" s="199" t="n"/>
      <c r="T9" s="199" t="n"/>
      <c r="U9" s="199" t="n"/>
      <c r="V9" s="199" t="n"/>
      <c r="W9" s="199" t="n"/>
      <c r="X9" s="199" t="n"/>
      <c r="Y9" s="199" t="n"/>
      <c r="Z9" s="199" t="n"/>
      <c r="AA9" s="199" t="n"/>
      <c r="AB9" s="199" t="n"/>
      <c r="AC9" s="199" t="n"/>
      <c r="AD9" s="199" t="n"/>
    </row>
    <row r="10" ht="45" customHeight="1" s="205">
      <c r="A10" s="102" t="n"/>
      <c r="B10" s="261" t="inlineStr">
        <is>
          <t>👇🏻 Bank Ide Konten (Masukkan Ide-Ide Hasil Generate AI yang kamu Anggap Oke) 👇🏻</t>
        </is>
      </c>
      <c r="C10" s="245" t="n"/>
      <c r="D10" s="245" t="n"/>
      <c r="E10" s="245" t="n"/>
      <c r="F10" s="245" t="n"/>
      <c r="G10" s="245" t="n"/>
      <c r="H10" s="245" t="n"/>
      <c r="I10" s="240" t="n"/>
      <c r="J10" s="120" t="n"/>
      <c r="K10" s="111" t="n"/>
      <c r="L10" s="111" t="n">
        <v>8</v>
      </c>
      <c r="M10" s="112" t="inlineStr">
        <is>
          <t>Perspektif Baru: Menawarkan sudut pandang yang berbeda atau unik.</t>
        </is>
      </c>
      <c r="N10" s="102" t="n"/>
      <c r="O10" s="102" t="n"/>
      <c r="P10" s="102" t="n"/>
      <c r="Q10" s="102" t="n"/>
      <c r="R10" s="102" t="n"/>
      <c r="S10" s="102" t="n"/>
      <c r="T10" s="102" t="n"/>
      <c r="U10" s="102" t="n"/>
      <c r="V10" s="102" t="n"/>
      <c r="W10" s="102" t="n"/>
      <c r="X10" s="102" t="n"/>
      <c r="Y10" s="102" t="n"/>
      <c r="Z10" s="102" t="n"/>
      <c r="AA10" s="102" t="n"/>
      <c r="AB10" s="102" t="n"/>
      <c r="AC10" s="102" t="n"/>
      <c r="AD10" s="102" t="n"/>
    </row>
    <row r="11" ht="28.5" customHeight="1" s="205">
      <c r="A11" s="102" t="n"/>
      <c r="B11" s="121" t="inlineStr">
        <is>
          <t>Ide (Topik Konten)</t>
        </is>
      </c>
      <c r="C11" s="121" t="inlineStr">
        <is>
          <t>Pillar</t>
        </is>
      </c>
      <c r="D11" s="121" t="inlineStr">
        <is>
          <t>Format</t>
        </is>
      </c>
      <c r="E11" s="121" t="inlineStr">
        <is>
          <t>Platform</t>
        </is>
      </c>
      <c r="F11" s="121" t="inlineStr">
        <is>
          <t>Nilai Tambah</t>
        </is>
      </c>
      <c r="G11" s="121" t="inlineStr">
        <is>
          <t>Storytelling</t>
        </is>
      </c>
      <c r="H11" s="121" t="inlineStr">
        <is>
          <t>Link Prompt</t>
        </is>
      </c>
      <c r="I11" s="121" t="inlineStr">
        <is>
          <t>Link Template Script</t>
        </is>
      </c>
      <c r="J11" s="122" t="inlineStr">
        <is>
          <t>Gambaran Singkat Ide</t>
        </is>
      </c>
      <c r="K11" s="109" t="n"/>
      <c r="L11" s="109" t="n">
        <v>9</v>
      </c>
      <c r="M11" s="110" t="inlineStr">
        <is>
          <t>Koneksi/Komunitas: Membangun rasa kebersamaan dan interaksi.</t>
        </is>
      </c>
      <c r="N11" s="102" t="n"/>
      <c r="O11" s="102" t="n"/>
      <c r="P11" s="102" t="n"/>
      <c r="Q11" s="102" t="n"/>
      <c r="R11" s="102" t="n"/>
      <c r="S11" s="102" t="n"/>
      <c r="T11" s="102" t="n"/>
      <c r="U11" s="102" t="n"/>
      <c r="V11" s="102" t="n"/>
      <c r="W11" s="102" t="n"/>
      <c r="X11" s="102" t="n"/>
      <c r="Y11" s="102" t="n"/>
      <c r="Z11" s="102" t="n"/>
      <c r="AA11" s="102" t="n"/>
      <c r="AB11" s="102" t="n"/>
      <c r="AC11" s="102" t="n"/>
      <c r="AD11" s="102" t="n"/>
    </row>
    <row r="12" ht="66" customHeight="1" s="205">
      <c r="A12" s="102" t="n"/>
      <c r="B12" s="147" t="inlineStr">
        <is>
          <t>5 Red Flags Lomba Abal-Abal yang Harus Kamu Hindari</t>
        </is>
      </c>
      <c r="C12" s="144" t="inlineStr">
        <is>
          <t>Opportunity Content (Informasi)</t>
        </is>
      </c>
      <c r="D12" s="144" t="inlineStr">
        <is>
          <t>Carousel</t>
        </is>
      </c>
      <c r="E12" s="144" t="inlineStr">
        <is>
          <t>Instagram</t>
        </is>
      </c>
      <c r="F12" s="144" t="inlineStr">
        <is>
          <t>Informasi</t>
        </is>
      </c>
      <c r="G12" s="144" t="inlineStr">
        <is>
          <t>Problem-Solution</t>
        </is>
      </c>
      <c r="H12" s="125">
        <f>IF(H9&lt;&gt;"",HYPERLINK("https://chatgpt.com/?q="&amp;ENCODEURL(H9),"👉 Klik untuk Generate Script! 🔥"),"")</f>
        <v/>
      </c>
      <c r="I12" s="147" t="inlineStr">
        <is>
          <t>Template - Skrip Konten Carousels &amp; Reels.docx</t>
        </is>
      </c>
      <c r="J12" s="126" t="inlineStr">
        <is>
          <t>Konten edukatif yang bantu audiens mengenali tanda lomba mencurigakan sebelum buang uang, waktu, dan karya.</t>
        </is>
      </c>
      <c r="K12" s="111" t="n"/>
      <c r="L12" s="111" t="n">
        <v>10</v>
      </c>
      <c r="M12" s="112" t="inlineStr">
        <is>
          <t>Peringatan/Mitigasi Risiko: Memberi tahu audiens apa yang harus dihindari atau cara mengurangi risiko.</t>
        </is>
      </c>
      <c r="N12" s="102" t="n"/>
      <c r="O12" s="102" t="n"/>
      <c r="P12" s="102" t="n"/>
      <c r="Q12" s="102" t="n"/>
      <c r="R12" s="102" t="n"/>
      <c r="S12" s="102" t="n"/>
      <c r="T12" s="102" t="n"/>
      <c r="U12" s="102" t="n"/>
      <c r="V12" s="102" t="n"/>
      <c r="W12" s="102" t="n"/>
      <c r="X12" s="102" t="n"/>
      <c r="Y12" s="102" t="n"/>
      <c r="Z12" s="102" t="n"/>
      <c r="AA12" s="102" t="n"/>
      <c r="AB12" s="102" t="n"/>
      <c r="AC12" s="102" t="n"/>
      <c r="AD12" s="102" t="n"/>
    </row>
    <row r="13">
      <c r="A13" s="102" t="n"/>
      <c r="B13" s="147" t="inlineStr">
        <is>
          <t>Jangan Asal Daftar, Pakai 5 Filter Ini Buat Pilih Lomba yang Worth It</t>
        </is>
      </c>
      <c r="C13" s="144" t="inlineStr">
        <is>
          <t>Opportunity Content (Informasi)</t>
        </is>
      </c>
      <c r="D13" s="143" t="inlineStr">
        <is>
          <t>Carousel</t>
        </is>
      </c>
      <c r="E13" s="143" t="inlineStr">
        <is>
          <t>Instagram</t>
        </is>
      </c>
      <c r="F13" s="143" t="inlineStr">
        <is>
          <t>Solusi</t>
        </is>
      </c>
      <c r="G13" s="144" t="inlineStr">
        <is>
          <t>Problem-Solution</t>
        </is>
      </c>
      <c r="H13" s="128" t="inlineStr">
        <is>
          <t>👉 Klik untuk Generate Script! 🔥</t>
        </is>
      </c>
      <c r="I13" s="142" t="inlineStr">
        <is>
          <t>Template - Skrip Konten Carousels &amp; Reels.docx</t>
        </is>
      </c>
      <c r="J13" s="126" t="inlineStr">
        <is>
          <t>Konten filter praktis untuk bantu audiens menilai apakah sebuah lomba layak diikuti atau sebaiknya dilewatkan.</t>
        </is>
      </c>
      <c r="K13" s="130">
        <f>IF(AND(B13&lt;&gt;"", C13&lt;&gt;"", D13&lt;&gt;"", E13&lt;&gt;"", F13&lt;&gt;"", G13&lt;&gt;"", J13&lt;&gt;"",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B13, "'.", CHAR(10),
"Konten ini memiliki pilar '", C13, "', nilai tambah utama '", F13, "', dan akan menggunakan storytelling framework '", G13, "'.", CHAR(10),
"Gambaran singkat ide kontennya adalah: '", J13, "'.", CHAR(10),
"Konten ini akan diunggah di platform '", E13, "' dengan format '", D13,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3" s="131" t="n"/>
      <c r="M13" s="132" t="n"/>
      <c r="N13" s="102" t="n"/>
      <c r="O13" s="102" t="n"/>
      <c r="P13" s="102" t="n"/>
      <c r="Q13" s="102" t="n"/>
      <c r="R13" s="102" t="n"/>
      <c r="S13" s="102" t="n"/>
      <c r="T13" s="102" t="n"/>
      <c r="U13" s="102" t="n"/>
      <c r="V13" s="102" t="n"/>
      <c r="W13" s="102" t="n"/>
      <c r="X13" s="102" t="n"/>
      <c r="Y13" s="102" t="n"/>
      <c r="Z13" s="102" t="n"/>
      <c r="AA13" s="102" t="n"/>
      <c r="AB13" s="102" t="n"/>
      <c r="AC13" s="102" t="n"/>
      <c r="AD13" s="102" t="n"/>
    </row>
    <row r="14">
      <c r="A14" s="102" t="n"/>
      <c r="B14" s="133" t="inlineStr">
        <is>
          <t>5 Tanda Lomba Ini Cocok Buat Kamu Ikuti, Bukan Cuma FOMO</t>
        </is>
      </c>
      <c r="C14" s="134" t="inlineStr">
        <is>
          <t>Opportunity Content (Informasi)</t>
        </is>
      </c>
      <c r="D14" s="134" t="inlineStr">
        <is>
          <t>Carousel</t>
        </is>
      </c>
      <c r="E14" s="134" t="inlineStr">
        <is>
          <t>Instagram</t>
        </is>
      </c>
      <c r="F14" s="134" t="inlineStr">
        <is>
          <t>Perspektif Baru</t>
        </is>
      </c>
      <c r="G14" s="144" t="inlineStr">
        <is>
          <t>The Aha Moment</t>
        </is>
      </c>
      <c r="H14" s="125">
        <f>IF(H9&lt;&gt;"",HYPERLINK("https://chatgpt.com/?q="&amp;ENCODEURL(H9),"👉 Klik untuk Generate Script! 🔥"),"")</f>
        <v/>
      </c>
      <c r="I14" s="147" t="inlineStr">
        <is>
          <t>Template - Skrip Konten Carousels &amp; Reels.docx</t>
        </is>
      </c>
      <c r="J14" s="148" t="inlineStr">
        <is>
          <t>Konten yang menggeser pola pikir dari asal ikut karena ramai menjadi ikut lomba secara strategis dan relevan.</t>
        </is>
      </c>
      <c r="K14" s="136">
        <f>IF(AND(B14&lt;&gt;"", C14&lt;&gt;"", D14&lt;&gt;"", E14&lt;&gt;"", F14&lt;&gt;"", G14&lt;&gt;"", J14&lt;&gt;"",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B14, "'.", CHAR(10),
"Konten ini memiliki pilar '", C14, "', nilai tambah utama '", F14, "', dan akan menggunakan storytelling framework '", G14, "'.", CHAR(10),
"Gambaran singkat ide kontennya adalah: '", J14, "'.", CHAR(10),
"Konten ini akan diunggah di platform '", E14, "' dengan format '", D14,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4" s="137" t="n"/>
      <c r="M14" s="138" t="inlineStr">
        <is>
          <t>Storytelling</t>
        </is>
      </c>
      <c r="N14" s="102" t="n"/>
      <c r="O14" s="102" t="n"/>
      <c r="P14" s="102" t="n"/>
      <c r="Q14" s="102" t="n"/>
      <c r="R14" s="102" t="n"/>
      <c r="S14" s="102" t="n"/>
      <c r="T14" s="102" t="n"/>
      <c r="U14" s="102" t="n"/>
      <c r="V14" s="102" t="n"/>
      <c r="W14" s="102" t="n"/>
      <c r="X14" s="102" t="n"/>
      <c r="Y14" s="102" t="n"/>
      <c r="Z14" s="102" t="n"/>
      <c r="AA14" s="102" t="n"/>
      <c r="AB14" s="102" t="n"/>
      <c r="AC14" s="102" t="n"/>
      <c r="AD14" s="102" t="n"/>
    </row>
    <row r="15">
      <c r="A15" s="102" t="n"/>
      <c r="B15" s="142" t="inlineStr">
        <is>
          <t>Cara Baca Brief Lomba dalam 5 Menit Biar Tahu Layak Diikutin atau Nggak</t>
        </is>
      </c>
      <c r="C15" s="143" t="inlineStr">
        <is>
          <t>Opportunity Content (Informasi)</t>
        </is>
      </c>
      <c r="D15" s="143" t="inlineStr">
        <is>
          <t>Carousel</t>
        </is>
      </c>
      <c r="E15" s="143" t="inlineStr">
        <is>
          <t>Instagram</t>
        </is>
      </c>
      <c r="F15" s="143" t="inlineStr">
        <is>
          <t>Edukasi/Wawasan</t>
        </is>
      </c>
      <c r="G15" s="144" t="inlineStr">
        <is>
          <t>Problem-Solution</t>
        </is>
      </c>
      <c r="H15" s="128">
        <f>IF(H9&lt;&gt;"",HYPERLINK("https://chatgpt.com/?q="&amp;ENCODEURL(H9),"👉 Klik untuk Generate Script! 🔥"),"")</f>
        <v/>
      </c>
      <c r="I15" s="142" t="inlineStr">
        <is>
          <t>Template - Skrip Konten Carousels &amp; Reels.docx</t>
        </is>
      </c>
      <c r="J15" s="146" t="inlineStr">
        <is>
          <t>Konten step-by-step untuk bantu audiens membaca brief lebih cepat dan lebih kritis sebelum daftar.</t>
        </is>
      </c>
      <c r="K15" s="130">
        <f>IF(AND(B15&lt;&gt;"", C15&lt;&gt;"", D15&lt;&gt;"", E15&lt;&gt;"", F15&lt;&gt;"", G15&lt;&gt;"", J15&lt;&gt;"",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B15, "'.", CHAR(10),
"Konten ini memiliki pilar '", C15, "', nilai tambah utama '", F15, "', dan akan menggunakan storytelling framework '", G15, "'.", CHAR(10),
"Gambaran singkat ide kontennya adalah: '", J15, "'.", CHAR(10),
"Konten ini akan diunggah di platform '", E15, "' dengan format '", D15,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5" s="109" t="n">
        <v>1</v>
      </c>
      <c r="M15" s="110" t="inlineStr">
        <is>
          <t>Zero to Hero: Perjalanan karakter dari kesulitan menuju kesuksesan.</t>
        </is>
      </c>
      <c r="N15" s="102" t="n"/>
      <c r="O15" s="102" t="n"/>
      <c r="P15" s="102" t="n"/>
      <c r="Q15" s="102" t="n"/>
      <c r="R15" s="102" t="n"/>
      <c r="S15" s="102" t="n"/>
      <c r="T15" s="102" t="n"/>
      <c r="U15" s="102" t="n"/>
      <c r="V15" s="102" t="n"/>
      <c r="W15" s="102" t="n"/>
      <c r="X15" s="102" t="n"/>
      <c r="Y15" s="102" t="n"/>
      <c r="Z15" s="102" t="n"/>
      <c r="AA15" s="102" t="n"/>
      <c r="AB15" s="102" t="n"/>
      <c r="AC15" s="102" t="n"/>
      <c r="AD15" s="102" t="n"/>
    </row>
    <row r="16">
      <c r="A16" s="102" t="n"/>
      <c r="B16" s="147" t="inlineStr">
        <is>
          <t>6 Jenis Lomba yang Paling Worth Buat Upgrade CV Anak Muda</t>
        </is>
      </c>
      <c r="C16" s="144" t="inlineStr">
        <is>
          <t>Opportunity Content (Informasi)</t>
        </is>
      </c>
      <c r="D16" s="144" t="inlineStr">
        <is>
          <t>Carousel</t>
        </is>
      </c>
      <c r="E16" s="144" t="inlineStr">
        <is>
          <t>Instagram</t>
        </is>
      </c>
      <c r="F16" s="144" t="inlineStr">
        <is>
          <t>Edukasi/Wawasan</t>
        </is>
      </c>
      <c r="G16" s="144" t="inlineStr">
        <is>
          <t>Before-After</t>
        </is>
      </c>
      <c r="H16" s="125">
        <f>IF(H9&lt;&gt;"",HYPERLINK("https://chatgpt.com/?q="&amp;ENCODEURL(H9),"👉 Klik untuk Generate Script! 🔥"),"")</f>
        <v/>
      </c>
      <c r="I16" s="147" t="inlineStr">
        <is>
          <t>Template - Skrip Konten Carousels &amp; Reels.docx</t>
        </is>
      </c>
      <c r="J16" s="148" t="inlineStr">
        <is>
          <t>Konten edukatif yang membandingkan jenis lomba berdasarkan dampaknya ke CV, portofolio, dan growth jangka panjang.</t>
        </is>
      </c>
      <c r="K16" s="140">
        <f>IF(AND(B16&lt;&gt;"", C16&lt;&gt;"", D16&lt;&gt;"", E16&lt;&gt;"", F16&lt;&gt;"", G16&lt;&gt;"", J16&lt;&gt;"",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B16, "'.", CHAR(10),
"Konten ini memiliki pilar '", C16, "', nilai tambah utama '", F16, "', dan akan menggunakan storytelling framework '", G16, "'.", CHAR(10),
"Gambaran singkat ide kontennya adalah: '", J16, "'.", CHAR(10),
"Konten ini akan diunggah di platform '", E16, "' dengan format '", D16,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6" s="111" t="n">
        <v>2</v>
      </c>
      <c r="M16" s="112" t="inlineStr">
        <is>
          <t>The Hero's Journey: Petualangan karakter menghadapi cobaan dan kembali dengan pelajaran.</t>
        </is>
      </c>
      <c r="N16" s="102" t="n"/>
      <c r="O16" s="102" t="n"/>
      <c r="P16" s="102" t="n"/>
      <c r="Q16" s="102" t="n"/>
      <c r="R16" s="102" t="n"/>
      <c r="S16" s="102" t="n"/>
      <c r="T16" s="102" t="n"/>
      <c r="U16" s="102" t="n"/>
      <c r="V16" s="102" t="n"/>
      <c r="W16" s="102" t="n"/>
      <c r="X16" s="102" t="n"/>
      <c r="Y16" s="102" t="n"/>
      <c r="Z16" s="102" t="n"/>
      <c r="AA16" s="102" t="n"/>
      <c r="AB16" s="102" t="n"/>
      <c r="AC16" s="102" t="n"/>
      <c r="AD16" s="102" t="n"/>
    </row>
    <row r="17">
      <c r="A17" s="102" t="n"/>
      <c r="B17" s="142" t="inlineStr">
        <is>
          <t>Kalau Baru Mau Mulai Ikut Lomba, Mulai dari Kategori Ini Dulu</t>
        </is>
      </c>
      <c r="C17" s="143" t="inlineStr">
        <is>
          <t>Opportunity Content (Informasi)</t>
        </is>
      </c>
      <c r="D17" s="143" t="inlineStr">
        <is>
          <t>Carousel</t>
        </is>
      </c>
      <c r="E17" s="143" t="inlineStr">
        <is>
          <t>Instagram</t>
        </is>
      </c>
      <c r="F17" s="143" t="inlineStr">
        <is>
          <t>Solusi</t>
        </is>
      </c>
      <c r="G17" s="144" t="inlineStr">
        <is>
          <t>Zero to Hero</t>
        </is>
      </c>
      <c r="H17" s="128">
        <f>IF(H9&lt;&gt;"",HYPERLINK("https://chatgpt.com/?q="&amp;ENCODEURL(H9),"👉 Klik untuk Generate Script! 🔥"),"")</f>
        <v/>
      </c>
      <c r="I17" s="142" t="inlineStr">
        <is>
          <t>Template - Skrip Konten Carousels &amp; Reels.docx</t>
        </is>
      </c>
      <c r="J17" s="146" t="inlineStr">
        <is>
          <t>Konten beginner-friendly yang ngasih jalur masuk paling aman buat pemula yang baru mau mulai ikut lomba.</t>
        </is>
      </c>
      <c r="K17" s="130">
        <f>IF(AND(B17&lt;&gt;"", C17&lt;&gt;"", D17&lt;&gt;"", E17&lt;&gt;"", F17&lt;&gt;"", G17&lt;&gt;"", J17&lt;&gt;"",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B17, "'.", CHAR(10),
"Konten ini memiliki pilar '", C17, "', nilai tambah utama '", F17, "', dan akan menggunakan storytelling framework '", G17, "'.", CHAR(10),
"Gambaran singkat ide kontennya adalah: '", J17, "'.", CHAR(10),
"Konten ini akan diunggah di platform '", E17, "' dengan format '", D17,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7" s="109" t="n">
        <v>3</v>
      </c>
      <c r="M17" s="110" t="inlineStr">
        <is>
          <t>Problem-Solution: Mengidentifikasi masalah audiens dan menawarkan solusi.</t>
        </is>
      </c>
      <c r="N17" s="102" t="n"/>
      <c r="O17" s="102" t="n"/>
      <c r="P17" s="102" t="n"/>
      <c r="Q17" s="102" t="n"/>
      <c r="R17" s="102" t="n"/>
      <c r="S17" s="102" t="n"/>
      <c r="T17" s="102" t="n"/>
      <c r="U17" s="102" t="n"/>
      <c r="V17" s="102" t="n"/>
      <c r="W17" s="102" t="n"/>
      <c r="X17" s="102" t="n"/>
      <c r="Y17" s="102" t="n"/>
      <c r="Z17" s="102" t="n"/>
      <c r="AA17" s="102" t="n"/>
      <c r="AB17" s="102" t="n"/>
      <c r="AC17" s="102" t="n"/>
      <c r="AD17" s="102" t="n"/>
    </row>
    <row r="18">
      <c r="A18" s="102" t="n"/>
      <c r="B18" s="147" t="inlineStr">
        <is>
          <t>Sering Gugur di Awal? Bisa Jadi Kamu Salah Pilih Lomba dari Awal</t>
        </is>
      </c>
      <c r="C18" s="144" t="inlineStr">
        <is>
          <t>Opportunity Content (Informasi)</t>
        </is>
      </c>
      <c r="D18" s="144" t="inlineStr">
        <is>
          <t>Carousel</t>
        </is>
      </c>
      <c r="E18" s="144" t="inlineStr">
        <is>
          <t>Instagram</t>
        </is>
      </c>
      <c r="F18" s="144" t="inlineStr">
        <is>
          <t>Perspektif Baru</t>
        </is>
      </c>
      <c r="G18" s="144" t="inlineStr">
        <is>
          <t>False Star</t>
        </is>
      </c>
      <c r="H18" s="125">
        <f>IF(H9&lt;&gt;"",HYPERLINK("https://chatgpt.com/?q="&amp;ENCODEURL(H9),"👉 Klik untuk Generate Script! 🔥"),"")</f>
        <v/>
      </c>
      <c r="I18" s="147" t="inlineStr">
        <is>
          <t>Template - Skrip Konten Carousels &amp; Reels.docx</t>
        </is>
      </c>
      <c r="J18" s="148" t="inlineStr">
        <is>
          <t>Konten problem-solution yang menunjukkan kalau kegagalan awal sering bermula dari salah memilih medan lomba.</t>
        </is>
      </c>
      <c r="K18" s="140">
        <f>IF(AND(B18&lt;&gt;"", C18&lt;&gt;"", D18&lt;&gt;"", E18&lt;&gt;"", F18&lt;&gt;"", G18&lt;&gt;"", J18&lt;&gt;"",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B18, "'.", CHAR(10),
"Konten ini memiliki pilar '", C18, "', nilai tambah utama '", F18, "', dan akan menggunakan storytelling framework '", G18, "'.", CHAR(10),
"Gambaran singkat ide kontennya adalah: '", J18, "'.", CHAR(10),
"Konten ini akan diunggah di platform '", E18, "' dengan format '", D18,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8" s="111" t="n">
        <v>4</v>
      </c>
      <c r="M18" s="112" t="inlineStr">
        <is>
          <t>Before &amp; After: Menunjukkan transformasi dari kondisi lama ke kondisi baru yang lebih baik.</t>
        </is>
      </c>
      <c r="N18" s="102" t="n"/>
      <c r="O18" s="102" t="n"/>
      <c r="P18" s="102" t="n"/>
      <c r="Q18" s="102" t="n"/>
      <c r="R18" s="102" t="n"/>
      <c r="S18" s="102" t="n"/>
      <c r="T18" s="102" t="n"/>
      <c r="U18" s="102" t="n"/>
      <c r="V18" s="102" t="n"/>
      <c r="W18" s="102" t="n"/>
      <c r="X18" s="102" t="n"/>
      <c r="Y18" s="102" t="n"/>
      <c r="Z18" s="102" t="n"/>
      <c r="AA18" s="102" t="n"/>
      <c r="AB18" s="102" t="n"/>
      <c r="AC18" s="102" t="n"/>
      <c r="AD18" s="102" t="n"/>
    </row>
    <row r="19">
      <c r="A19" s="102" t="n"/>
      <c r="B19" s="142" t="inlineStr">
        <is>
          <t>Banyak Lomba, Sedikit Waktu: Gimana Cara Prioritasin yang Paling Potensial?</t>
        </is>
      </c>
      <c r="C19" s="143" t="inlineStr">
        <is>
          <t>Opportunity Content (Informasi)</t>
        </is>
      </c>
      <c r="D19" s="143" t="inlineStr">
        <is>
          <t>Carousel</t>
        </is>
      </c>
      <c r="E19" s="143" t="inlineStr">
        <is>
          <t>Instagram</t>
        </is>
      </c>
      <c r="F19" s="143" t="inlineStr">
        <is>
          <t>Solusi</t>
        </is>
      </c>
      <c r="G19" s="144" t="inlineStr">
        <is>
          <t>Problem-Solution</t>
        </is>
      </c>
      <c r="H19" s="128">
        <f>IF(H9&lt;&gt;"",HYPERLINK("https://chatgpt.com/?q="&amp;ENCODEURL(H9),"👉 Klik untuk Generate Script! 🔥"),"")</f>
        <v/>
      </c>
      <c r="I19" s="142" t="inlineStr">
        <is>
          <t>Template - Skrip Konten Carousels &amp; Reels.docx</t>
        </is>
      </c>
      <c r="J19" s="146" t="inlineStr">
        <is>
          <t>Konten prioritas keputusan untuk anak muda yang punya banyak pilihan lomba tapi waktu dan energi terbatas.</t>
        </is>
      </c>
      <c r="K19" s="130">
        <f>IF(AND(B19&lt;&gt;"", C19&lt;&gt;"", D19&lt;&gt;"", E19&lt;&gt;"", F19&lt;&gt;"", G19&lt;&gt;"", J19&lt;&gt;"",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B19, "'.", CHAR(10),
"Konten ini memiliki pilar '", C19, "', nilai tambah utama '", F19, "', dan akan menggunakan storytelling framework '", G19, "'.", CHAR(10),
"Gambaran singkat ide kontennya adalah: '", J19, "'.", CHAR(10),
"Konten ini akan diunggah di platform '", E19, "' dengan format '", D19,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9" s="109" t="n">
        <v>5</v>
      </c>
      <c r="M19" s="110" t="inlineStr">
        <is>
          <t>Case Study/Testimonial: Kisah nyata keberhasilan atau pengalaman positif.</t>
        </is>
      </c>
      <c r="N19" s="102" t="n"/>
      <c r="O19" s="102" t="n"/>
      <c r="P19" s="102" t="n"/>
      <c r="Q19" s="102" t="n"/>
      <c r="R19" s="102" t="n"/>
      <c r="S19" s="102" t="n"/>
      <c r="T19" s="102" t="n"/>
      <c r="U19" s="102" t="n"/>
      <c r="V19" s="102" t="n"/>
      <c r="W19" s="102" t="n"/>
      <c r="X19" s="102" t="n"/>
      <c r="Y19" s="102" t="n"/>
      <c r="Z19" s="102" t="n"/>
      <c r="AA19" s="102" t="n"/>
      <c r="AB19" s="102" t="n"/>
      <c r="AC19" s="102" t="n"/>
      <c r="AD19" s="102" t="n"/>
    </row>
    <row r="20">
      <c r="A20" s="102" t="n"/>
      <c r="B20" s="147" t="inlineStr">
        <is>
          <t>Setelah Ikut Lomba, Jangan Cuma Nunggu Menang, Lakuin 4 Hal Ini</t>
        </is>
      </c>
      <c r="C20" s="144" t="inlineStr">
        <is>
          <t>Opportunity Content (Informasi)</t>
        </is>
      </c>
      <c r="D20" s="144" t="inlineStr">
        <is>
          <t>Carousel</t>
        </is>
      </c>
      <c r="E20" s="144" t="inlineStr">
        <is>
          <t>Instagram</t>
        </is>
      </c>
      <c r="F20" s="144" t="inlineStr">
        <is>
          <t>Perspektif Baru</t>
        </is>
      </c>
      <c r="G20" s="144" t="inlineStr">
        <is>
          <t>Before-After</t>
        </is>
      </c>
      <c r="H20" s="125">
        <f>IF(H9&lt;&gt;"",HYPERLINK("https://chatgpt.com/?q="&amp;ENCODEURL(H9),"👉 Klik untuk Generate Script! 🔥"),"")</f>
        <v/>
      </c>
      <c r="I20" s="147" t="inlineStr">
        <is>
          <t>Template - Skrip Konten Carousels &amp; Reels.docx</t>
        </is>
      </c>
      <c r="J20" s="148" t="inlineStr">
        <is>
          <t>Konten perspektif baru bahwa value ikut lomba tidak berhenti di menang atau kalah, tapi bisa diolah jadi aset growth.</t>
        </is>
      </c>
      <c r="K20" s="140">
        <f>IF(AND(B20&lt;&gt;"", C20&lt;&gt;"", D20&lt;&gt;"", E20&lt;&gt;"", F20&lt;&gt;"", G20&lt;&gt;"", J20&lt;&gt;"",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B20, "'.", CHAR(10),
"Konten ini memiliki pilar '", C20, "', nilai tambah utama '", F20, "', dan akan menggunakan storytelling framework '", G20, "'.", CHAR(10),
"Gambaran singkat ide kontennya adalah: '", J20, "'.", CHAR(10),
"Konten ini akan diunggah di platform '", E20, "' dengan format '", D20,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0" s="111" t="n">
        <v>6</v>
      </c>
      <c r="M20" s="112" t="inlineStr">
        <is>
          <t>The 'Why' Story: Menjelaskan alasan di balik nilai atau misi Anda.</t>
        </is>
      </c>
      <c r="N20" s="102" t="n"/>
      <c r="O20" s="102" t="n"/>
      <c r="P20" s="102" t="n"/>
      <c r="Q20" s="102" t="n"/>
      <c r="R20" s="102" t="n"/>
      <c r="S20" s="102" t="n"/>
      <c r="T20" s="102" t="n"/>
      <c r="U20" s="102" t="n"/>
      <c r="V20" s="102" t="n"/>
      <c r="W20" s="102" t="n"/>
      <c r="X20" s="102" t="n"/>
      <c r="Y20" s="102" t="n"/>
      <c r="Z20" s="102" t="n"/>
      <c r="AA20" s="102" t="n"/>
      <c r="AB20" s="102" t="n"/>
      <c r="AC20" s="102" t="n"/>
      <c r="AD20" s="102" t="n"/>
    </row>
    <row r="21" ht="15.75" customHeight="1" s="205">
      <c r="A21" s="102" t="n"/>
      <c r="B21" s="142" t="inlineStr">
        <is>
          <t>Lomba Online vs Offline, Mana yang Lebih Strategis Buat Pelajar dan Mahasiswa?</t>
        </is>
      </c>
      <c r="C21" s="143" t="inlineStr">
        <is>
          <t>Opportunity Content (Informasi)</t>
        </is>
      </c>
      <c r="D21" s="143" t="inlineStr">
        <is>
          <t>Carousel</t>
        </is>
      </c>
      <c r="E21" s="143" t="inlineStr">
        <is>
          <t>Instagram</t>
        </is>
      </c>
      <c r="F21" s="143" t="inlineStr">
        <is>
          <t>Edukasi/Wawasan</t>
        </is>
      </c>
      <c r="G21" s="144" t="inlineStr">
        <is>
          <t>The Why Story</t>
        </is>
      </c>
      <c r="H21" s="128">
        <f>IF(H9&lt;&gt;"",HYPERLINK("https://chatgpt.com/?q="&amp;ENCODEURL(H9),"👉 Klik untuk Generate Script! 🔥"),"")</f>
        <v/>
      </c>
      <c r="I21" s="143" t="inlineStr">
        <is>
          <t>Template - Skrip Konten Carousels &amp; Reels.docx</t>
        </is>
      </c>
      <c r="J21" s="146" t="inlineStr">
        <is>
          <t>Konten perbandingan yang bantu audiens memilih format lomba paling strategis sesuai tujuan dan kondisi mereka.</t>
        </is>
      </c>
      <c r="K21" s="130">
        <f>IF(AND(B21&lt;&gt;"", C21&lt;&gt;"", D21&lt;&gt;"", E21&lt;&gt;"", F21&lt;&gt;"", G21&lt;&gt;"", J21&lt;&gt;"",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B21, "'.", CHAR(10),
"Konten ini memiliki pilar '", C21, "', nilai tambah utama '", F21, "', dan akan menggunakan storytelling framework '", G21, "'.", CHAR(10),
"Gambaran singkat ide kontennya adalah: '", J21, "'.", CHAR(10),
"Konten ini akan diunggah di platform '", E21, "' dengan format '", D21,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1" s="109" t="n">
        <v>7</v>
      </c>
      <c r="M21" s="110" t="inlineStr">
        <is>
          <t>In Media Res: Memulai cerita di tengah aksi, lalu kilas balik menjelaskan latar belakang.</t>
        </is>
      </c>
      <c r="N21" s="102" t="n"/>
      <c r="O21" s="102" t="n"/>
      <c r="P21" s="102" t="n"/>
      <c r="Q21" s="102" t="n"/>
      <c r="R21" s="102" t="n"/>
      <c r="S21" s="102" t="n"/>
      <c r="T21" s="102" t="n"/>
      <c r="U21" s="102" t="n"/>
      <c r="V21" s="102" t="n"/>
      <c r="W21" s="102" t="n"/>
      <c r="X21" s="102" t="n"/>
      <c r="Y21" s="102" t="n"/>
      <c r="Z21" s="102" t="n"/>
      <c r="AA21" s="102" t="n"/>
      <c r="AB21" s="102" t="n"/>
      <c r="AC21" s="102" t="n"/>
      <c r="AD21" s="102" t="n"/>
    </row>
    <row r="22" ht="15.75" customHeight="1" s="205">
      <c r="A22" s="102" t="n"/>
      <c r="B22" s="147" t="inlineStr">
        <is>
          <t>3 Kebiasaan yang Bikin Kamu Lebih Cepat Dilirik buat Lomba, Organisasi, dan Internship</t>
        </is>
      </c>
      <c r="C22" s="144" t="inlineStr">
        <is>
          <t>Self Development (Leadership &amp; Growth)</t>
        </is>
      </c>
      <c r="D22" s="144" t="inlineStr">
        <is>
          <t>Carousel</t>
        </is>
      </c>
      <c r="E22" s="144" t="inlineStr">
        <is>
          <t>Instagram</t>
        </is>
      </c>
      <c r="F22" s="144" t="inlineStr">
        <is>
          <t>Perspektif Baru</t>
        </is>
      </c>
      <c r="G22" s="144" t="inlineStr">
        <is>
          <t>Problem-Solution</t>
        </is>
      </c>
      <c r="H22" s="141">
        <f>IF(K22&lt;&gt;"",HYPERLINK("https://chatgpt.com/?q="&amp;ENCODEURL(K22),"👉 Klik untuk Generate Script! 🔥"),"")</f>
        <v/>
      </c>
      <c r="I22" s="144" t="inlineStr">
        <is>
          <t>Template - Skrip Konten Carousels &amp; Reels.docx</t>
        </is>
      </c>
      <c r="J22" s="148" t="inlineStr">
        <is>
          <t>Carousel yang nunjukin kebiasaan kecil tapi berdampak besar buat bikin kamu terlihat lebih siap, proaktif, dan layak dilirik buat peluang nyata.</t>
        </is>
      </c>
      <c r="K22" s="140">
        <f>IF(AND(B22&lt;&gt;"", C22&lt;&gt;"", D22&lt;&gt;"", E22&lt;&gt;"", F22&lt;&gt;"", G22&lt;&gt;"", J22&lt;&gt;"",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B22, "'.", CHAR(10),
"Konten ini memiliki pilar '", C22, "', nilai tambah utama '", F22, "', dan akan menggunakan storytelling framework '", G22, "'.", CHAR(10),
"Gambaran singkat ide kontennya adalah: '", J22, "'.", CHAR(10),
"Konten ini akan diunggah di platform '", E22, "' dengan format '", D22,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2" s="111" t="n">
        <v>8</v>
      </c>
      <c r="M22" s="112" t="inlineStr">
        <is>
          <t>False Start: Cerita dimulai dengan ekspektasi, lalu dibalik secara mengejutkan.</t>
        </is>
      </c>
      <c r="N22" s="102" t="n"/>
      <c r="O22" s="102" t="n"/>
      <c r="P22" s="102" t="n"/>
      <c r="Q22" s="102" t="n"/>
      <c r="R22" s="102" t="n"/>
      <c r="S22" s="102" t="n"/>
      <c r="T22" s="102" t="n"/>
      <c r="U22" s="102" t="n"/>
      <c r="V22" s="102" t="n"/>
      <c r="W22" s="102" t="n"/>
      <c r="X22" s="102" t="n"/>
      <c r="Y22" s="102" t="n"/>
      <c r="Z22" s="102" t="n"/>
      <c r="AA22" s="102" t="n"/>
      <c r="AB22" s="102" t="n"/>
      <c r="AC22" s="102" t="n"/>
      <c r="AD22" s="102" t="n"/>
    </row>
    <row r="23" ht="15.75" customHeight="1" s="205">
      <c r="A23" s="102" t="n"/>
      <c r="B23" s="142" t="n"/>
      <c r="C23" s="143" t="n"/>
      <c r="D23" s="143" t="n"/>
      <c r="E23" s="143" t="n"/>
      <c r="F23" s="143" t="n"/>
      <c r="G23" s="144" t="n"/>
      <c r="H23" s="145" t="n"/>
      <c r="I23" s="143" t="n"/>
      <c r="J23" s="146" t="n"/>
      <c r="K23" s="130">
        <f>IF(AND(B23&lt;&gt;"", C23&lt;&gt;"", D23&lt;&gt;"", E23&lt;&gt;"", F23&lt;&gt;"", G23&lt;&gt;"", J23&lt;&gt;"",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B23, "'.", CHAR(10),
"Konten ini memiliki pilar '", C23, "', nilai tambah utama '", F23, "', dan akan menggunakan storytelling framework '", G23, "'.", CHAR(10),
"Gambaran singkat ide kontennya adalah: '", J23, "'.", CHAR(10),
"Konten ini akan diunggah di platform '", E23, "' dengan format '", D23,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3" s="109" t="n">
        <v>9</v>
      </c>
      <c r="M23" s="110" t="inlineStr">
        <is>
          <t>The 'Aha!' Moment: Menceritakan momen pencerahan atau penemuan penting.</t>
        </is>
      </c>
      <c r="N23" s="102" t="n"/>
      <c r="O23" s="102" t="n"/>
      <c r="P23" s="102" t="n"/>
      <c r="Q23" s="102" t="n"/>
      <c r="R23" s="102" t="n"/>
      <c r="S23" s="102" t="n"/>
      <c r="T23" s="102" t="n"/>
      <c r="U23" s="102" t="n"/>
      <c r="V23" s="102" t="n"/>
      <c r="W23" s="102" t="n"/>
      <c r="X23" s="102" t="n"/>
      <c r="Y23" s="102" t="n"/>
      <c r="Z23" s="102" t="n"/>
      <c r="AA23" s="102" t="n"/>
      <c r="AB23" s="102" t="n"/>
      <c r="AC23" s="102" t="n"/>
      <c r="AD23" s="102" t="n"/>
    </row>
    <row r="24" ht="15.75" customHeight="1" s="205">
      <c r="A24" s="102" t="n"/>
      <c r="B24" s="147" t="n"/>
      <c r="C24" s="144" t="n"/>
      <c r="D24" s="144" t="n"/>
      <c r="E24" s="144" t="n"/>
      <c r="F24" s="144" t="n"/>
      <c r="G24" s="144" t="n"/>
      <c r="H24" s="141" t="n"/>
      <c r="I24" s="144" t="n"/>
      <c r="J24" s="148" t="n"/>
      <c r="K24" s="140">
        <f>IF(AND(B24&lt;&gt;"", C24&lt;&gt;"", D24&lt;&gt;"", E24&lt;&gt;"", F24&lt;&gt;"", G24&lt;&gt;"", J24&lt;&gt;"",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B24, "'.", CHAR(10),
"Konten ini memiliki pilar '", C24, "', nilai tambah utama '", F24, "', dan akan menggunakan storytelling framework '", G24, "'.", CHAR(10),
"Gambaran singkat ide kontennya adalah: '", J24, "'.", CHAR(10),
"Konten ini akan diunggah di platform '", E24, "' dengan format '", D24,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4" s="111" t="n">
        <v>10</v>
      </c>
      <c r="M24" s="112" t="inlineStr">
        <is>
          <t>The Underdog: Kisah tentang yang lemah mengalahkan yang kuat.</t>
        </is>
      </c>
      <c r="N24" s="102" t="n"/>
      <c r="O24" s="102" t="n"/>
      <c r="P24" s="102" t="n"/>
      <c r="Q24" s="102" t="n"/>
      <c r="R24" s="102" t="n"/>
      <c r="S24" s="102" t="n"/>
      <c r="T24" s="102" t="n"/>
      <c r="U24" s="102" t="n"/>
      <c r="V24" s="102" t="n"/>
      <c r="W24" s="102" t="n"/>
      <c r="X24" s="102" t="n"/>
      <c r="Y24" s="102" t="n"/>
      <c r="Z24" s="102" t="n"/>
      <c r="AA24" s="102" t="n"/>
      <c r="AB24" s="102" t="n"/>
      <c r="AC24" s="102" t="n"/>
      <c r="AD24" s="102" t="n"/>
    </row>
    <row r="25" ht="15.75" customHeight="1" s="205">
      <c r="A25" s="102" t="n"/>
      <c r="B25" s="142" t="n"/>
      <c r="C25" s="143" t="n"/>
      <c r="D25" s="143" t="n"/>
      <c r="E25" s="143" t="n"/>
      <c r="F25" s="143" t="n"/>
      <c r="G25" s="144" t="n"/>
      <c r="H25" s="145" t="n"/>
      <c r="I25" s="143" t="n"/>
      <c r="J25" s="146" t="n"/>
      <c r="K25" s="130">
        <f>IF(AND(B25&lt;&gt;"", C25&lt;&gt;"", D25&lt;&gt;"", E25&lt;&gt;"", F25&lt;&gt;"", G25&lt;&gt;"", J25&lt;&gt;"",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B25, "'.", CHAR(10),
"Konten ini memiliki pilar '", C25, "', nilai tambah utama '", F25, "', dan akan menggunakan storytelling framework '", G25, "'.", CHAR(10),
"Gambaran singkat ide kontennya adalah: '", J25, "'.", CHAR(10),
"Konten ini akan diunggah di platform '", E25, "' dengan format '", D25,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5" s="91" t="n"/>
      <c r="M25" s="91" t="n"/>
      <c r="N25" s="102" t="n"/>
      <c r="O25" s="102" t="n"/>
      <c r="P25" s="102" t="n"/>
      <c r="Q25" s="102" t="n"/>
      <c r="R25" s="102" t="n"/>
      <c r="S25" s="102" t="n"/>
      <c r="T25" s="102" t="n"/>
      <c r="U25" s="102" t="n"/>
      <c r="V25" s="102" t="n"/>
      <c r="W25" s="102" t="n"/>
      <c r="X25" s="102" t="n"/>
      <c r="Y25" s="102" t="n"/>
      <c r="Z25" s="102" t="n"/>
      <c r="AA25" s="102" t="n"/>
      <c r="AB25" s="102" t="n"/>
      <c r="AC25" s="102" t="n"/>
      <c r="AD25" s="102" t="n"/>
    </row>
    <row r="26" ht="15.75" customHeight="1" s="205">
      <c r="A26" s="102" t="n"/>
      <c r="B26" s="147" t="n"/>
      <c r="C26" s="144" t="n"/>
      <c r="D26" s="144" t="n"/>
      <c r="E26" s="144" t="n"/>
      <c r="F26" s="144" t="n"/>
      <c r="G26" s="144" t="n"/>
      <c r="H26" s="141" t="n"/>
      <c r="I26" s="144" t="n"/>
      <c r="J26" s="148" t="n"/>
      <c r="K26" s="140">
        <f>IF(AND(B26&lt;&gt;"", C26&lt;&gt;"", D26&lt;&gt;"", E26&lt;&gt;"", F26&lt;&gt;"", G26&lt;&gt;"", J26&lt;&gt;"",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B26, "'.", CHAR(10),
"Konten ini memiliki pilar '", C26, "', nilai tambah utama '", F26, "', dan akan menggunakan storytelling framework '", G26, "'.", CHAR(10),
"Gambaran singkat ide kontennya adalah: '", J26, "'.", CHAR(10),
"Konten ini akan diunggah di platform '", E26, "' dengan format '", D26,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6" s="199" t="n"/>
      <c r="M26" s="199" t="n"/>
      <c r="N26" s="102" t="n"/>
      <c r="O26" s="102" t="n"/>
      <c r="P26" s="102" t="n"/>
      <c r="Q26" s="102" t="n"/>
      <c r="R26" s="102" t="n"/>
      <c r="S26" s="102" t="n"/>
      <c r="T26" s="102" t="n"/>
      <c r="U26" s="102" t="n"/>
      <c r="V26" s="102" t="n"/>
      <c r="W26" s="102" t="n"/>
      <c r="X26" s="102" t="n"/>
      <c r="Y26" s="102" t="n"/>
      <c r="Z26" s="102" t="n"/>
      <c r="AA26" s="102" t="n"/>
      <c r="AB26" s="102" t="n"/>
      <c r="AC26" s="102" t="n"/>
      <c r="AD26" s="102" t="n"/>
    </row>
    <row r="27" ht="15.75" customHeight="1" s="205">
      <c r="A27" s="102" t="n"/>
      <c r="B27" s="142" t="n"/>
      <c r="C27" s="143" t="n"/>
      <c r="D27" s="143" t="n"/>
      <c r="E27" s="143" t="n"/>
      <c r="F27" s="143" t="n"/>
      <c r="G27" s="144" t="n"/>
      <c r="H27" s="145" t="n"/>
      <c r="I27" s="143" t="n"/>
      <c r="J27" s="146" t="n"/>
      <c r="K27" s="130">
        <f>IF(AND(B27&lt;&gt;"", C27&lt;&gt;"", D27&lt;&gt;"", E27&lt;&gt;"", F27&lt;&gt;"", G27&lt;&gt;"", J27&lt;&gt;"",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B27, "'.", CHAR(10),
"Konten ini memiliki pilar '", C27, "', nilai tambah utama '", F27, "', dan akan menggunakan storytelling framework '", G27, "'.", CHAR(10),
"Gambaran singkat ide kontennya adalah: '", J27, "'.", CHAR(10),
"Konten ini akan diunggah di platform '", E27, "' dengan format '", D27,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27" s="149" t="inlineStr">
        <is>
          <t>Kalau mau pakai AI lain bisa, tinggal copas aja promptnya dari ChatGPT</t>
        </is>
      </c>
      <c r="N27" s="102" t="n"/>
      <c r="O27" s="102" t="n"/>
      <c r="P27" s="102" t="n"/>
      <c r="Q27" s="102" t="n"/>
      <c r="R27" s="102" t="n"/>
      <c r="S27" s="102" t="n"/>
      <c r="T27" s="102" t="n"/>
      <c r="U27" s="102" t="n"/>
      <c r="V27" s="102" t="n"/>
      <c r="W27" s="102" t="n"/>
      <c r="X27" s="102" t="n"/>
      <c r="Y27" s="102" t="n"/>
      <c r="Z27" s="102" t="n"/>
      <c r="AA27" s="102" t="n"/>
      <c r="AB27" s="102" t="n"/>
      <c r="AC27" s="102" t="n"/>
      <c r="AD27" s="102" t="n"/>
    </row>
    <row r="28" ht="15.75" customHeight="1" s="205">
      <c r="A28" s="102" t="n"/>
      <c r="B28" s="147" t="n"/>
      <c r="C28" s="144" t="n"/>
      <c r="D28" s="144" t="n"/>
      <c r="E28" s="144" t="n"/>
      <c r="F28" s="144" t="n"/>
      <c r="G28" s="144" t="n"/>
      <c r="H28" s="141" t="n"/>
      <c r="I28" s="144" t="n"/>
      <c r="J28" s="148" t="n"/>
      <c r="K28" s="140">
        <f>IF(AND(B28&lt;&gt;"", C28&lt;&gt;"", D28&lt;&gt;"", E28&lt;&gt;"", F28&lt;&gt;"", G28&lt;&gt;"", J28&lt;&gt;"",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B28, "'.", CHAR(10),
"Konten ini memiliki pilar '", C28, "', nilai tambah utama '", F28, "', dan akan menggunakan storytelling framework '", G28, "'.", CHAR(10),
"Gambaran singkat ide kontennya adalah: '", J28, "'.", CHAR(10),
"Konten ini akan diunggah di platform '", E28, "' dengan format '", D28,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28" s="102" t="n"/>
      <c r="O28" s="102" t="n"/>
      <c r="P28" s="102" t="n"/>
      <c r="Q28" s="102" t="n"/>
      <c r="R28" s="102" t="n"/>
      <c r="S28" s="102" t="n"/>
      <c r="T28" s="102" t="n"/>
      <c r="U28" s="102" t="n"/>
      <c r="V28" s="102" t="n"/>
      <c r="W28" s="102" t="n"/>
      <c r="X28" s="102" t="n"/>
      <c r="Y28" s="102" t="n"/>
      <c r="Z28" s="102" t="n"/>
      <c r="AA28" s="102" t="n"/>
      <c r="AB28" s="102" t="n"/>
      <c r="AC28" s="102" t="n"/>
      <c r="AD28" s="102" t="n"/>
    </row>
    <row r="29" ht="15.75" customHeight="1" s="205">
      <c r="A29" s="102" t="n"/>
      <c r="B29" s="142" t="n"/>
      <c r="C29" s="143" t="n"/>
      <c r="D29" s="143" t="n"/>
      <c r="E29" s="143" t="n"/>
      <c r="F29" s="143" t="n"/>
      <c r="G29" s="144" t="n"/>
      <c r="H29" s="145" t="n"/>
      <c r="I29" s="143" t="n"/>
      <c r="J29" s="146" t="n"/>
      <c r="K29" s="130">
        <f>IF(AND(B29&lt;&gt;"", C29&lt;&gt;"", D29&lt;&gt;"", E29&lt;&gt;"", F29&lt;&gt;"", G29&lt;&gt;"", J29&lt;&gt;"",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B29, "'.", CHAR(10),
"Konten ini memiliki pilar '", C29, "', nilai tambah utama '", F29, "', dan akan menggunakan storytelling framework '", G29, "'.", CHAR(10),
"Gambaran singkat ide kontennya adalah: '", J29, "'.", CHAR(10),
"Konten ini akan diunggah di platform '", E29, "' dengan format '", D29,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29" s="102" t="n"/>
      <c r="O29" s="102" t="n"/>
      <c r="P29" s="102" t="n"/>
      <c r="Q29" s="102" t="n"/>
      <c r="R29" s="102" t="n"/>
      <c r="S29" s="102" t="n"/>
      <c r="T29" s="102" t="n"/>
      <c r="U29" s="102" t="n"/>
      <c r="V29" s="102" t="n"/>
      <c r="W29" s="102" t="n"/>
      <c r="X29" s="102" t="n"/>
      <c r="Y29" s="102" t="n"/>
      <c r="Z29" s="102" t="n"/>
      <c r="AA29" s="102" t="n"/>
      <c r="AB29" s="102" t="n"/>
      <c r="AC29" s="102" t="n"/>
      <c r="AD29" s="102" t="n"/>
    </row>
    <row r="30" ht="16.5" customHeight="1" s="205">
      <c r="A30" s="102" t="n"/>
      <c r="B30" s="147" t="n"/>
      <c r="C30" s="144" t="n"/>
      <c r="D30" s="144" t="n"/>
      <c r="E30" s="144" t="n"/>
      <c r="F30" s="144" t="n"/>
      <c r="G30" s="144" t="n"/>
      <c r="H30" s="141" t="n"/>
      <c r="I30" s="144" t="n"/>
      <c r="J30" s="148" t="n"/>
      <c r="K30" s="140">
        <f>IF(AND(B30&lt;&gt;"", C30&lt;&gt;"", D30&lt;&gt;"", E30&lt;&gt;"", F30&lt;&gt;"", G30&lt;&gt;"", J30&lt;&gt;"",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B30, "'.", CHAR(10),
"Konten ini memiliki pilar '", C30, "', nilai tambah utama '", F30, "', dan akan menggunakan storytelling framework '", G30, "'.", CHAR(10),
"Gambaran singkat ide kontennya adalah: '", J30, "'.", CHAR(10),
"Konten ini akan diunggah di platform '", E30, "' dengan format '", D30,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30" s="102" t="n"/>
      <c r="O30" s="102" t="n"/>
      <c r="P30" s="102" t="n"/>
      <c r="Q30" s="102" t="n"/>
      <c r="R30" s="102" t="n"/>
      <c r="S30" s="102" t="n"/>
      <c r="T30" s="102" t="n"/>
      <c r="U30" s="102" t="n"/>
      <c r="V30" s="102" t="n"/>
      <c r="W30" s="102" t="n"/>
      <c r="X30" s="102" t="n"/>
      <c r="Y30" s="102" t="n"/>
      <c r="Z30" s="102" t="n"/>
      <c r="AA30" s="102" t="n"/>
      <c r="AB30" s="102" t="n"/>
      <c r="AC30" s="102" t="n"/>
      <c r="AD30" s="102" t="n"/>
    </row>
    <row r="31" ht="15.75" customHeight="1" s="205">
      <c r="A31" s="102" t="n"/>
      <c r="B31" s="142" t="n"/>
      <c r="C31" s="143" t="n"/>
      <c r="D31" s="143" t="n"/>
      <c r="E31" s="143" t="n"/>
      <c r="F31" s="143" t="n"/>
      <c r="G31" s="144" t="n"/>
      <c r="H31" s="145">
        <f>IF(K31&lt;&gt;"", HYPERLINK("https://chatgpt.com/?prompt=" &amp; SUBSTITUTE(SUBSTITUTE(K31, " ", "+"), "&amp;", "dan") &amp; "&amp;force-refresh=true&amp;timestamp=" &amp; TEXT(NOW(), "yyyymmddhhmmss"), "👉 Klik untuk Generate Script! 🔥"), "")</f>
        <v/>
      </c>
      <c r="I31" s="143" t="n"/>
      <c r="J31" s="146" t="n"/>
      <c r="K31" s="130">
        <f>IF(AND(B31&lt;&gt;"", C31&lt;&gt;"", D31&lt;&gt;"", E31&lt;&gt;"", F31&lt;&gt;"", G31&lt;&gt;"", J31&lt;&gt;"",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B31, "'.", CHAR(10),
"Konten ini memiliki pilar '", C31, "', nilai tambah utama '", F31, "', dan akan menggunakan storytelling framework '", G31, "'.", CHAR(10),
"Gambaran singkat ide kontennya adalah: '", J31, "'.", CHAR(10),
"Konten ini akan diunggah di platform '", E31, "' dengan format '", D31,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31" s="102" t="n"/>
      <c r="O31" s="102" t="n"/>
      <c r="P31" s="102" t="n"/>
      <c r="Q31" s="102" t="n"/>
      <c r="R31" s="102" t="n"/>
      <c r="S31" s="102" t="n"/>
      <c r="T31" s="102" t="n"/>
      <c r="U31" s="102" t="n"/>
      <c r="V31" s="102" t="n"/>
      <c r="W31" s="102" t="n"/>
      <c r="X31" s="102" t="n"/>
      <c r="Y31" s="102" t="n"/>
      <c r="Z31" s="102" t="n"/>
      <c r="AA31" s="102" t="n"/>
      <c r="AB31" s="102" t="n"/>
      <c r="AC31" s="102" t="n"/>
      <c r="AD31" s="102" t="n"/>
    </row>
    <row r="32" ht="15.75" customHeight="1" s="205">
      <c r="A32" s="102" t="n"/>
      <c r="B32" s="147" t="n"/>
      <c r="C32" s="144" t="n"/>
      <c r="D32" s="144" t="n"/>
      <c r="E32" s="144" t="n"/>
      <c r="F32" s="144" t="n"/>
      <c r="G32" s="144" t="n"/>
      <c r="H32" s="141">
        <f>IF(K32&lt;&gt;"", HYPERLINK("https://chatgpt.com/?prompt=" &amp; SUBSTITUTE(SUBSTITUTE(K32, " ", "+"), "&amp;", "dan") &amp; "&amp;force-refresh=true&amp;timestamp=" &amp; TEXT(NOW(), "yyyymmddhhmmss"), "👉 Klik untuk Generate Script! 🔥"), "")</f>
        <v/>
      </c>
      <c r="I32" s="144" t="n"/>
      <c r="J32" s="148" t="n"/>
      <c r="K32" s="140">
        <f>IF(AND(B32&lt;&gt;"", C32&lt;&gt;"", D32&lt;&gt;"", E32&lt;&gt;"", F32&lt;&gt;"", G32&lt;&gt;"", J32&lt;&gt;"",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B32, "'.", CHAR(10),
"Konten ini memiliki pilar '", C32, "', nilai tambah utama '", F32, "', dan akan menggunakan storytelling framework '", G32, "'.", CHAR(10),
"Gambaran singkat ide kontennya adalah: '", J32, "'.", CHAR(10),
"Konten ini akan diunggah di platform '", E32, "' dengan format '", D32,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32" s="102" t="n"/>
      <c r="O32" s="102" t="n"/>
      <c r="P32" s="102" t="n"/>
      <c r="Q32" s="102" t="n"/>
      <c r="R32" s="102" t="n"/>
      <c r="S32" s="102" t="n"/>
      <c r="T32" s="102" t="n"/>
      <c r="U32" s="102" t="n"/>
      <c r="V32" s="102" t="n"/>
      <c r="W32" s="102" t="n"/>
      <c r="X32" s="102" t="n"/>
      <c r="Y32" s="102" t="n"/>
      <c r="Z32" s="102" t="n"/>
      <c r="AA32" s="102" t="n"/>
      <c r="AB32" s="102" t="n"/>
      <c r="AC32" s="102" t="n"/>
      <c r="AD32" s="102" t="n"/>
    </row>
    <row r="33" ht="15.75" customHeight="1" s="205">
      <c r="A33" s="102" t="n"/>
      <c r="B33" s="142" t="n"/>
      <c r="C33" s="143" t="n"/>
      <c r="D33" s="143" t="n"/>
      <c r="E33" s="143" t="n"/>
      <c r="F33" s="143" t="n"/>
      <c r="G33" s="144" t="n"/>
      <c r="H33" s="145">
        <f>IF(K33&lt;&gt;"", HYPERLINK("https://chatgpt.com/?prompt=" &amp; SUBSTITUTE(SUBSTITUTE(K33, " ", "+"), "&amp;", "dan") &amp; "&amp;force-refresh=true&amp;timestamp=" &amp; TEXT(NOW(), "yyyymmddhhmmss"), "👉 Klik untuk Generate Script! 🔥"), "")</f>
        <v/>
      </c>
      <c r="I33" s="143" t="n"/>
      <c r="J33" s="146" t="n"/>
      <c r="K33" s="130">
        <f>IF(AND(B33&lt;&gt;"", C33&lt;&gt;"", D33&lt;&gt;"", E33&lt;&gt;"", F33&lt;&gt;"", G33&lt;&gt;"", J33&lt;&gt;"",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B33, "'.", CHAR(10),
"Konten ini memiliki pilar '", C33, "', nilai tambah utama '", F33, "', dan akan menggunakan storytelling framework '", G33, "'.", CHAR(10),
"Gambaran singkat ide kontennya adalah: '", J33, "'.", CHAR(10),
"Konten ini akan diunggah di platform '", E33, "' dengan format '", D33,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33" s="102" t="n"/>
      <c r="O33" s="102" t="n"/>
      <c r="P33" s="102" t="n"/>
      <c r="Q33" s="102" t="n"/>
      <c r="R33" s="102" t="n"/>
      <c r="S33" s="102" t="n"/>
      <c r="T33" s="102" t="n"/>
      <c r="U33" s="102" t="n"/>
      <c r="V33" s="102" t="n"/>
      <c r="W33" s="102" t="n"/>
      <c r="X33" s="102" t="n"/>
      <c r="Y33" s="102" t="n"/>
      <c r="Z33" s="102" t="n"/>
      <c r="AA33" s="102" t="n"/>
      <c r="AB33" s="102" t="n"/>
      <c r="AC33" s="102" t="n"/>
      <c r="AD33" s="102" t="n"/>
    </row>
    <row r="34" ht="15.75" customHeight="1" s="205">
      <c r="A34" s="102" t="n"/>
      <c r="B34" s="147" t="n"/>
      <c r="C34" s="144" t="n"/>
      <c r="D34" s="144" t="n"/>
      <c r="E34" s="144" t="n"/>
      <c r="F34" s="144" t="n"/>
      <c r="G34" s="144" t="n"/>
      <c r="H34" s="141">
        <f>IF(K34&lt;&gt;"", HYPERLINK("https://chatgpt.com/?prompt=" &amp; SUBSTITUTE(SUBSTITUTE(K34, " ", "+"), "&amp;", "dan") &amp; "&amp;force-refresh=true&amp;timestamp=" &amp; TEXT(NOW(), "yyyymmddhhmmss"), "👉 Klik untuk Generate Script! 🔥"), "")</f>
        <v/>
      </c>
      <c r="I34" s="144" t="n"/>
      <c r="J34" s="148" t="n"/>
      <c r="K34" s="140">
        <f>IF(AND(B34&lt;&gt;"", C34&lt;&gt;"", D34&lt;&gt;"", E34&lt;&gt;"", F34&lt;&gt;"", G34&lt;&gt;"", J34&lt;&gt;"",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B34, "'.", CHAR(10),
"Konten ini memiliki pilar '", C34, "', nilai tambah utama '", F34, "', dan akan menggunakan storytelling framework '", G34, "'.", CHAR(10),
"Gambaran singkat ide kontennya adalah: '", J34, "'.", CHAR(10),
"Konten ini akan diunggah di platform '", E34, "' dengan format '", D34,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N34" s="102" t="n"/>
      <c r="O34" s="102" t="n"/>
      <c r="P34" s="102" t="n"/>
      <c r="Q34" s="102" t="n"/>
      <c r="R34" s="102" t="n"/>
      <c r="S34" s="102" t="n"/>
      <c r="T34" s="102" t="n"/>
      <c r="U34" s="102" t="n"/>
      <c r="V34" s="102" t="n"/>
      <c r="W34" s="102" t="n"/>
      <c r="X34" s="102" t="n"/>
      <c r="Y34" s="102" t="n"/>
      <c r="Z34" s="102" t="n"/>
      <c r="AA34" s="102" t="n"/>
      <c r="AB34" s="102" t="n"/>
      <c r="AC34" s="102" t="n"/>
      <c r="AD34" s="102" t="n"/>
    </row>
    <row r="35" ht="15.75" customHeight="1" s="205">
      <c r="A35" s="102" t="n"/>
      <c r="B35" s="142" t="n"/>
      <c r="C35" s="143" t="n"/>
      <c r="D35" s="143" t="n"/>
      <c r="E35" s="143" t="n"/>
      <c r="F35" s="143" t="n"/>
      <c r="G35" s="144" t="n"/>
      <c r="H35" s="145">
        <f>IF(K35&lt;&gt;"", HYPERLINK("https://chatgpt.com/?prompt=" &amp; SUBSTITUTE(SUBSTITUTE(K35, " ", "+"), "&amp;", "dan") &amp; "&amp;force-refresh=true&amp;timestamp=" &amp; TEXT(NOW(), "yyyymmddhhmmss"), "👉 Klik untuk Generate Script! 🔥"), "")</f>
        <v/>
      </c>
      <c r="I35" s="143" t="n"/>
      <c r="J35" s="146" t="n"/>
      <c r="K35" s="130">
        <f>IF(AND(B35&lt;&gt;"", C35&lt;&gt;"", D35&lt;&gt;"", E35&lt;&gt;"", F35&lt;&gt;"", G35&lt;&gt;"", J35&lt;&gt;"",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B35, "'.", CHAR(10),
"Konten ini memiliki pilar '", C35, "', nilai tambah utama '", F35, "', dan akan menggunakan storytelling framework '", G35, "'.", CHAR(10),
"Gambaran singkat ide kontennya adalah: '", J35, "'.", CHAR(10),
"Konten ini akan diunggah di platform '", E35, "' dengan format '", D35,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and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35" s="91" t="n"/>
      <c r="M35" s="91" t="n"/>
      <c r="N35" s="102" t="n"/>
      <c r="O35" s="102" t="n"/>
      <c r="P35" s="102" t="n"/>
      <c r="Q35" s="102" t="n"/>
      <c r="R35" s="102" t="n"/>
      <c r="S35" s="102" t="n"/>
      <c r="T35" s="102" t="n"/>
      <c r="U35" s="102" t="n"/>
      <c r="V35" s="102" t="n"/>
      <c r="W35" s="102" t="n"/>
      <c r="X35" s="102" t="n"/>
      <c r="Y35" s="102" t="n"/>
      <c r="Z35" s="102" t="n"/>
      <c r="AA35" s="102" t="n"/>
      <c r="AB35" s="102" t="n"/>
      <c r="AC35" s="102" t="n"/>
      <c r="AD35" s="102" t="n"/>
    </row>
    <row r="36" ht="15.75" customHeight="1" s="205">
      <c r="A36" s="102" t="n"/>
      <c r="B36" s="147" t="n"/>
      <c r="C36" s="144" t="n"/>
      <c r="D36" s="144" t="n"/>
      <c r="E36" s="144" t="n"/>
      <c r="F36" s="144" t="n"/>
      <c r="G36" s="144" t="n"/>
      <c r="H36" s="141">
        <f>IF(K36&lt;&gt;"", HYPERLINK("https://chatgpt.com/?prompt=" &amp; SUBSTITUTE(SUBSTITUTE(K36, " ", "+"), "&amp;", "dan") &amp; "&amp;force-refresh=true&amp;timestamp=" &amp; TEXT(NOW(), "yyyymmddhhmmss"), "👉 Klik untuk Generate Script! 🔥"), "")</f>
        <v/>
      </c>
      <c r="I36" s="144" t="n"/>
      <c r="J36" s="148" t="n"/>
      <c r="K36" s="140">
        <f>IF(AND(B36&lt;&gt;"", C36&lt;&gt;"", D36&lt;&gt;"", E36&lt;&gt;"", F36&lt;&gt;"", G36&lt;&gt;"", J36&lt;&gt;"",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B36, "'.", CHAR(10),
"Konten ini memiliki pilar '", C36, "', nilai tambah utama '", F36, "', dan akan menggunakan storytelling framework '", G36, "'.", CHAR(10),
"Gambaran singkat ide kontennya adalah: '", J36, "'.", CHAR(10),
"Konten ini akan diunggah di platform '", E36, "' dengan format '", D36,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36" s="199" t="n"/>
      <c r="M36" s="199" t="n"/>
      <c r="N36" s="102" t="n"/>
      <c r="O36" s="102" t="n"/>
      <c r="P36" s="102" t="n"/>
      <c r="Q36" s="102" t="n"/>
      <c r="R36" s="102" t="n"/>
      <c r="S36" s="102" t="n"/>
      <c r="T36" s="102" t="n"/>
      <c r="U36" s="102" t="n"/>
      <c r="V36" s="102" t="n"/>
      <c r="W36" s="102" t="n"/>
      <c r="X36" s="102" t="n"/>
      <c r="Y36" s="102" t="n"/>
      <c r="Z36" s="102" t="n"/>
      <c r="AA36" s="102" t="n"/>
      <c r="AB36" s="102" t="n"/>
      <c r="AC36" s="102" t="n"/>
      <c r="AD36" s="102" t="n"/>
    </row>
    <row r="37" ht="15.75" customHeight="1" s="205">
      <c r="A37" s="102" t="n"/>
      <c r="B37" s="142" t="n"/>
      <c r="C37" s="143" t="n"/>
      <c r="D37" s="143" t="n"/>
      <c r="E37" s="143" t="n"/>
      <c r="F37" s="143" t="n"/>
      <c r="G37" s="144" t="n"/>
      <c r="H37" s="145">
        <f>IF(K37&lt;&gt;"", HYPERLINK("https://chatgpt.com/?prompt=" &amp; SUBSTITUTE(SUBSTITUTE(K37, " ", "+"), "&amp;", "dan") &amp; "&amp;force-refresh=true&amp;timestamp=" &amp; TEXT(NOW(), "yyyymmddhhmmss"), "👉 Klik untuk Generate Script! 🔥"), "")</f>
        <v/>
      </c>
      <c r="I37" s="143" t="n"/>
      <c r="J37" s="146" t="n"/>
      <c r="K37" s="130">
        <f>IF(AND(B37&lt;&gt;"", C37&lt;&gt;"", D37&lt;&gt;"", E37&lt;&gt;"", F37&lt;&gt;"", G37&lt;&gt;"", J37&lt;&gt;"",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B37, "'.", CHAR(10),
"Konten ini memiliki pilar '", C37, "', nilai tambah utama '", F37, "', dan akan menggunakan storytelling framework '", G37, "'.", CHAR(10),
"Gambaran singkat ide kontennya adalah: '", J37, "'.", CHAR(10),
"Konten ini akan diunggah di platform '", E37, "' dengan format '", D37,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37" s="91" t="n"/>
      <c r="M37" s="91" t="n"/>
      <c r="N37" s="102" t="n"/>
      <c r="O37" s="102" t="n"/>
      <c r="P37" s="102" t="n"/>
      <c r="Q37" s="102" t="n"/>
      <c r="R37" s="102" t="n"/>
      <c r="S37" s="102" t="n"/>
      <c r="T37" s="102" t="n"/>
      <c r="U37" s="102" t="n"/>
      <c r="V37" s="102" t="n"/>
      <c r="W37" s="102" t="n"/>
      <c r="X37" s="102" t="n"/>
      <c r="Y37" s="102" t="n"/>
      <c r="Z37" s="102" t="n"/>
      <c r="AA37" s="102" t="n"/>
      <c r="AB37" s="102" t="n"/>
      <c r="AC37" s="102" t="n"/>
      <c r="AD37" s="102" t="n"/>
    </row>
    <row r="38" ht="15.75" customHeight="1" s="205">
      <c r="A38" s="102" t="n"/>
      <c r="B38" s="147" t="n"/>
      <c r="C38" s="144" t="n"/>
      <c r="D38" s="144" t="n"/>
      <c r="E38" s="144" t="n"/>
      <c r="F38" s="144" t="n"/>
      <c r="G38" s="144" t="n"/>
      <c r="H38" s="141">
        <f>IF(K38&lt;&gt;"", HYPERLINK("https://chatgpt.com/?prompt=" &amp; SUBSTITUTE(SUBSTITUTE(K38, " ", "+"), "&amp;", "dan") &amp; "&amp;force-refresh=true&amp;timestamp=" &amp; TEXT(NOW(), "yyyymmddhhmmss"), "👉 Klik untuk Generate Script! 🔥"), "")</f>
        <v/>
      </c>
      <c r="I38" s="144" t="n"/>
      <c r="J38" s="148" t="n"/>
      <c r="K38" s="140">
        <f>IF(AND(B38&lt;&gt;"", C38&lt;&gt;"", D38&lt;&gt;"", E38&lt;&gt;"", F38&lt;&gt;"", G38&lt;&gt;"", J38&lt;&gt;"",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B38, "'.", CHAR(10),
"Konten ini memiliki pilar '", C38, "', nilai tambah utama '", F38, "', dan akan menggunakan storytelling framework '", G38, "'.", CHAR(10),
"Gambaran singkat ide kontennya adalah: '", J38, "'.", CHAR(10),
"Konten ini akan diunggah di platform '", E38, "' dengan format '", D38,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38" s="199" t="n"/>
      <c r="M38" s="199" t="n"/>
      <c r="N38" s="102" t="n"/>
      <c r="O38" s="102" t="n"/>
      <c r="P38" s="102" t="n"/>
      <c r="Q38" s="102" t="n"/>
      <c r="R38" s="102" t="n"/>
      <c r="S38" s="102" t="n"/>
      <c r="T38" s="102" t="n"/>
      <c r="U38" s="102" t="n"/>
      <c r="V38" s="102" t="n"/>
      <c r="W38" s="102" t="n"/>
      <c r="X38" s="102" t="n"/>
      <c r="Y38" s="102" t="n"/>
      <c r="Z38" s="102" t="n"/>
      <c r="AA38" s="102" t="n"/>
      <c r="AB38" s="102" t="n"/>
      <c r="AC38" s="102" t="n"/>
      <c r="AD38" s="102" t="n"/>
    </row>
    <row r="39" ht="15.75" customHeight="1" s="205">
      <c r="A39" s="102" t="n"/>
      <c r="B39" s="142" t="n"/>
      <c r="C39" s="143" t="n"/>
      <c r="D39" s="143" t="n"/>
      <c r="E39" s="143" t="n"/>
      <c r="F39" s="143" t="n"/>
      <c r="G39" s="144" t="n"/>
      <c r="H39" s="145">
        <f>IF(K39&lt;&gt;"", HYPERLINK("https://chatgpt.com/?prompt=" &amp; SUBSTITUTE(SUBSTITUTE(K39, " ", "+"), "&amp;", "dan") &amp; "&amp;force-refresh=true&amp;timestamp=" &amp; TEXT(NOW(), "yyyymmddhhmmss"), "👉 Klik untuk Generate Script! 🔥"), "")</f>
        <v/>
      </c>
      <c r="I39" s="143" t="n"/>
      <c r="J39" s="146" t="n"/>
      <c r="K39" s="130">
        <f>IF(AND(B39&lt;&gt;"", C39&lt;&gt;"", D39&lt;&gt;"", E39&lt;&gt;"", F39&lt;&gt;"", G39&lt;&gt;"", J39&lt;&gt;"",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B39, "'.", CHAR(10),
"Konten ini memiliki pilar '", C39, "', nilai tambah utama '", F39, "', dan akan menggunakan storytelling framework '", G39, "'.", CHAR(10),
"Gambaran singkat ide kontennya adalah: '", J39, "'.", CHAR(10),
"Konten ini akan diunggah di platform '", E39, "' dengan format '", D39,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39" s="91" t="n"/>
      <c r="M39" s="91" t="n"/>
      <c r="N39" s="102" t="n"/>
      <c r="O39" s="102" t="n"/>
      <c r="P39" s="102" t="n"/>
      <c r="Q39" s="102" t="n"/>
      <c r="R39" s="102" t="n"/>
      <c r="S39" s="102" t="n"/>
      <c r="T39" s="102" t="n"/>
      <c r="U39" s="102" t="n"/>
      <c r="V39" s="102" t="n"/>
      <c r="W39" s="102" t="n"/>
      <c r="X39" s="102" t="n"/>
      <c r="Y39" s="102" t="n"/>
      <c r="Z39" s="102" t="n"/>
      <c r="AA39" s="102" t="n"/>
      <c r="AB39" s="102" t="n"/>
      <c r="AC39" s="102" t="n"/>
      <c r="AD39" s="102" t="n"/>
    </row>
    <row r="40" ht="15.75" customHeight="1" s="205">
      <c r="A40" s="102" t="n"/>
      <c r="B40" s="147" t="n"/>
      <c r="C40" s="144" t="n"/>
      <c r="D40" s="144" t="n"/>
      <c r="E40" s="144" t="n"/>
      <c r="F40" s="144" t="n"/>
      <c r="G40" s="144" t="n"/>
      <c r="H40" s="141">
        <f>IF(K40&lt;&gt;"", HYPERLINK("https://chatgpt.com/?prompt=" &amp; SUBSTITUTE(SUBSTITUTE(K40, " ", "+"), "&amp;", "dan") &amp; "&amp;force-refresh=true&amp;timestamp=" &amp; TEXT(NOW(), "yyyymmddhhmmss"), "👉 Klik untuk Generate Script! 🔥"), "")</f>
        <v/>
      </c>
      <c r="I40" s="144" t="n"/>
      <c r="J40" s="148" t="n"/>
      <c r="K40" s="140">
        <f>IF(AND(B40&lt;&gt;"", C40&lt;&gt;"", D40&lt;&gt;"", E40&lt;&gt;"", F40&lt;&gt;"", G40&lt;&gt;"", J40&lt;&gt;"",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B40, "'.", CHAR(10),
"Konten ini memiliki pilar '", C40, "', nilai tambah utama '", F40, "', dan akan menggunakan storytelling framework '", G40, "'.", CHAR(10),
"Gambaran singkat ide kontennya adalah: '", J40, "'.", CHAR(10),
"Konten ini akan diunggah di platform '", E40, "' dengan format '", D40,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0" s="199" t="n"/>
      <c r="M40" s="199" t="n"/>
      <c r="N40" s="102" t="n"/>
      <c r="O40" s="102" t="n"/>
      <c r="P40" s="102" t="n"/>
      <c r="Q40" s="102" t="n"/>
      <c r="R40" s="102" t="n"/>
      <c r="S40" s="102" t="n"/>
      <c r="T40" s="102" t="n"/>
      <c r="U40" s="102" t="n"/>
      <c r="V40" s="102" t="n"/>
      <c r="W40" s="102" t="n"/>
      <c r="X40" s="102" t="n"/>
      <c r="Y40" s="102" t="n"/>
      <c r="Z40" s="102" t="n"/>
      <c r="AA40" s="102" t="n"/>
      <c r="AB40" s="102" t="n"/>
      <c r="AC40" s="102" t="n"/>
      <c r="AD40" s="102" t="n"/>
    </row>
    <row r="41" ht="15.75" customHeight="1" s="205">
      <c r="A41" s="102" t="n"/>
      <c r="B41" s="142" t="n"/>
      <c r="C41" s="143" t="n"/>
      <c r="D41" s="143" t="n"/>
      <c r="E41" s="143" t="n"/>
      <c r="F41" s="143" t="n"/>
      <c r="G41" s="144" t="n"/>
      <c r="H41" s="145">
        <f>IF(K41&lt;&gt;"", HYPERLINK("https://chatgpt.com/?prompt=" &amp; SUBSTITUTE(SUBSTITUTE(K41, " ", "+"), "&amp;", "dan") &amp; "&amp;force-refresh=true&amp;timestamp=" &amp; TEXT(NOW(), "yyyymmddhhmmss"), "👉 Klik untuk Generate Script! 🔥"), "")</f>
        <v/>
      </c>
      <c r="I41" s="143" t="n"/>
      <c r="J41" s="146" t="n"/>
      <c r="K41" s="130">
        <f>IF(AND(B41&lt;&gt;"", C41&lt;&gt;"", D41&lt;&gt;"", E41&lt;&gt;"", F41&lt;&gt;"", G41&lt;&gt;"", J41&lt;&gt;"",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B41, "'.", CHAR(10),
"Konten ini memiliki pilar '", C41, "', nilai tambah utama '", F41, "', dan akan menggunakan storytelling framework '", G41, "'.", CHAR(10),
"Gambaran singkat ide kontennya adalah: '", J41, "'.", CHAR(10),
"Konten ini akan diunggah di platform '", E41, "' dengan format '", D41,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1" s="91" t="n"/>
      <c r="M41" s="91" t="n"/>
      <c r="N41" s="102" t="n"/>
      <c r="O41" s="102" t="n"/>
      <c r="P41" s="102" t="n"/>
      <c r="Q41" s="102" t="n"/>
      <c r="R41" s="102" t="n"/>
      <c r="S41" s="102" t="n"/>
      <c r="T41" s="102" t="n"/>
      <c r="U41" s="102" t="n"/>
      <c r="V41" s="102" t="n"/>
      <c r="W41" s="102" t="n"/>
      <c r="X41" s="102" t="n"/>
      <c r="Y41" s="102" t="n"/>
      <c r="Z41" s="102" t="n"/>
      <c r="AA41" s="102" t="n"/>
      <c r="AB41" s="102" t="n"/>
      <c r="AC41" s="102" t="n"/>
      <c r="AD41" s="102" t="n"/>
    </row>
    <row r="42" ht="15.75" customHeight="1" s="205">
      <c r="A42" s="102" t="n"/>
      <c r="B42" s="147" t="n"/>
      <c r="C42" s="144" t="n"/>
      <c r="D42" s="144" t="n"/>
      <c r="E42" s="144" t="n"/>
      <c r="F42" s="144" t="n"/>
      <c r="G42" s="144" t="n"/>
      <c r="H42" s="141">
        <f>IF(K42&lt;&gt;"", HYPERLINK("https://chatgpt.com/?prompt=" &amp; SUBSTITUTE(SUBSTITUTE(K42, " ", "+"), "&amp;", "dan") &amp; "&amp;force-refresh=true&amp;timestamp=" &amp; TEXT(NOW(), "yyyymmddhhmmss"), "👉 Klik untuk Generate Script! 🔥"), "")</f>
        <v/>
      </c>
      <c r="I42" s="144" t="n"/>
      <c r="J42" s="148" t="n"/>
      <c r="K42" s="140">
        <f>IF(AND(B42&lt;&gt;"", C42&lt;&gt;"", D42&lt;&gt;"", E42&lt;&gt;"", F42&lt;&gt;"", G42&lt;&gt;"", J42&lt;&gt;"",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B42, "'.", CHAR(10),
"Konten ini memiliki pilar '", C42, "', nilai tambah utama '", F42, "', dan akan menggunakan storytelling framework '", G42, "'.", CHAR(10),
"Gambaran singkat ide kontennya adalah: '", J42, "'.", CHAR(10),
"Konten ini akan diunggah di platform '", E42, "' dengan format '", D42,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2" s="199" t="n"/>
      <c r="M42" s="199" t="n"/>
      <c r="N42" s="102" t="n"/>
      <c r="O42" s="102" t="n"/>
      <c r="P42" s="102" t="n"/>
      <c r="Q42" s="102" t="n"/>
      <c r="R42" s="102" t="n"/>
      <c r="S42" s="102" t="n"/>
      <c r="T42" s="102" t="n"/>
      <c r="U42" s="102" t="n"/>
      <c r="V42" s="102" t="n"/>
      <c r="W42" s="102" t="n"/>
      <c r="X42" s="102" t="n"/>
      <c r="Y42" s="102" t="n"/>
      <c r="Z42" s="102" t="n"/>
      <c r="AA42" s="102" t="n"/>
      <c r="AB42" s="102" t="n"/>
      <c r="AC42" s="102" t="n"/>
      <c r="AD42" s="102" t="n"/>
    </row>
    <row r="43" ht="15.75" customHeight="1" s="205">
      <c r="A43" s="102" t="n"/>
      <c r="B43" s="142" t="n"/>
      <c r="C43" s="143" t="n"/>
      <c r="D43" s="143" t="n"/>
      <c r="E43" s="143" t="n"/>
      <c r="F43" s="143" t="n"/>
      <c r="G43" s="144" t="n"/>
      <c r="H43" s="145">
        <f>IF(K43&lt;&gt;"", HYPERLINK("https://chatgpt.com/?prompt=" &amp; SUBSTITUTE(SUBSTITUTE(K43, " ", "+"), "&amp;", "dan") &amp; "&amp;force-refresh=true&amp;timestamp=" &amp; TEXT(NOW(), "yyyymmddhhmmss"), "👉 Klik untuk Generate Script! 🔥"), "")</f>
        <v/>
      </c>
      <c r="I43" s="143" t="n"/>
      <c r="J43" s="146" t="n"/>
      <c r="K43" s="130">
        <f>IF(AND(B43&lt;&gt;"", C43&lt;&gt;"", D43&lt;&gt;"", E43&lt;&gt;"", F43&lt;&gt;"", G43&lt;&gt;"", J43&lt;&gt;"",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B43, "'.", CHAR(10),
"Konten ini memiliki pilar '", C43, "', nilai tambah utama '", F43, "', dan akan menggunakan storytelling framework '", G43, "'.", CHAR(10),
"Gambaran singkat ide kontennya adalah: '", J43, "'.", CHAR(10),
"Konten ini akan diunggah di platform '", E43, "' dengan format '", D43,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3" s="91" t="n"/>
      <c r="M43" s="91" t="n"/>
      <c r="N43" s="102" t="n"/>
      <c r="O43" s="102" t="n"/>
      <c r="P43" s="102" t="n"/>
      <c r="Q43" s="102" t="n"/>
      <c r="R43" s="102" t="n"/>
      <c r="S43" s="102" t="n"/>
      <c r="T43" s="102" t="n"/>
      <c r="U43" s="102" t="n"/>
      <c r="V43" s="102" t="n"/>
      <c r="W43" s="102" t="n"/>
      <c r="X43" s="102" t="n"/>
      <c r="Y43" s="102" t="n"/>
      <c r="Z43" s="102" t="n"/>
      <c r="AA43" s="102" t="n"/>
      <c r="AB43" s="102" t="n"/>
      <c r="AC43" s="102" t="n"/>
      <c r="AD43" s="102" t="n"/>
    </row>
    <row r="44" ht="15.75" customHeight="1" s="205">
      <c r="A44" s="102" t="n"/>
      <c r="B44" s="147" t="n"/>
      <c r="C44" s="144" t="n"/>
      <c r="D44" s="144" t="n"/>
      <c r="E44" s="144" t="n"/>
      <c r="F44" s="144" t="n"/>
      <c r="G44" s="144" t="n"/>
      <c r="H44" s="141">
        <f>IF(K44&lt;&gt;"", HYPERLINK("https://chatgpt.com/?prompt=" &amp; SUBSTITUTE(SUBSTITUTE(K44, " ", "+"), "&amp;", "dan") &amp; "&amp;force-refresh=true&amp;timestamp=" &amp; TEXT(NOW(), "yyyymmddhhmmss"), "👉 Klik untuk Generate Script! 🔥"), "")</f>
        <v/>
      </c>
      <c r="I44" s="144" t="n"/>
      <c r="J44" s="148" t="n"/>
      <c r="K44" s="140">
        <f>IF(AND(B44&lt;&gt;"", C44&lt;&gt;"", D44&lt;&gt;"", E44&lt;&gt;"", F44&lt;&gt;"", G44&lt;&gt;"", J44&lt;&gt;"",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B44, "'.", CHAR(10),
"Konten ini memiliki pilar '", C44, "', nilai tambah utama '", F44, "', dan akan menggunakan storytelling framework '", G44, "'.", CHAR(10),
"Gambaran singkat ide kontennya adalah: '", J44, "'.", CHAR(10),
"Konten ini akan diunggah di platform '", E44, "' dengan format '", D44,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4" s="199" t="n"/>
      <c r="M44" s="199" t="n"/>
      <c r="N44" s="102" t="n"/>
      <c r="O44" s="102" t="n"/>
      <c r="P44" s="102" t="n"/>
      <c r="Q44" s="102" t="n"/>
      <c r="R44" s="102" t="n"/>
      <c r="S44" s="102" t="n"/>
      <c r="T44" s="102" t="n"/>
      <c r="U44" s="102" t="n"/>
      <c r="V44" s="102" t="n"/>
      <c r="W44" s="102" t="n"/>
      <c r="X44" s="102" t="n"/>
      <c r="Y44" s="102" t="n"/>
      <c r="Z44" s="102" t="n"/>
      <c r="AA44" s="102" t="n"/>
      <c r="AB44" s="102" t="n"/>
      <c r="AC44" s="102" t="n"/>
      <c r="AD44" s="102" t="n"/>
    </row>
    <row r="45" ht="15.75" customHeight="1" s="205">
      <c r="A45" s="102" t="n"/>
      <c r="B45" s="142" t="n"/>
      <c r="C45" s="143" t="n"/>
      <c r="D45" s="143" t="n"/>
      <c r="E45" s="143" t="n"/>
      <c r="F45" s="143" t="n"/>
      <c r="G45" s="144" t="n"/>
      <c r="H45" s="145">
        <f>IF(K45&lt;&gt;"", HYPERLINK("https://chatgpt.com/?prompt=" &amp; SUBSTITUTE(SUBSTITUTE(K45, " ", "+"), "&amp;", "dan") &amp; "&amp;force-refresh=true&amp;timestamp=" &amp; TEXT(NOW(), "yyyymmddhhmmss"), "👉 Klik untuk Generate Script! 🔥"), "")</f>
        <v/>
      </c>
      <c r="I45" s="143" t="n"/>
      <c r="J45" s="146" t="n"/>
      <c r="K45" s="130">
        <f>IF(AND(B45&lt;&gt;"", C45&lt;&gt;"", D45&lt;&gt;"", E45&lt;&gt;"", F45&lt;&gt;"", G45&lt;&gt;"", J45&lt;&gt;"",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B45, "'.", CHAR(10),
"Konten ini memiliki pilar '", C45, "', nilai tambah utama '", F45, "', dan akan menggunakan storytelling framework '", G45, "'.", CHAR(10),
"Gambaran singkat ide kontennya adalah: '", J45, "'.", CHAR(10),
"Konten ini akan diunggah di platform '", E45, "' dengan format '", D45,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5" s="91" t="n"/>
      <c r="M45" s="91" t="n"/>
      <c r="N45" s="102" t="n"/>
      <c r="O45" s="102" t="n"/>
      <c r="P45" s="102" t="n"/>
      <c r="Q45" s="102" t="n"/>
      <c r="R45" s="102" t="n"/>
      <c r="S45" s="102" t="n"/>
      <c r="T45" s="102" t="n"/>
      <c r="U45" s="102" t="n"/>
      <c r="V45" s="102" t="n"/>
      <c r="W45" s="102" t="n"/>
      <c r="X45" s="102" t="n"/>
      <c r="Y45" s="102" t="n"/>
      <c r="Z45" s="102" t="n"/>
      <c r="AA45" s="102" t="n"/>
      <c r="AB45" s="102" t="n"/>
      <c r="AC45" s="102" t="n"/>
      <c r="AD45" s="102" t="n"/>
    </row>
    <row r="46" ht="15.75" customHeight="1" s="205">
      <c r="A46" s="102" t="n"/>
      <c r="B46" s="147" t="n"/>
      <c r="C46" s="144" t="n"/>
      <c r="D46" s="144" t="n"/>
      <c r="E46" s="144" t="n"/>
      <c r="F46" s="144" t="n"/>
      <c r="G46" s="144" t="n"/>
      <c r="H46" s="141">
        <f>IF(K46&lt;&gt;"", HYPERLINK("https://chatgpt.com/?prompt=" &amp; SUBSTITUTE(SUBSTITUTE(K46, " ", "+"), "&amp;", "dan") &amp; "&amp;force-refresh=true&amp;timestamp=" &amp; TEXT(NOW(), "yyyymmddhhmmss"), "👉 Klik untuk Generate Script! 🔥"), "")</f>
        <v/>
      </c>
      <c r="I46" s="144" t="n"/>
      <c r="J46" s="148" t="n"/>
      <c r="K46" s="140">
        <f>IF(AND(B46&lt;&gt;"", C46&lt;&gt;"", D46&lt;&gt;"", E46&lt;&gt;"", F46&lt;&gt;"", G46&lt;&gt;"", J46&lt;&gt;"",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B46, "'.", CHAR(10),
"Konten ini memiliki pilar '", C46, "', nilai tambah utama '", F46, "', dan akan menggunakan storytelling framework '", G46, "'.", CHAR(10),
"Gambaran singkat ide kontennya adalah: '", J46, "'.", CHAR(10),
"Konten ini akan diunggah di platform '", E46, "' dengan format '", D46,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6" s="199" t="n"/>
      <c r="M46" s="199" t="n"/>
      <c r="N46" s="102" t="n"/>
      <c r="O46" s="102" t="n"/>
      <c r="P46" s="102" t="n"/>
      <c r="Q46" s="102" t="n"/>
      <c r="R46" s="102" t="n"/>
      <c r="S46" s="102" t="n"/>
      <c r="T46" s="102" t="n"/>
      <c r="U46" s="102" t="n"/>
      <c r="V46" s="102" t="n"/>
      <c r="W46" s="102" t="n"/>
      <c r="X46" s="102" t="n"/>
      <c r="Y46" s="102" t="n"/>
      <c r="Z46" s="102" t="n"/>
      <c r="AA46" s="102" t="n"/>
      <c r="AB46" s="102" t="n"/>
      <c r="AC46" s="102" t="n"/>
      <c r="AD46" s="102" t="n"/>
    </row>
    <row r="47" ht="15.75" customHeight="1" s="205">
      <c r="A47" s="102" t="n"/>
      <c r="B47" s="142" t="n"/>
      <c r="C47" s="143" t="n"/>
      <c r="D47" s="143" t="n"/>
      <c r="E47" s="143" t="n"/>
      <c r="F47" s="143" t="n"/>
      <c r="G47" s="144" t="n"/>
      <c r="H47" s="145">
        <f>IF(K47&lt;&gt;"", HYPERLINK("https://chatgpt.com/?prompt=" &amp; SUBSTITUTE(SUBSTITUTE(K47, " ", "+"), "&amp;", "dan") &amp; "&amp;force-refresh=true&amp;timestamp=" &amp; TEXT(NOW(), "yyyymmddhhmmss"), "👉 Klik untuk Generate Script! 🔥"), "")</f>
        <v/>
      </c>
      <c r="I47" s="143" t="n"/>
      <c r="J47" s="146" t="n"/>
      <c r="K47" s="130">
        <f>IF(AND(B47&lt;&gt;"", C47&lt;&gt;"", D47&lt;&gt;"", E47&lt;&gt;"", F47&lt;&gt;"", G47&lt;&gt;"", J47&lt;&gt;"",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B47, "'.", CHAR(10),
"Konten ini memiliki pilar '", C47, "', nilai tambah utama '", F47, "', dan akan menggunakan storytelling framework '", G47, "'.", CHAR(10),
"Gambaran singkat ide kontennya adalah: '", J47, "'.", CHAR(10),
"Konten ini akan diunggah di platform '", E47, "' dengan format '", D47,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7" s="91" t="n"/>
      <c r="M47" s="91" t="n"/>
      <c r="N47" s="102" t="n"/>
      <c r="O47" s="102" t="n"/>
      <c r="P47" s="102" t="n"/>
      <c r="Q47" s="102" t="n"/>
      <c r="R47" s="102" t="n"/>
      <c r="S47" s="102" t="n"/>
      <c r="T47" s="102" t="n"/>
      <c r="U47" s="102" t="n"/>
      <c r="V47" s="102" t="n"/>
      <c r="W47" s="102" t="n"/>
      <c r="X47" s="102" t="n"/>
      <c r="Y47" s="102" t="n"/>
      <c r="Z47" s="102" t="n"/>
      <c r="AA47" s="102" t="n"/>
      <c r="AB47" s="102" t="n"/>
      <c r="AC47" s="102" t="n"/>
      <c r="AD47" s="102" t="n"/>
    </row>
    <row r="48" ht="15.75" customHeight="1" s="205">
      <c r="A48" s="102" t="n"/>
      <c r="B48" s="147" t="n"/>
      <c r="C48" s="144" t="n"/>
      <c r="D48" s="144" t="n"/>
      <c r="E48" s="144" t="n"/>
      <c r="F48" s="144" t="n"/>
      <c r="G48" s="144" t="n"/>
      <c r="H48" s="141">
        <f>IF(K48&lt;&gt;"", HYPERLINK("https://chatgpt.com/?prompt=" &amp; SUBSTITUTE(SUBSTITUTE(K48, " ", "+"), "&amp;", "dan") &amp; "&amp;force-refresh=true&amp;timestamp=" &amp; TEXT(NOW(), "yyyymmddhhmmss"), "👉 Klik untuk Generate Script! 🔥"), "")</f>
        <v/>
      </c>
      <c r="I48" s="144" t="n"/>
      <c r="J48" s="148" t="n"/>
      <c r="K48" s="140">
        <f>IF(AND(B48&lt;&gt;"", C48&lt;&gt;"", D48&lt;&gt;"", E48&lt;&gt;"", F48&lt;&gt;"", G48&lt;&gt;"", J48&lt;&gt;"",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B48, "'.", CHAR(10),
"Konten ini memiliki pilar '", C48, "', nilai tambah utama '", F48, "', dan akan menggunakan storytelling framework '", G48, "'.", CHAR(10),
"Gambaran singkat ide kontennya adalah: '", J48, "'.", CHAR(10),
"Konten ini akan diunggah di platform '", E48, "' dengan format '", D48,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8" s="199" t="n"/>
      <c r="M48" s="199" t="n"/>
      <c r="N48" s="102" t="n"/>
      <c r="O48" s="102" t="n"/>
      <c r="P48" s="102" t="n"/>
      <c r="Q48" s="102" t="n"/>
      <c r="R48" s="102" t="n"/>
      <c r="S48" s="102" t="n"/>
      <c r="T48" s="102" t="n"/>
      <c r="U48" s="102" t="n"/>
      <c r="V48" s="102" t="n"/>
      <c r="W48" s="102" t="n"/>
      <c r="X48" s="102" t="n"/>
      <c r="Y48" s="102" t="n"/>
      <c r="Z48" s="102" t="n"/>
      <c r="AA48" s="102" t="n"/>
      <c r="AB48" s="102" t="n"/>
      <c r="AC48" s="102" t="n"/>
      <c r="AD48" s="102" t="n"/>
    </row>
    <row r="49" ht="15.75" customHeight="1" s="205">
      <c r="A49" s="102" t="n"/>
      <c r="B49" s="142" t="n"/>
      <c r="C49" s="143" t="n"/>
      <c r="D49" s="143" t="n"/>
      <c r="E49" s="143" t="n"/>
      <c r="F49" s="143" t="n"/>
      <c r="G49" s="144" t="n"/>
      <c r="H49" s="145">
        <f>IF(K49&lt;&gt;"", HYPERLINK("https://chatgpt.com/?prompt=" &amp; SUBSTITUTE(SUBSTITUTE(K49, " ", "+"), "&amp;", "dan") &amp; "&amp;force-refresh=true&amp;timestamp=" &amp; TEXT(NOW(), "yyyymmddhhmmss"), "👉 Klik untuk Generate Script! 🔥"), "")</f>
        <v/>
      </c>
      <c r="I49" s="143" t="n"/>
      <c r="J49" s="146" t="n"/>
      <c r="K49" s="130">
        <f>IF(AND(B49&lt;&gt;"", C49&lt;&gt;"", D49&lt;&gt;"", E49&lt;&gt;"", F49&lt;&gt;"", G49&lt;&gt;"", J49&lt;&gt;"",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B49, "'.", CHAR(10),
"Konten ini memiliki pilar '", C49, "', nilai tambah utama '", F49, "', dan akan menggunakan storytelling framework '", G49, "'.", CHAR(10),
"Gambaran singkat ide kontennya adalah: '", J49, "'.", CHAR(10),
"Konten ini akan diunggah di platform '", E49, "' dengan format '", D49,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49" s="91" t="n"/>
      <c r="M49" s="91" t="n"/>
      <c r="N49" s="102" t="n"/>
      <c r="O49" s="102" t="n"/>
      <c r="P49" s="102" t="n"/>
      <c r="Q49" s="102" t="n"/>
      <c r="R49" s="102" t="n"/>
      <c r="S49" s="102" t="n"/>
      <c r="T49" s="102" t="n"/>
      <c r="U49" s="102" t="n"/>
      <c r="V49" s="102" t="n"/>
      <c r="W49" s="102" t="n"/>
      <c r="X49" s="102" t="n"/>
      <c r="Y49" s="102" t="n"/>
      <c r="Z49" s="102" t="n"/>
      <c r="AA49" s="102" t="n"/>
      <c r="AB49" s="102" t="n"/>
      <c r="AC49" s="102" t="n"/>
      <c r="AD49" s="102" t="n"/>
    </row>
    <row r="50" ht="15.75" customHeight="1" s="205">
      <c r="A50" s="102" t="n"/>
      <c r="B50" s="147" t="n"/>
      <c r="C50" s="144" t="n"/>
      <c r="D50" s="144" t="n"/>
      <c r="E50" s="144" t="n"/>
      <c r="F50" s="144" t="n"/>
      <c r="G50" s="144" t="n"/>
      <c r="H50" s="141">
        <f>IF(K50&lt;&gt;"", HYPERLINK("https://chatgpt.com/?prompt=" &amp; SUBSTITUTE(SUBSTITUTE(K50, " ", "+"), "&amp;", "dan") &amp; "&amp;force-refresh=true&amp;timestamp=" &amp; TEXT(NOW(), "yyyymmddhhmmss"), "👉 Klik untuk Generate Script! 🔥"), "")</f>
        <v/>
      </c>
      <c r="I50" s="144" t="n"/>
      <c r="J50" s="148" t="n"/>
      <c r="K50" s="140">
        <f>IF(AND(B50&lt;&gt;"", C50&lt;&gt;"", D50&lt;&gt;"", E50&lt;&gt;"", F50&lt;&gt;"", G50&lt;&gt;"", J50&lt;&gt;"",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B50, "'.", CHAR(10),
"Konten ini memiliki pilar '", C50, "', nilai tambah utama '", F50, "', dan akan menggunakan storytelling framework '", G50, "'.", CHAR(10),
"Gambaran singkat ide kontennya adalah: '", J50, "'.", CHAR(10),
"Konten ini akan diunggah di platform '", E50, "' dengan format '", D50,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0" s="199" t="n"/>
      <c r="M50" s="199" t="n"/>
      <c r="N50" s="102" t="n"/>
      <c r="O50" s="102" t="n"/>
      <c r="P50" s="102" t="n"/>
      <c r="Q50" s="102" t="n"/>
      <c r="R50" s="102" t="n"/>
      <c r="S50" s="102" t="n"/>
      <c r="T50" s="102" t="n"/>
      <c r="U50" s="102" t="n"/>
      <c r="V50" s="102" t="n"/>
      <c r="W50" s="102" t="n"/>
      <c r="X50" s="102" t="n"/>
      <c r="Y50" s="102" t="n"/>
      <c r="Z50" s="102" t="n"/>
      <c r="AA50" s="102" t="n"/>
      <c r="AB50" s="102" t="n"/>
      <c r="AC50" s="102" t="n"/>
      <c r="AD50" s="102" t="n"/>
    </row>
    <row r="51" ht="15.75" customHeight="1" s="205">
      <c r="A51" s="102" t="n"/>
      <c r="B51" s="142" t="n"/>
      <c r="C51" s="143" t="n"/>
      <c r="D51" s="143" t="n"/>
      <c r="E51" s="143" t="n"/>
      <c r="F51" s="143" t="n"/>
      <c r="G51" s="144" t="n"/>
      <c r="H51" s="145">
        <f>IF(K51&lt;&gt;"", HYPERLINK("https://chatgpt.com/?prompt=" &amp; SUBSTITUTE(SUBSTITUTE(K51, " ", "+"), "&amp;", "dan") &amp; "&amp;force-refresh=true&amp;timestamp=" &amp; TEXT(NOW(), "yyyymmddhhmmss"), "👉 Klik untuk Generate Script! 🔥"), "")</f>
        <v/>
      </c>
      <c r="I51" s="143" t="n"/>
      <c r="J51" s="146" t="n"/>
      <c r="K51" s="130">
        <f>IF(AND(B51&lt;&gt;"", C51&lt;&gt;"", D51&lt;&gt;"", E51&lt;&gt;"", F51&lt;&gt;"", G51&lt;&gt;"", J51&lt;&gt;"",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B51, "'.", CHAR(10),
"Konten ini memiliki pilar '", C51, "', nilai tambah utama '", F51, "', dan akan menggunakan storytelling framework '", G51, "'.", CHAR(10),
"Gambaran singkat ide kontennya adalah: '", J51, "'.", CHAR(10),
"Konten ini akan diunggah di platform '", E51, "' dengan format '", D51,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1" s="91" t="n"/>
      <c r="M51" s="91" t="n"/>
      <c r="N51" s="102" t="n"/>
      <c r="O51" s="102" t="n"/>
      <c r="P51" s="102" t="n"/>
      <c r="Q51" s="102" t="n"/>
      <c r="R51" s="102" t="n"/>
      <c r="S51" s="102" t="n"/>
      <c r="T51" s="102" t="n"/>
      <c r="U51" s="102" t="n"/>
      <c r="V51" s="102" t="n"/>
      <c r="W51" s="102" t="n"/>
      <c r="X51" s="102" t="n"/>
      <c r="Y51" s="102" t="n"/>
      <c r="Z51" s="102" t="n"/>
      <c r="AA51" s="102" t="n"/>
      <c r="AB51" s="102" t="n"/>
      <c r="AC51" s="102" t="n"/>
      <c r="AD51" s="102" t="n"/>
    </row>
    <row r="52" ht="15.75" customHeight="1" s="205">
      <c r="A52" s="102" t="n"/>
      <c r="B52" s="147" t="n"/>
      <c r="C52" s="144" t="n"/>
      <c r="D52" s="144" t="n"/>
      <c r="E52" s="144" t="n"/>
      <c r="F52" s="144" t="n"/>
      <c r="G52" s="144" t="n"/>
      <c r="H52" s="141">
        <f>IF(K52&lt;&gt;"", HYPERLINK("https://chatgpt.com/?prompt=" &amp; SUBSTITUTE(SUBSTITUTE(K52, " ", "+"), "&amp;", "dan") &amp; "&amp;force-refresh=true&amp;timestamp=" &amp; TEXT(NOW(), "yyyymmddhhmmss"), "👉 Klik untuk Generate Script! 🔥"), "")</f>
        <v/>
      </c>
      <c r="I52" s="144" t="n"/>
      <c r="J52" s="148" t="n"/>
      <c r="K52" s="140">
        <f>IF(AND(B52&lt;&gt;"", C52&lt;&gt;"", D52&lt;&gt;"", E52&lt;&gt;"", F52&lt;&gt;"", G52&lt;&gt;"", J52&lt;&gt;"",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B52, "'.", CHAR(10),
"Konten ini memiliki pilar '", C52, "', nilai tambah utama '", F52, "', dan akan menggunakan storytelling framework '", G52, "'.", CHAR(10),
"Gambaran singkat ide kontennya adalah: '", J52, "'.", CHAR(10),
"Konten ini akan diunggah di platform '", E52, "' dengan format '", D52,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2" s="199" t="n"/>
      <c r="M52" s="199" t="n"/>
      <c r="N52" s="102" t="n"/>
      <c r="O52" s="102" t="n"/>
      <c r="P52" s="102" t="n"/>
      <c r="Q52" s="102" t="n"/>
      <c r="R52" s="102" t="n"/>
      <c r="S52" s="102" t="n"/>
      <c r="T52" s="102" t="n"/>
      <c r="U52" s="102" t="n"/>
      <c r="V52" s="102" t="n"/>
      <c r="W52" s="102" t="n"/>
      <c r="X52" s="102" t="n"/>
      <c r="Y52" s="102" t="n"/>
      <c r="Z52" s="102" t="n"/>
      <c r="AA52" s="102" t="n"/>
      <c r="AB52" s="102" t="n"/>
      <c r="AC52" s="102" t="n"/>
      <c r="AD52" s="102" t="n"/>
    </row>
    <row r="53" ht="15.75" customHeight="1" s="205">
      <c r="A53" s="102" t="n"/>
      <c r="B53" s="142" t="n"/>
      <c r="C53" s="143" t="n"/>
      <c r="D53" s="143" t="n"/>
      <c r="E53" s="143" t="n"/>
      <c r="F53" s="143" t="n"/>
      <c r="G53" s="144" t="n"/>
      <c r="H53" s="145">
        <f>IF(K53&lt;&gt;"", HYPERLINK("https://chatgpt.com/?prompt=" &amp; SUBSTITUTE(SUBSTITUTE(K53, " ", "+"), "&amp;", "dan") &amp; "&amp;force-refresh=true&amp;timestamp=" &amp; TEXT(NOW(), "yyyymmddhhmmss"), "👉 Klik untuk Generate Script! 🔥"), "")</f>
        <v/>
      </c>
      <c r="I53" s="143" t="n"/>
      <c r="J53" s="146" t="n"/>
      <c r="K53" s="130">
        <f>IF(AND(B53&lt;&gt;"", C53&lt;&gt;"", D53&lt;&gt;"", E53&lt;&gt;"", F53&lt;&gt;"", G53&lt;&gt;"", J53&lt;&gt;"",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B53, "'.", CHAR(10),
"Konten ini memiliki pilar '", C53, "', nilai tambah utama '", F53, "', dan akan menggunakan storytelling framework '", G53, "'.", CHAR(10),
"Gambaran singkat ide kontennya adalah: '", J53, "'.", CHAR(10),
"Konten ini akan diunggah di platform '", E53, "' dengan format '", D53,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3" s="91" t="n"/>
      <c r="M53" s="91" t="n"/>
      <c r="N53" s="102" t="n"/>
      <c r="O53" s="102" t="n"/>
      <c r="P53" s="102" t="n"/>
      <c r="Q53" s="102" t="n"/>
      <c r="R53" s="102" t="n"/>
      <c r="S53" s="102" t="n"/>
      <c r="T53" s="102" t="n"/>
      <c r="U53" s="102" t="n"/>
      <c r="V53" s="102" t="n"/>
      <c r="W53" s="102" t="n"/>
      <c r="X53" s="102" t="n"/>
      <c r="Y53" s="102" t="n"/>
      <c r="Z53" s="102" t="n"/>
      <c r="AA53" s="102" t="n"/>
      <c r="AB53" s="102" t="n"/>
      <c r="AC53" s="102" t="n"/>
      <c r="AD53" s="102" t="n"/>
    </row>
    <row r="54" ht="15.75" customHeight="1" s="205">
      <c r="A54" s="102" t="n"/>
      <c r="B54" s="147" t="n"/>
      <c r="C54" s="144" t="n"/>
      <c r="D54" s="144" t="n"/>
      <c r="E54" s="144" t="n"/>
      <c r="F54" s="144" t="n"/>
      <c r="G54" s="144" t="n"/>
      <c r="H54" s="141">
        <f>IF(K54&lt;&gt;"", HYPERLINK("https://chatgpt.com/?prompt=" &amp; SUBSTITUTE(SUBSTITUTE(K54, " ", "+"), "&amp;", "dan") &amp; "&amp;force-refresh=true&amp;timestamp=" &amp; TEXT(NOW(), "yyyymmddhhmmss"), "👉 Klik untuk Generate Script! 🔥"), "")</f>
        <v/>
      </c>
      <c r="I54" s="144" t="n"/>
      <c r="J54" s="148" t="n"/>
      <c r="K54" s="140">
        <f>IF(AND(B54&lt;&gt;"", C54&lt;&gt;"", D54&lt;&gt;"", E54&lt;&gt;"", F54&lt;&gt;"", G54&lt;&gt;"", J54&lt;&gt;"",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B54, "'.", CHAR(10),
"Konten ini memiliki pilar '", C54, "', nilai tambah utama '", F54, "', dan akan menggunakan storytelling framework '", G54, "'.", CHAR(10),
"Gambaran singkat ide kontennya adalah: '", J54, "'.", CHAR(10),
"Konten ini akan diunggah di platform '", E54, "' dengan format '", D54,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4" s="199" t="n"/>
      <c r="M54" s="199" t="n"/>
      <c r="N54" s="102" t="n"/>
      <c r="O54" s="102" t="n"/>
      <c r="P54" s="102" t="n"/>
      <c r="Q54" s="102" t="n"/>
      <c r="R54" s="102" t="n"/>
      <c r="S54" s="102" t="n"/>
      <c r="T54" s="102" t="n"/>
      <c r="U54" s="102" t="n"/>
      <c r="V54" s="102" t="n"/>
      <c r="W54" s="102" t="n"/>
      <c r="X54" s="102" t="n"/>
      <c r="Y54" s="102" t="n"/>
      <c r="Z54" s="102" t="n"/>
      <c r="AA54" s="102" t="n"/>
      <c r="AB54" s="102" t="n"/>
      <c r="AC54" s="102" t="n"/>
      <c r="AD54" s="102" t="n"/>
    </row>
    <row r="55" ht="15.75" customHeight="1" s="205">
      <c r="A55" s="102" t="n"/>
      <c r="B55" s="142" t="n"/>
      <c r="C55" s="143" t="n"/>
      <c r="D55" s="143" t="n"/>
      <c r="E55" s="143" t="n"/>
      <c r="F55" s="143" t="n"/>
      <c r="G55" s="144" t="n"/>
      <c r="H55" s="145">
        <f>IF(K55&lt;&gt;"", HYPERLINK("https://chatgpt.com/?prompt=" &amp; SUBSTITUTE(SUBSTITUTE(K55, " ", "+"), "&amp;", "dan") &amp; "&amp;force-refresh=true&amp;timestamp=" &amp; TEXT(NOW(), "yyyymmddhhmmss"), "👉 Klik untuk Generate Script! 🔥"), "")</f>
        <v/>
      </c>
      <c r="I55" s="143" t="n"/>
      <c r="J55" s="146" t="n"/>
      <c r="K55" s="130">
        <f>IF(AND(B55&lt;&gt;"", C55&lt;&gt;"", D55&lt;&gt;"", E55&lt;&gt;"", F55&lt;&gt;"", G55&lt;&gt;"", J55&lt;&gt;"",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B55, "'.", CHAR(10),
"Konten ini memiliki pilar '", C55, "', nilai tambah utama '", F55, "', dan akan menggunakan storytelling framework '", G55, "'.", CHAR(10),
"Gambaran singkat ide kontennya adalah: '", J55, "'.", CHAR(10),
"Konten ini akan diunggah di platform '", E55, "' dengan format '", D55,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5" s="91" t="n"/>
      <c r="M55" s="91" t="n"/>
      <c r="N55" s="102" t="n"/>
      <c r="O55" s="102" t="n"/>
      <c r="P55" s="102" t="n"/>
      <c r="Q55" s="102" t="n"/>
      <c r="R55" s="102" t="n"/>
      <c r="S55" s="102" t="n"/>
      <c r="T55" s="102" t="n"/>
      <c r="U55" s="102" t="n"/>
      <c r="V55" s="102" t="n"/>
      <c r="W55" s="102" t="n"/>
      <c r="X55" s="102" t="n"/>
      <c r="Y55" s="102" t="n"/>
      <c r="Z55" s="102" t="n"/>
      <c r="AA55" s="102" t="n"/>
      <c r="AB55" s="102" t="n"/>
      <c r="AC55" s="102" t="n"/>
      <c r="AD55" s="102" t="n"/>
    </row>
    <row r="56" ht="15.75" customHeight="1" s="205">
      <c r="A56" s="102" t="n"/>
      <c r="B56" s="147" t="n"/>
      <c r="C56" s="144" t="n"/>
      <c r="D56" s="144" t="n"/>
      <c r="E56" s="144" t="n"/>
      <c r="F56" s="144" t="n"/>
      <c r="G56" s="144" t="n"/>
      <c r="H56" s="141">
        <f>IF(K56&lt;&gt;"", HYPERLINK("https://chatgpt.com/?prompt=" &amp; SUBSTITUTE(SUBSTITUTE(K56, " ", "+"), "&amp;", "dan") &amp; "&amp;force-refresh=true&amp;timestamp=" &amp; TEXT(NOW(), "yyyymmddhhmmss"), "👉 Klik untuk Generate Script! 🔥"), "")</f>
        <v/>
      </c>
      <c r="I56" s="144" t="n"/>
      <c r="J56" s="148" t="n"/>
      <c r="K56" s="140">
        <f>IF(AND(B56&lt;&gt;"", C56&lt;&gt;"", D56&lt;&gt;"", E56&lt;&gt;"", F56&lt;&gt;"", G56&lt;&gt;"", J56&lt;&gt;"",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B56, "'.", CHAR(10),
"Konten ini memiliki pilar '", C56, "', nilai tambah utama '", F56, "', dan akan menggunakan storytelling framework '", G56, "'.", CHAR(10),
"Gambaran singkat ide kontennya adalah: '", J56, "'.", CHAR(10),
"Konten ini akan diunggah di platform '", E56, "' dengan format '", D56,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6" s="199" t="n"/>
      <c r="M56" s="199" t="n"/>
      <c r="N56" s="102" t="n"/>
      <c r="O56" s="102" t="n"/>
      <c r="P56" s="102" t="n"/>
      <c r="Q56" s="102" t="n"/>
      <c r="R56" s="102" t="n"/>
      <c r="S56" s="102" t="n"/>
      <c r="T56" s="102" t="n"/>
      <c r="U56" s="102" t="n"/>
      <c r="V56" s="102" t="n"/>
      <c r="W56" s="102" t="n"/>
      <c r="X56" s="102" t="n"/>
      <c r="Y56" s="102" t="n"/>
      <c r="Z56" s="102" t="n"/>
      <c r="AA56" s="102" t="n"/>
      <c r="AB56" s="102" t="n"/>
      <c r="AC56" s="102" t="n"/>
      <c r="AD56" s="102" t="n"/>
    </row>
    <row r="57" ht="15.75" customHeight="1" s="205">
      <c r="A57" s="102" t="n"/>
      <c r="B57" s="142" t="n"/>
      <c r="C57" s="143" t="n"/>
      <c r="D57" s="143" t="n"/>
      <c r="E57" s="143" t="n"/>
      <c r="F57" s="143" t="n"/>
      <c r="G57" s="144" t="n"/>
      <c r="H57" s="145">
        <f>IF(K57&lt;&gt;"", HYPERLINK("https://chatgpt.com/?prompt=" &amp; SUBSTITUTE(SUBSTITUTE(K57, " ", "+"), "&amp;", "dan") &amp; "&amp;force-refresh=true&amp;timestamp=" &amp; TEXT(NOW(), "yyyymmddhhmmss"), "👉 Klik untuk Generate Script! 🔥"), "")</f>
        <v/>
      </c>
      <c r="I57" s="143" t="n"/>
      <c r="J57" s="146" t="n"/>
      <c r="K57" s="130">
        <f>IF(AND(B57&lt;&gt;"", C57&lt;&gt;"", D57&lt;&gt;"", E57&lt;&gt;"", F57&lt;&gt;"", G57&lt;&gt;"", J57&lt;&gt;"",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B57, "'.", CHAR(10),
"Konten ini memiliki pilar '", C57, "', nilai tambah utama '", F57, "', dan akan menggunakan storytelling framework '", G57, "'.", CHAR(10),
"Gambaran singkat ide kontennya adalah: '", J57, "'.", CHAR(10),
"Konten ini akan diunggah di platform '", E57, "' dengan format '", D57,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7" s="91" t="n"/>
      <c r="M57" s="91" t="n"/>
      <c r="N57" s="102" t="n"/>
      <c r="O57" s="102" t="n"/>
      <c r="P57" s="102" t="n"/>
      <c r="Q57" s="102" t="n"/>
      <c r="R57" s="102" t="n"/>
      <c r="S57" s="102" t="n"/>
      <c r="T57" s="102" t="n"/>
      <c r="U57" s="102" t="n"/>
      <c r="V57" s="102" t="n"/>
      <c r="W57" s="102" t="n"/>
      <c r="X57" s="102" t="n"/>
      <c r="Y57" s="102" t="n"/>
      <c r="Z57" s="102" t="n"/>
      <c r="AA57" s="102" t="n"/>
      <c r="AB57" s="102" t="n"/>
      <c r="AC57" s="102" t="n"/>
      <c r="AD57" s="102" t="n"/>
    </row>
    <row r="58" ht="15.75" customHeight="1" s="205">
      <c r="A58" s="102" t="n"/>
      <c r="B58" s="147" t="n"/>
      <c r="C58" s="144" t="n"/>
      <c r="D58" s="144" t="n"/>
      <c r="E58" s="144" t="n"/>
      <c r="F58" s="144" t="n"/>
      <c r="G58" s="144" t="n"/>
      <c r="H58" s="141">
        <f>IF(K58&lt;&gt;"", HYPERLINK("https://chatgpt.com/?prompt=" &amp; SUBSTITUTE(SUBSTITUTE(K58, " ", "+"), "&amp;", "dan") &amp; "&amp;force-refresh=true&amp;timestamp=" &amp; TEXT(NOW(), "yyyymmddhhmmss"), "👉 Klik untuk Generate Script! 🔥"), "")</f>
        <v/>
      </c>
      <c r="I58" s="144" t="n"/>
      <c r="J58" s="148" t="n"/>
      <c r="K58" s="140">
        <f>IF(AND(B58&lt;&gt;"", C58&lt;&gt;"", D58&lt;&gt;"", E58&lt;&gt;"", F58&lt;&gt;"", G58&lt;&gt;"", J58&lt;&gt;"",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B58, "'.", CHAR(10),
"Konten ini memiliki pilar '", C58, "', nilai tambah utama '", F58, "', dan akan menggunakan storytelling framework '", G58, "'.", CHAR(10),
"Gambaran singkat ide kontennya adalah: '", J58, "'.", CHAR(10),
"Konten ini akan diunggah di platform '", E58, "' dengan format '", D58,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8" s="199" t="n"/>
      <c r="M58" s="199" t="n"/>
      <c r="N58" s="102" t="n"/>
      <c r="O58" s="102" t="n"/>
      <c r="P58" s="102" t="n"/>
      <c r="Q58" s="102" t="n"/>
      <c r="R58" s="102" t="n"/>
      <c r="S58" s="102" t="n"/>
      <c r="T58" s="102" t="n"/>
      <c r="U58" s="102" t="n"/>
      <c r="V58" s="102" t="n"/>
      <c r="W58" s="102" t="n"/>
      <c r="X58" s="102" t="n"/>
      <c r="Y58" s="102" t="n"/>
      <c r="Z58" s="102" t="n"/>
      <c r="AA58" s="102" t="n"/>
      <c r="AB58" s="102" t="n"/>
      <c r="AC58" s="102" t="n"/>
      <c r="AD58" s="102" t="n"/>
    </row>
    <row r="59" ht="15.75" customHeight="1" s="205">
      <c r="A59" s="102" t="n"/>
      <c r="B59" s="142" t="n"/>
      <c r="C59" s="143" t="n"/>
      <c r="D59" s="143" t="n"/>
      <c r="E59" s="143" t="n"/>
      <c r="F59" s="143" t="n"/>
      <c r="G59" s="144" t="n"/>
      <c r="H59" s="145">
        <f>IF(K59&lt;&gt;"", HYPERLINK("https://chatgpt.com/?prompt=" &amp; SUBSTITUTE(SUBSTITUTE(K59, " ", "+"), "&amp;", "dan") &amp; "&amp;force-refresh=true&amp;timestamp=" &amp; TEXT(NOW(), "yyyymmddhhmmss"), "👉 Klik untuk Generate Script! 🔥"), "")</f>
        <v/>
      </c>
      <c r="I59" s="143" t="n"/>
      <c r="J59" s="146" t="n"/>
      <c r="K59" s="130">
        <f>IF(AND(B59&lt;&gt;"", C59&lt;&gt;"", D59&lt;&gt;"", E59&lt;&gt;"", F59&lt;&gt;"", G59&lt;&gt;"", J59&lt;&gt;"",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B59, "'.", CHAR(10),
"Konten ini memiliki pilar '", C59, "', nilai tambah utama '", F59, "', dan akan menggunakan storytelling framework '", G59, "'.", CHAR(10),
"Gambaran singkat ide kontennya adalah: '", J59, "'.", CHAR(10),
"Konten ini akan diunggah di platform '", E59, "' dengan format '", D59,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59" s="91" t="n"/>
      <c r="M59" s="91" t="n"/>
      <c r="N59" s="102" t="n"/>
      <c r="O59" s="102" t="n"/>
      <c r="P59" s="102" t="n"/>
      <c r="Q59" s="102" t="n"/>
      <c r="R59" s="102" t="n"/>
      <c r="S59" s="102" t="n"/>
      <c r="T59" s="102" t="n"/>
      <c r="U59" s="102" t="n"/>
      <c r="V59" s="102" t="n"/>
      <c r="W59" s="102" t="n"/>
      <c r="X59" s="102" t="n"/>
      <c r="Y59" s="102" t="n"/>
      <c r="Z59" s="102" t="n"/>
      <c r="AA59" s="102" t="n"/>
      <c r="AB59" s="102" t="n"/>
      <c r="AC59" s="102" t="n"/>
      <c r="AD59" s="102" t="n"/>
    </row>
    <row r="60" ht="15.75" customHeight="1" s="205">
      <c r="A60" s="102" t="n"/>
      <c r="B60" s="147" t="n"/>
      <c r="C60" s="144" t="n"/>
      <c r="D60" s="144" t="n"/>
      <c r="E60" s="144" t="n"/>
      <c r="F60" s="144" t="n"/>
      <c r="G60" s="144" t="n"/>
      <c r="H60" s="141">
        <f>IF(K60&lt;&gt;"", HYPERLINK("https://chatgpt.com/?prompt=" &amp; SUBSTITUTE(SUBSTITUTE(K60, " ", "+"), "&amp;", "dan") &amp; "&amp;force-refresh=true&amp;timestamp=" &amp; TEXT(NOW(), "yyyymmddhhmmss"), "👉 Klik untuk Generate Script! 🔥"), "")</f>
        <v/>
      </c>
      <c r="I60" s="144" t="n"/>
      <c r="J60" s="148" t="n"/>
      <c r="K60" s="140">
        <f>IF(AND(B60&lt;&gt;"", C60&lt;&gt;"", D60&lt;&gt;"", E60&lt;&gt;"", F60&lt;&gt;"", G60&lt;&gt;"", J60&lt;&gt;"",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B60, "'.", CHAR(10),
"Konten ini memiliki pilar '", C60, "', nilai tambah utama '", F60, "', dan akan menggunakan storytelling framework '", G60, "'.", CHAR(10),
"Gambaran singkat ide kontennya adalah: '", J60, "'.", CHAR(10),
"Konten ini akan diunggah di platform '", E60, "' dengan format '", D60,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0" s="199" t="n"/>
      <c r="M60" s="199" t="n"/>
      <c r="N60" s="102" t="n"/>
      <c r="O60" s="102" t="n"/>
      <c r="P60" s="102" t="n"/>
      <c r="Q60" s="102" t="n"/>
      <c r="R60" s="102" t="n"/>
      <c r="S60" s="102" t="n"/>
      <c r="T60" s="102" t="n"/>
      <c r="U60" s="102" t="n"/>
      <c r="V60" s="102" t="n"/>
      <c r="W60" s="102" t="n"/>
      <c r="X60" s="102" t="n"/>
      <c r="Y60" s="102" t="n"/>
      <c r="Z60" s="102" t="n"/>
      <c r="AA60" s="102" t="n"/>
      <c r="AB60" s="102" t="n"/>
      <c r="AC60" s="102" t="n"/>
      <c r="AD60" s="102" t="n"/>
    </row>
    <row r="61" ht="15.75" customHeight="1" s="205">
      <c r="A61" s="102" t="n"/>
      <c r="B61" s="142" t="n"/>
      <c r="C61" s="143" t="n"/>
      <c r="D61" s="143" t="n"/>
      <c r="E61" s="143" t="n"/>
      <c r="F61" s="143" t="n"/>
      <c r="G61" s="144" t="n"/>
      <c r="H61" s="145">
        <f>IF(K61&lt;&gt;"", HYPERLINK("https://chatgpt.com/?prompt=" &amp; SUBSTITUTE(SUBSTITUTE(K61, " ", "+"), "&amp;", "dan") &amp; "&amp;force-refresh=true&amp;timestamp=" &amp; TEXT(NOW(), "yyyymmddhhmmss"), "👉 Klik untuk Generate Script! 🔥"), "")</f>
        <v/>
      </c>
      <c r="I61" s="143" t="n"/>
      <c r="J61" s="146" t="n"/>
      <c r="K61" s="130">
        <f>IF(AND(B61&lt;&gt;"", C61&lt;&gt;"", D61&lt;&gt;"", E61&lt;&gt;"", F61&lt;&gt;"", G61&lt;&gt;"", J61&lt;&gt;"",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B61, "'.", CHAR(10),
"Konten ini memiliki pilar '", C61, "', nilai tambah utama '", F61, "', dan akan menggunakan storytelling framework '", G61, "'.", CHAR(10),
"Gambaran singkat ide kontennya adalah: '", J61, "'.", CHAR(10),
"Konten ini akan diunggah di platform '", E61, "' dengan format '", D61,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1" s="91" t="n"/>
      <c r="M61" s="91" t="n"/>
      <c r="N61" s="102" t="n"/>
      <c r="O61" s="102" t="n"/>
      <c r="P61" s="102" t="n"/>
      <c r="Q61" s="102" t="n"/>
      <c r="R61" s="102" t="n"/>
      <c r="S61" s="102" t="n"/>
      <c r="T61" s="102" t="n"/>
      <c r="U61" s="102" t="n"/>
      <c r="V61" s="102" t="n"/>
      <c r="W61" s="102" t="n"/>
      <c r="X61" s="102" t="n"/>
      <c r="Y61" s="102" t="n"/>
      <c r="Z61" s="102" t="n"/>
      <c r="AA61" s="102" t="n"/>
      <c r="AB61" s="102" t="n"/>
      <c r="AC61" s="102" t="n"/>
      <c r="AD61" s="102" t="n"/>
    </row>
    <row r="62" ht="15.75" customHeight="1" s="205">
      <c r="A62" s="102" t="n"/>
      <c r="B62" s="147" t="n"/>
      <c r="C62" s="144" t="n"/>
      <c r="D62" s="144" t="n"/>
      <c r="E62" s="144" t="n"/>
      <c r="F62" s="144" t="n"/>
      <c r="G62" s="144" t="n"/>
      <c r="H62" s="141">
        <f>IF(K62&lt;&gt;"", HYPERLINK("https://chatgpt.com/?prompt=" &amp; SUBSTITUTE(SUBSTITUTE(K62, " ", "+"), "&amp;", "dan") &amp; "&amp;force-refresh=true&amp;timestamp=" &amp; TEXT(NOW(), "yyyymmddhhmmss"), "👉 Klik untuk Generate Script! 🔥"), "")</f>
        <v/>
      </c>
      <c r="I62" s="144" t="n"/>
      <c r="J62" s="148" t="n"/>
      <c r="K62" s="140">
        <f>IF(AND(B62&lt;&gt;"", C62&lt;&gt;"", D62&lt;&gt;"", E62&lt;&gt;"", F62&lt;&gt;"", G62&lt;&gt;"", J62&lt;&gt;"",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B62, "'.", CHAR(10),
"Konten ini memiliki pilar '", C62, "', nilai tambah utama '", F62, "', dan akan menggunakan storytelling framework '", G62, "'.", CHAR(10),
"Gambaran singkat ide kontennya adalah: '", J62, "'.", CHAR(10),
"Konten ini akan diunggah di platform '", E62, "' dengan format '", D62,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2" s="199" t="n"/>
      <c r="M62" s="199" t="n"/>
      <c r="N62" s="102" t="n"/>
      <c r="O62" s="102" t="n"/>
      <c r="P62" s="102" t="n"/>
      <c r="Q62" s="102" t="n"/>
      <c r="R62" s="102" t="n"/>
      <c r="S62" s="102" t="n"/>
      <c r="T62" s="102" t="n"/>
      <c r="U62" s="102" t="n"/>
      <c r="V62" s="102" t="n"/>
      <c r="W62" s="102" t="n"/>
      <c r="X62" s="102" t="n"/>
      <c r="Y62" s="102" t="n"/>
      <c r="Z62" s="102" t="n"/>
      <c r="AA62" s="102" t="n"/>
      <c r="AB62" s="102" t="n"/>
      <c r="AC62" s="102" t="n"/>
      <c r="AD62" s="102" t="n"/>
    </row>
    <row r="63" ht="15.75" customHeight="1" s="205">
      <c r="A63" s="102" t="n"/>
      <c r="B63" s="142" t="n"/>
      <c r="C63" s="143" t="n"/>
      <c r="D63" s="143" t="n"/>
      <c r="E63" s="143" t="n"/>
      <c r="F63" s="143" t="n"/>
      <c r="G63" s="144" t="n"/>
      <c r="H63" s="145">
        <f>IF(K63&lt;&gt;"", HYPERLINK("https://chatgpt.com/?prompt=" &amp; SUBSTITUTE(SUBSTITUTE(K63, " ", "+"), "&amp;", "dan") &amp; "&amp;force-refresh=true&amp;timestamp=" &amp; TEXT(NOW(), "yyyymmddhhmmss"), "👉 Klik untuk Generate Script! 🔥"), "")</f>
        <v/>
      </c>
      <c r="I63" s="143" t="n"/>
      <c r="J63" s="146" t="n"/>
      <c r="K63" s="130">
        <f>IF(AND(B63&lt;&gt;"", C63&lt;&gt;"", D63&lt;&gt;"", E63&lt;&gt;"", F63&lt;&gt;"", G63&lt;&gt;"", J63&lt;&gt;"",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B63, "'.", CHAR(10),
"Konten ini memiliki pilar '", C63, "', nilai tambah utama '", F63, "', dan akan menggunakan storytelling framework '", G63, "'.", CHAR(10),
"Gambaran singkat ide kontennya adalah: '", J63, "'.", CHAR(10),
"Konten ini akan diunggah di platform '", E63, "' dengan format '", D63,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3" s="91" t="n"/>
      <c r="M63" s="91" t="n"/>
      <c r="N63" s="102" t="n"/>
      <c r="O63" s="102" t="n"/>
      <c r="P63" s="102" t="n"/>
      <c r="Q63" s="102" t="n"/>
      <c r="R63" s="102" t="n"/>
      <c r="S63" s="102" t="n"/>
      <c r="T63" s="102" t="n"/>
      <c r="U63" s="102" t="n"/>
      <c r="V63" s="102" t="n"/>
      <c r="W63" s="102" t="n"/>
      <c r="X63" s="102" t="n"/>
      <c r="Y63" s="102" t="n"/>
      <c r="Z63" s="102" t="n"/>
      <c r="AA63" s="102" t="n"/>
      <c r="AB63" s="102" t="n"/>
      <c r="AC63" s="102" t="n"/>
      <c r="AD63" s="102" t="n"/>
    </row>
    <row r="64" ht="15.75" customHeight="1" s="205">
      <c r="A64" s="102" t="n"/>
      <c r="B64" s="147" t="n"/>
      <c r="C64" s="144" t="n"/>
      <c r="D64" s="144" t="n"/>
      <c r="E64" s="144" t="n"/>
      <c r="F64" s="144" t="n"/>
      <c r="G64" s="144" t="n"/>
      <c r="H64" s="141">
        <f>IF(K64&lt;&gt;"", HYPERLINK("https://chatgpt.com/?prompt=" &amp; SUBSTITUTE(SUBSTITUTE(K64, " ", "+"), "&amp;", "dan") &amp; "&amp;force-refresh=true&amp;timestamp=" &amp; TEXT(NOW(), "yyyymmddhhmmss"), "👉 Klik untuk Generate Script! 🔥"), "")</f>
        <v/>
      </c>
      <c r="I64" s="144" t="n"/>
      <c r="J64" s="148" t="n"/>
      <c r="K64" s="140">
        <f>IF(AND(B64&lt;&gt;"", C64&lt;&gt;"", D64&lt;&gt;"", E64&lt;&gt;"", F64&lt;&gt;"", G64&lt;&gt;"", J64&lt;&gt;"",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B64, "'.", CHAR(10),
"Konten ini memiliki pilar '", C64, "', nilai tambah utama '", F64, "', dan akan menggunakan storytelling framework '", G64, "'.", CHAR(10),
"Gambaran singkat ide kontennya adalah: '", J64, "'.", CHAR(10),
"Konten ini akan diunggah di platform '", E64, "' dengan format '", D64,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4" s="199" t="n"/>
      <c r="M64" s="199" t="n"/>
      <c r="N64" s="102" t="n"/>
      <c r="O64" s="102" t="n"/>
      <c r="P64" s="102" t="n"/>
      <c r="Q64" s="102" t="n"/>
      <c r="R64" s="102" t="n"/>
      <c r="S64" s="102" t="n"/>
      <c r="T64" s="102" t="n"/>
      <c r="U64" s="102" t="n"/>
      <c r="V64" s="102" t="n"/>
      <c r="W64" s="102" t="n"/>
      <c r="X64" s="102" t="n"/>
      <c r="Y64" s="102" t="n"/>
      <c r="Z64" s="102" t="n"/>
      <c r="AA64" s="102" t="n"/>
      <c r="AB64" s="102" t="n"/>
      <c r="AC64" s="102" t="n"/>
      <c r="AD64" s="102" t="n"/>
    </row>
    <row r="65" ht="15.75" customHeight="1" s="205">
      <c r="A65" s="102" t="n"/>
      <c r="B65" s="142" t="n"/>
      <c r="C65" s="143" t="n"/>
      <c r="D65" s="143" t="n"/>
      <c r="E65" s="143" t="n"/>
      <c r="F65" s="143" t="n"/>
      <c r="G65" s="144" t="n"/>
      <c r="H65" s="145">
        <f>IF(K65&lt;&gt;"", HYPERLINK("https://chatgpt.com/?prompt=" &amp; SUBSTITUTE(SUBSTITUTE(K65, " ", "+"), "&amp;", "dan") &amp; "&amp;force-refresh=true&amp;timestamp=" &amp; TEXT(NOW(), "yyyymmddhhmmss"), "👉 Klik untuk Generate Script! 🔥"), "")</f>
        <v/>
      </c>
      <c r="I65" s="143" t="n"/>
      <c r="J65" s="146" t="n"/>
      <c r="K65" s="130">
        <f>IF(AND(B65&lt;&gt;"", C65&lt;&gt;"", D65&lt;&gt;"", E65&lt;&gt;"", F65&lt;&gt;"", G65&lt;&gt;"", J65&lt;&gt;"",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B65, "'.", CHAR(10),
"Konten ini memiliki pilar '", C65, "', nilai tambah utama '", F65, "', dan akan menggunakan storytelling framework '", G65, "'.", CHAR(10),
"Gambaran singkat ide kontennya adalah: '", J65, "'.", CHAR(10),
"Konten ini akan diunggah di platform '", E65, "' dengan format '", D65,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5" s="91" t="n"/>
      <c r="M65" s="91" t="n"/>
      <c r="N65" s="102" t="n"/>
      <c r="O65" s="102" t="n"/>
      <c r="P65" s="102" t="n"/>
      <c r="Q65" s="102" t="n"/>
      <c r="R65" s="102" t="n"/>
      <c r="S65" s="102" t="n"/>
      <c r="T65" s="102" t="n"/>
      <c r="U65" s="102" t="n"/>
      <c r="V65" s="102" t="n"/>
      <c r="W65" s="102" t="n"/>
      <c r="X65" s="102" t="n"/>
      <c r="Y65" s="102" t="n"/>
      <c r="Z65" s="102" t="n"/>
      <c r="AA65" s="102" t="n"/>
      <c r="AB65" s="102" t="n"/>
      <c r="AC65" s="102" t="n"/>
      <c r="AD65" s="102" t="n"/>
    </row>
    <row r="66" ht="15.75" customHeight="1" s="205">
      <c r="A66" s="102" t="n"/>
      <c r="B66" s="147" t="n"/>
      <c r="C66" s="144" t="n"/>
      <c r="D66" s="144" t="n"/>
      <c r="E66" s="144" t="n"/>
      <c r="F66" s="144" t="n"/>
      <c r="G66" s="144" t="n"/>
      <c r="H66" s="141">
        <f>IF(K66&lt;&gt;"", HYPERLINK("https://chatgpt.com/?prompt=" &amp; SUBSTITUTE(SUBSTITUTE(K66, " ", "+"), "&amp;", "dan") &amp; "&amp;force-refresh=true&amp;timestamp=" &amp; TEXT(NOW(), "yyyymmddhhmmss"), "👉 Klik untuk Generate Script! 🔥"), "")</f>
        <v/>
      </c>
      <c r="I66" s="144" t="n"/>
      <c r="J66" s="148" t="n"/>
      <c r="K66" s="140">
        <f>IF(AND(B66&lt;&gt;"", C66&lt;&gt;"", D66&lt;&gt;"", E66&lt;&gt;"", F66&lt;&gt;"", G66&lt;&gt;"", J66&lt;&gt;"",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B66, "'.", CHAR(10),
"Konten ini memiliki pilar '", C66, "', nilai tambah utama '", F66, "', dan akan menggunakan storytelling framework '", G66, "'.", CHAR(10),
"Gambaran singkat ide kontennya adalah: '", J66, "'.", CHAR(10),
"Konten ini akan diunggah di platform '", E66, "' dengan format '", D66,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6" s="199" t="n"/>
      <c r="M66" s="199" t="n"/>
      <c r="N66" s="102" t="n"/>
      <c r="O66" s="102" t="n"/>
      <c r="P66" s="102" t="n"/>
      <c r="Q66" s="102" t="n"/>
      <c r="R66" s="102" t="n"/>
      <c r="S66" s="102" t="n"/>
      <c r="T66" s="102" t="n"/>
      <c r="U66" s="102" t="n"/>
      <c r="V66" s="102" t="n"/>
      <c r="W66" s="102" t="n"/>
      <c r="X66" s="102" t="n"/>
      <c r="Y66" s="102" t="n"/>
      <c r="Z66" s="102" t="n"/>
      <c r="AA66" s="102" t="n"/>
      <c r="AB66" s="102" t="n"/>
      <c r="AC66" s="102" t="n"/>
      <c r="AD66" s="102" t="n"/>
    </row>
    <row r="67" ht="15.75" customHeight="1" s="205">
      <c r="A67" s="102" t="n"/>
      <c r="B67" s="142" t="n"/>
      <c r="C67" s="143" t="n"/>
      <c r="D67" s="143" t="n"/>
      <c r="E67" s="143" t="n"/>
      <c r="F67" s="143" t="n"/>
      <c r="G67" s="144" t="n"/>
      <c r="H67" s="145">
        <f>IF(K67&lt;&gt;"", HYPERLINK("https://chatgpt.com/?prompt=" &amp; SUBSTITUTE(SUBSTITUTE(K67, " ", "+"), "&amp;", "dan") &amp; "&amp;force-refresh=true&amp;timestamp=" &amp; TEXT(NOW(), "yyyymmddhhmmss"), "👉 Klik untuk Generate Script! 🔥"), "")</f>
        <v/>
      </c>
      <c r="I67" s="143" t="n"/>
      <c r="J67" s="146" t="n"/>
      <c r="K67" s="130">
        <f>IF(AND(B67&lt;&gt;"", C67&lt;&gt;"", D67&lt;&gt;"", E67&lt;&gt;"", F67&lt;&gt;"", G67&lt;&gt;"", J67&lt;&gt;"",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B67, "'.", CHAR(10),
"Konten ini memiliki pilar '", C67, "', nilai tambah utama '", F67, "', dan akan menggunakan storytelling framework '", G67, "'.", CHAR(10),
"Gambaran singkat ide kontennya adalah: '", J67, "'.", CHAR(10),
"Konten ini akan diunggah di platform '", E67, "' dengan format '", D67,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7" s="91" t="n"/>
      <c r="M67" s="91" t="n"/>
      <c r="N67" s="102" t="n"/>
      <c r="O67" s="102" t="n"/>
      <c r="P67" s="102" t="n"/>
      <c r="Q67" s="102" t="n"/>
      <c r="R67" s="102" t="n"/>
      <c r="S67" s="102" t="n"/>
      <c r="T67" s="102" t="n"/>
      <c r="U67" s="102" t="n"/>
      <c r="V67" s="102" t="n"/>
      <c r="W67" s="102" t="n"/>
      <c r="X67" s="102" t="n"/>
      <c r="Y67" s="102" t="n"/>
      <c r="Z67" s="102" t="n"/>
      <c r="AA67" s="102" t="n"/>
      <c r="AB67" s="102" t="n"/>
      <c r="AC67" s="102" t="n"/>
      <c r="AD67" s="102" t="n"/>
    </row>
    <row r="68" ht="15.75" customHeight="1" s="205">
      <c r="A68" s="102" t="n"/>
      <c r="B68" s="147" t="n"/>
      <c r="C68" s="144" t="n"/>
      <c r="D68" s="144" t="n"/>
      <c r="E68" s="144" t="n"/>
      <c r="F68" s="144" t="n"/>
      <c r="G68" s="144" t="n"/>
      <c r="H68" s="141">
        <f>IF(K68&lt;&gt;"", HYPERLINK("https://chatgpt.com/?prompt=" &amp; SUBSTITUTE(SUBSTITUTE(K68, " ", "+"), "&amp;", "dan") &amp; "&amp;force-refresh=true&amp;timestamp=" &amp; TEXT(NOW(), "yyyymmddhhmmss"), "👉 Klik untuk Generate Script! 🔥"), "")</f>
        <v/>
      </c>
      <c r="I68" s="144" t="n"/>
      <c r="J68" s="148" t="n"/>
      <c r="K68" s="140">
        <f>IF(AND(B68&lt;&gt;"", C68&lt;&gt;"", D68&lt;&gt;"", E68&lt;&gt;"", F68&lt;&gt;"", G68&lt;&gt;"", J68&lt;&gt;"",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B68, "'.", CHAR(10),
"Konten ini memiliki pilar '", C68, "', nilai tambah utama '", F68, "', dan akan menggunakan storytelling framework '", G68, "'.", CHAR(10),
"Gambaran singkat ide kontennya adalah: '", J68, "'.", CHAR(10),
"Konten ini akan diunggah di platform '", E68, "' dengan format '", D68,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8" s="199" t="n"/>
      <c r="M68" s="199" t="n"/>
      <c r="N68" s="102" t="n"/>
      <c r="O68" s="102" t="n"/>
      <c r="P68" s="102" t="n"/>
      <c r="Q68" s="102" t="n"/>
      <c r="R68" s="102" t="n"/>
      <c r="S68" s="102" t="n"/>
      <c r="T68" s="102" t="n"/>
      <c r="U68" s="102" t="n"/>
      <c r="V68" s="102" t="n"/>
      <c r="W68" s="102" t="n"/>
      <c r="X68" s="102" t="n"/>
      <c r="Y68" s="102" t="n"/>
      <c r="Z68" s="102" t="n"/>
      <c r="AA68" s="102" t="n"/>
      <c r="AB68" s="102" t="n"/>
      <c r="AC68" s="102" t="n"/>
      <c r="AD68" s="102" t="n"/>
    </row>
    <row r="69" ht="15.75" customHeight="1" s="205">
      <c r="A69" s="102" t="n"/>
      <c r="B69" s="142" t="n"/>
      <c r="C69" s="143" t="n"/>
      <c r="D69" s="143" t="n"/>
      <c r="E69" s="143" t="n"/>
      <c r="F69" s="143" t="n"/>
      <c r="G69" s="144" t="n"/>
      <c r="H69" s="145">
        <f>IF(K69&lt;&gt;"", HYPERLINK("https://chatgpt.com/?prompt=" &amp; SUBSTITUTE(SUBSTITUTE(K69, " ", "+"), "&amp;", "dan") &amp; "&amp;force-refresh=true&amp;timestamp=" &amp; TEXT(NOW(), "yyyymmddhhmmss"), "👉 Klik untuk Generate Script! 🔥"), "")</f>
        <v/>
      </c>
      <c r="I69" s="143" t="n"/>
      <c r="J69" s="146" t="n"/>
      <c r="K69" s="130">
        <f>IF(AND(B69&lt;&gt;"", C69&lt;&gt;"", D69&lt;&gt;"", E69&lt;&gt;"", F69&lt;&gt;"", G69&lt;&gt;"", J69&lt;&gt;"",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B69, "'.", CHAR(10),
"Konten ini memiliki pilar '", C69, "', nilai tambah utama '", F69, "', dan akan menggunakan storytelling framework '", G69, "'.", CHAR(10),
"Gambaran singkat ide kontennya adalah: '", J69, "'.", CHAR(10),
"Konten ini akan diunggah di platform '", E69, "' dengan format '", D69,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69" s="91" t="n"/>
      <c r="M69" s="91" t="n"/>
      <c r="N69" s="102" t="n"/>
      <c r="O69" s="102" t="n"/>
      <c r="P69" s="102" t="n"/>
      <c r="Q69" s="102" t="n"/>
      <c r="R69" s="102" t="n"/>
      <c r="S69" s="102" t="n"/>
      <c r="T69" s="102" t="n"/>
      <c r="U69" s="102" t="n"/>
      <c r="V69" s="102" t="n"/>
      <c r="W69" s="102" t="n"/>
      <c r="X69" s="102" t="n"/>
      <c r="Y69" s="102" t="n"/>
      <c r="Z69" s="102" t="n"/>
      <c r="AA69" s="102" t="n"/>
      <c r="AB69" s="102" t="n"/>
      <c r="AC69" s="102" t="n"/>
      <c r="AD69" s="102" t="n"/>
    </row>
    <row r="70" ht="15.75" customHeight="1" s="205">
      <c r="A70" s="102" t="n"/>
      <c r="B70" s="147" t="n"/>
      <c r="C70" s="144" t="n"/>
      <c r="D70" s="144" t="n"/>
      <c r="E70" s="144" t="n"/>
      <c r="F70" s="144" t="n"/>
      <c r="G70" s="144" t="n"/>
      <c r="H70" s="141">
        <f>IF(K70&lt;&gt;"", HYPERLINK("https://chatgpt.com/?prompt=" &amp; SUBSTITUTE(SUBSTITUTE(K70, " ", "+"), "&amp;", "dan") &amp; "&amp;force-refresh=true&amp;timestamp=" &amp; TEXT(NOW(), "yyyymmddhhmmss"), "👉 Klik untuk Generate Script! 🔥"), "")</f>
        <v/>
      </c>
      <c r="I70" s="144" t="n"/>
      <c r="J70" s="148" t="n"/>
      <c r="K70" s="140">
        <f>IF(AND(B70&lt;&gt;"", C70&lt;&gt;"", D70&lt;&gt;"", E70&lt;&gt;"", F70&lt;&gt;"", G70&lt;&gt;"", J70&lt;&gt;"",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B70, "'.", CHAR(10),
"Konten ini memiliki pilar '", C70, "', nilai tambah utama '", F70, "', dan akan menggunakan storytelling framework '", G70, "'.", CHAR(10),
"Gambaran singkat ide kontennya adalah: '", J70, "'.", CHAR(10),
"Konten ini akan diunggah di platform '", E70, "' dengan format '", D70,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0" s="199" t="n"/>
      <c r="M70" s="199" t="n"/>
      <c r="N70" s="102" t="n"/>
      <c r="O70" s="102" t="n"/>
      <c r="P70" s="102" t="n"/>
      <c r="Q70" s="102" t="n"/>
      <c r="R70" s="102" t="n"/>
      <c r="S70" s="102" t="n"/>
      <c r="T70" s="102" t="n"/>
      <c r="U70" s="102" t="n"/>
      <c r="V70" s="102" t="n"/>
      <c r="W70" s="102" t="n"/>
      <c r="X70" s="102" t="n"/>
      <c r="Y70" s="102" t="n"/>
      <c r="Z70" s="102" t="n"/>
      <c r="AA70" s="102" t="n"/>
      <c r="AB70" s="102" t="n"/>
      <c r="AC70" s="102" t="n"/>
      <c r="AD70" s="102" t="n"/>
    </row>
    <row r="71" ht="15.75" customHeight="1" s="205">
      <c r="A71" s="102" t="n"/>
      <c r="B71" s="142" t="n"/>
      <c r="C71" s="143" t="n"/>
      <c r="D71" s="143" t="n"/>
      <c r="E71" s="143" t="n"/>
      <c r="F71" s="143" t="n"/>
      <c r="G71" s="144" t="n"/>
      <c r="H71" s="145">
        <f>IF(K71&lt;&gt;"", HYPERLINK("https://chatgpt.com/?prompt=" &amp; SUBSTITUTE(SUBSTITUTE(K71, " ", "+"), "&amp;", "dan") &amp; "&amp;force-refresh=true&amp;timestamp=" &amp; TEXT(NOW(), "yyyymmddhhmmss"), "👉 Klik untuk Generate Script! 🔥"), "")</f>
        <v/>
      </c>
      <c r="I71" s="143" t="n"/>
      <c r="J71" s="146" t="n"/>
      <c r="K71" s="130">
        <f>IF(AND(B71&lt;&gt;"", C71&lt;&gt;"", D71&lt;&gt;"", E71&lt;&gt;"", F71&lt;&gt;"", G71&lt;&gt;"", J71&lt;&gt;"",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B71, "'.", CHAR(10),
"Konten ini memiliki pilar '", C71, "', nilai tambah utama '", F71, "', dan akan menggunakan storytelling framework '", G71, "'.", CHAR(10),
"Gambaran singkat ide kontennya adalah: '", J71, "'.", CHAR(10),
"Konten ini akan diunggah di platform '", E71, "' dengan format '", D71,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1" s="91" t="n"/>
      <c r="M71" s="91" t="n"/>
      <c r="N71" s="102" t="n"/>
      <c r="O71" s="102" t="n"/>
      <c r="P71" s="102" t="n"/>
      <c r="Q71" s="102" t="n"/>
      <c r="R71" s="102" t="n"/>
      <c r="S71" s="102" t="n"/>
      <c r="T71" s="102" t="n"/>
      <c r="U71" s="102" t="n"/>
      <c r="V71" s="102" t="n"/>
      <c r="W71" s="102" t="n"/>
      <c r="X71" s="102" t="n"/>
      <c r="Y71" s="102" t="n"/>
      <c r="Z71" s="102" t="n"/>
      <c r="AA71" s="102" t="n"/>
      <c r="AB71" s="102" t="n"/>
      <c r="AC71" s="102" t="n"/>
      <c r="AD71" s="102" t="n"/>
    </row>
    <row r="72" ht="15.75" customHeight="1" s="205">
      <c r="A72" s="102" t="n"/>
      <c r="B72" s="147" t="n"/>
      <c r="C72" s="144" t="n"/>
      <c r="D72" s="144" t="n"/>
      <c r="E72" s="144" t="n"/>
      <c r="F72" s="144" t="n"/>
      <c r="G72" s="144" t="n"/>
      <c r="H72" s="141">
        <f>IF(K72&lt;&gt;"", HYPERLINK("https://chatgpt.com/?prompt=" &amp; SUBSTITUTE(SUBSTITUTE(K72, " ", "+"), "&amp;", "dan") &amp; "&amp;force-refresh=true&amp;timestamp=" &amp; TEXT(NOW(), "yyyymmddhhmmss"), "👉 Klik untuk Generate Script! 🔥"), "")</f>
        <v/>
      </c>
      <c r="I72" s="144" t="n"/>
      <c r="J72" s="148" t="n"/>
      <c r="K72" s="140">
        <f>IF(AND(B72&lt;&gt;"", C72&lt;&gt;"", D72&lt;&gt;"", E72&lt;&gt;"", F72&lt;&gt;"", G72&lt;&gt;"", J72&lt;&gt;"",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B72, "'.", CHAR(10),
"Konten ini memiliki pilar '", C72, "', nilai tambah utama '", F72, "', dan akan menggunakan storytelling framework '", G72, "'.", CHAR(10),
"Gambaran singkat ide kontennya adalah: '", J72, "'.", CHAR(10),
"Konten ini akan diunggah di platform '", E72, "' dengan format '", D72,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2" s="199" t="n"/>
      <c r="M72" s="199" t="n"/>
      <c r="N72" s="102" t="n"/>
      <c r="O72" s="102" t="n"/>
      <c r="P72" s="102" t="n"/>
      <c r="Q72" s="102" t="n"/>
      <c r="R72" s="102" t="n"/>
      <c r="S72" s="102" t="n"/>
      <c r="T72" s="102" t="n"/>
      <c r="U72" s="102" t="n"/>
      <c r="V72" s="102" t="n"/>
      <c r="W72" s="102" t="n"/>
      <c r="X72" s="102" t="n"/>
      <c r="Y72" s="102" t="n"/>
      <c r="Z72" s="102" t="n"/>
      <c r="AA72" s="102" t="n"/>
      <c r="AB72" s="102" t="n"/>
      <c r="AC72" s="102" t="n"/>
      <c r="AD72" s="102" t="n"/>
    </row>
    <row r="73" ht="15.75" customHeight="1" s="205">
      <c r="A73" s="102" t="n"/>
      <c r="B73" s="142" t="n"/>
      <c r="C73" s="143" t="n"/>
      <c r="D73" s="143" t="n"/>
      <c r="E73" s="143" t="n"/>
      <c r="F73" s="143" t="n"/>
      <c r="G73" s="144" t="n"/>
      <c r="H73" s="145">
        <f>IF(K73&lt;&gt;"", HYPERLINK("https://chatgpt.com/?prompt=" &amp; SUBSTITUTE(SUBSTITUTE(K73, " ", "+"), "&amp;", "dan") &amp; "&amp;force-refresh=true&amp;timestamp=" &amp; TEXT(NOW(), "yyyymmddhhmmss"), "👉 Klik untuk Generate Script! 🔥"), "")</f>
        <v/>
      </c>
      <c r="I73" s="143" t="n"/>
      <c r="J73" s="146" t="n"/>
      <c r="K73" s="130">
        <f>IF(AND(B73&lt;&gt;"", C73&lt;&gt;"", D73&lt;&gt;"", E73&lt;&gt;"", F73&lt;&gt;"", G73&lt;&gt;"", J73&lt;&gt;"",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B73, "'.", CHAR(10),
"Konten ini memiliki pilar '", C73, "', nilai tambah utama '", F73, "', dan akan menggunakan storytelling framework '", G73, "'.", CHAR(10),
"Gambaran singkat ide kontennya adalah: '", J73, "'.", CHAR(10),
"Konten ini akan diunggah di platform '", E73, "' dengan format '", D73,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3" s="91" t="n"/>
      <c r="M73" s="91" t="n"/>
      <c r="N73" s="102" t="n"/>
      <c r="O73" s="102" t="n"/>
      <c r="P73" s="102" t="n"/>
      <c r="Q73" s="102" t="n"/>
      <c r="R73" s="102" t="n"/>
      <c r="S73" s="102" t="n"/>
      <c r="T73" s="102" t="n"/>
      <c r="U73" s="102" t="n"/>
      <c r="V73" s="102" t="n"/>
      <c r="W73" s="102" t="n"/>
      <c r="X73" s="102" t="n"/>
      <c r="Y73" s="102" t="n"/>
      <c r="Z73" s="102" t="n"/>
      <c r="AA73" s="102" t="n"/>
      <c r="AB73" s="102" t="n"/>
      <c r="AC73" s="102" t="n"/>
      <c r="AD73" s="102" t="n"/>
    </row>
    <row r="74" ht="15.75" customHeight="1" s="205">
      <c r="A74" s="102" t="n"/>
      <c r="B74" s="147" t="n"/>
      <c r="C74" s="144" t="n"/>
      <c r="D74" s="144" t="n"/>
      <c r="E74" s="144" t="n"/>
      <c r="F74" s="144" t="n"/>
      <c r="G74" s="144" t="n"/>
      <c r="H74" s="141">
        <f>IF(K74&lt;&gt;"", HYPERLINK("https://chatgpt.com/?prompt=" &amp; SUBSTITUTE(SUBSTITUTE(K74, " ", "+"), "&amp;", "dan") &amp; "&amp;force-refresh=true&amp;timestamp=" &amp; TEXT(NOW(), "yyyymmddhhmmss"), "👉 Klik untuk Generate Script! 🔥"), "")</f>
        <v/>
      </c>
      <c r="I74" s="144" t="n"/>
      <c r="J74" s="148" t="n"/>
      <c r="K74" s="140">
        <f>IF(AND(B74&lt;&gt;"", C74&lt;&gt;"", D74&lt;&gt;"", E74&lt;&gt;"", F74&lt;&gt;"", G74&lt;&gt;"", J74&lt;&gt;"",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B74, "'.", CHAR(10),
"Konten ini memiliki pilar '", C74, "', nilai tambah utama '", F74, "', dan akan menggunakan storytelling framework '", G74, "'.", CHAR(10),
"Gambaran singkat ide kontennya adalah: '", J74, "'.", CHAR(10),
"Konten ini akan diunggah di platform '", E74, "' dengan format '", D74,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4" s="199" t="n"/>
      <c r="M74" s="199" t="n"/>
      <c r="N74" s="102" t="n"/>
      <c r="O74" s="102" t="n"/>
      <c r="P74" s="102" t="n"/>
      <c r="Q74" s="102" t="n"/>
      <c r="R74" s="102" t="n"/>
      <c r="S74" s="102" t="n"/>
      <c r="T74" s="102" t="n"/>
      <c r="U74" s="102" t="n"/>
      <c r="V74" s="102" t="n"/>
      <c r="W74" s="102" t="n"/>
      <c r="X74" s="102" t="n"/>
      <c r="Y74" s="102" t="n"/>
      <c r="Z74" s="102" t="n"/>
      <c r="AA74" s="102" t="n"/>
      <c r="AB74" s="102" t="n"/>
      <c r="AC74" s="102" t="n"/>
      <c r="AD74" s="102" t="n"/>
    </row>
    <row r="75" ht="15.75" customHeight="1" s="205">
      <c r="A75" s="102" t="n"/>
      <c r="B75" s="142" t="n"/>
      <c r="C75" s="143" t="n"/>
      <c r="D75" s="143" t="n"/>
      <c r="E75" s="143" t="n"/>
      <c r="F75" s="143" t="n"/>
      <c r="G75" s="144" t="n"/>
      <c r="H75" s="145">
        <f>IF(K75&lt;&gt;"", HYPERLINK("https://chatgpt.com/?prompt=" &amp; SUBSTITUTE(SUBSTITUTE(K75, " ", "+"), "&amp;", "dan") &amp; "&amp;force-refresh=true&amp;timestamp=" &amp; TEXT(NOW(), "yyyymmddhhmmss"), "👉 Klik untuk Generate Script! 🔥"), "")</f>
        <v/>
      </c>
      <c r="I75" s="143" t="n"/>
      <c r="J75" s="146" t="n"/>
      <c r="K75" s="130">
        <f>IF(AND(B75&lt;&gt;"", C75&lt;&gt;"", D75&lt;&gt;"", E75&lt;&gt;"", F75&lt;&gt;"", G75&lt;&gt;"", J75&lt;&gt;"",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B75, "'.", CHAR(10),
"Konten ini memiliki pilar '", C75, "', nilai tambah utama '", F75, "', dan akan menggunakan storytelling framework '", G75, "'.", CHAR(10),
"Gambaran singkat ide kontennya adalah: '", J75, "'.", CHAR(10),
"Konten ini akan diunggah di platform '", E75, "' dengan format '", D75,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5" s="91" t="n"/>
      <c r="M75" s="91" t="n"/>
      <c r="N75" s="102" t="n"/>
      <c r="O75" s="102" t="n"/>
      <c r="P75" s="102" t="n"/>
      <c r="Q75" s="102" t="n"/>
      <c r="R75" s="102" t="n"/>
      <c r="S75" s="102" t="n"/>
      <c r="T75" s="102" t="n"/>
      <c r="U75" s="102" t="n"/>
      <c r="V75" s="102" t="n"/>
      <c r="W75" s="102" t="n"/>
      <c r="X75" s="102" t="n"/>
      <c r="Y75" s="102" t="n"/>
      <c r="Z75" s="102" t="n"/>
      <c r="AA75" s="102" t="n"/>
      <c r="AB75" s="102" t="n"/>
      <c r="AC75" s="102" t="n"/>
      <c r="AD75" s="102" t="n"/>
    </row>
    <row r="76" ht="15.75" customHeight="1" s="205">
      <c r="A76" s="102" t="n"/>
      <c r="B76" s="147" t="n"/>
      <c r="C76" s="144" t="n"/>
      <c r="D76" s="144" t="n"/>
      <c r="E76" s="144" t="n"/>
      <c r="F76" s="144" t="n"/>
      <c r="G76" s="144" t="n"/>
      <c r="H76" s="141">
        <f>IF(K76&lt;&gt;"", HYPERLINK("https://chatgpt.com/?prompt=" &amp; SUBSTITUTE(SUBSTITUTE(K76, " ", "+"), "&amp;", "dan") &amp; "&amp;force-refresh=true&amp;timestamp=" &amp; TEXT(NOW(), "yyyymmddhhmmss"), "👉 Klik untuk Generate Script! 🔥"), "")</f>
        <v/>
      </c>
      <c r="I76" s="144" t="n"/>
      <c r="J76" s="148" t="n"/>
      <c r="K76" s="140">
        <f>IF(AND(B76&lt;&gt;"", C76&lt;&gt;"", D76&lt;&gt;"", E76&lt;&gt;"", F76&lt;&gt;"", G76&lt;&gt;"", J76&lt;&gt;"",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B76, "'.", CHAR(10),
"Konten ini memiliki pilar '", C76, "', nilai tambah utama '", F76, "', dan akan menggunakan storytelling framework '", G76, "'.", CHAR(10),
"Gambaran singkat ide kontennya adalah: '", J76, "'.", CHAR(10),
"Konten ini akan diunggah di platform '", E76, "' dengan format '", D76,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6" s="199" t="n"/>
      <c r="M76" s="199" t="n"/>
      <c r="N76" s="102" t="n"/>
      <c r="O76" s="102" t="n"/>
      <c r="P76" s="102" t="n"/>
      <c r="Q76" s="102" t="n"/>
      <c r="R76" s="102" t="n"/>
      <c r="S76" s="102" t="n"/>
      <c r="T76" s="102" t="n"/>
      <c r="U76" s="102" t="n"/>
      <c r="V76" s="102" t="n"/>
      <c r="W76" s="102" t="n"/>
      <c r="X76" s="102" t="n"/>
      <c r="Y76" s="102" t="n"/>
      <c r="Z76" s="102" t="n"/>
      <c r="AA76" s="102" t="n"/>
      <c r="AB76" s="102" t="n"/>
      <c r="AC76" s="102" t="n"/>
      <c r="AD76" s="102" t="n"/>
    </row>
    <row r="77" ht="15.75" customHeight="1" s="205">
      <c r="A77" s="102" t="n"/>
      <c r="B77" s="142" t="n"/>
      <c r="C77" s="143" t="n"/>
      <c r="D77" s="143" t="n"/>
      <c r="E77" s="143" t="n"/>
      <c r="F77" s="143" t="n"/>
      <c r="G77" s="144" t="n"/>
      <c r="H77" s="145">
        <f>IF(K77&lt;&gt;"", HYPERLINK("https://chatgpt.com/?prompt=" &amp; SUBSTITUTE(SUBSTITUTE(K77, " ", "+"), "&amp;", "dan") &amp; "&amp;force-refresh=true&amp;timestamp=" &amp; TEXT(NOW(), "yyyymmddhhmmss"), "👉 Klik untuk Generate Script! 🔥"), "")</f>
        <v/>
      </c>
      <c r="I77" s="143" t="n"/>
      <c r="J77" s="146" t="n"/>
      <c r="K77" s="130">
        <f>IF(AND(B77&lt;&gt;"", C77&lt;&gt;"", D77&lt;&gt;"", E77&lt;&gt;"", F77&lt;&gt;"", G77&lt;&gt;"", J77&lt;&gt;"",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B77, "'.", CHAR(10),
"Konten ini memiliki pilar '", C77, "', nilai tambah utama '", F77, "', dan akan menggunakan storytelling framework '", G77, "'.", CHAR(10),
"Gambaran singkat ide kontennya adalah: '", J77, "'.", CHAR(10),
"Konten ini akan diunggah di platform '", E77, "' dengan format '", D77,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7" s="91" t="n"/>
      <c r="M77" s="91" t="n"/>
      <c r="N77" s="102" t="n"/>
      <c r="O77" s="102" t="n"/>
      <c r="P77" s="102" t="n"/>
      <c r="Q77" s="102" t="n"/>
      <c r="R77" s="102" t="n"/>
      <c r="S77" s="102" t="n"/>
      <c r="T77" s="102" t="n"/>
      <c r="U77" s="102" t="n"/>
      <c r="V77" s="102" t="n"/>
      <c r="W77" s="102" t="n"/>
      <c r="X77" s="102" t="n"/>
      <c r="Y77" s="102" t="n"/>
      <c r="Z77" s="102" t="n"/>
      <c r="AA77" s="102" t="n"/>
      <c r="AB77" s="102" t="n"/>
      <c r="AC77" s="102" t="n"/>
      <c r="AD77" s="102" t="n"/>
    </row>
    <row r="78" ht="15.75" customHeight="1" s="205">
      <c r="A78" s="102" t="n"/>
      <c r="B78" s="147" t="n"/>
      <c r="C78" s="144" t="n"/>
      <c r="D78" s="144" t="n"/>
      <c r="E78" s="144" t="n"/>
      <c r="F78" s="144" t="n"/>
      <c r="G78" s="144" t="n"/>
      <c r="H78" s="141">
        <f>IF(K78&lt;&gt;"", HYPERLINK("https://chatgpt.com/?prompt=" &amp; SUBSTITUTE(SUBSTITUTE(K78, " ", "+"), "&amp;", "dan") &amp; "&amp;force-refresh=true&amp;timestamp=" &amp; TEXT(NOW(), "yyyymmddhhmmss"), "👉 Klik untuk Generate Script! 🔥"), "")</f>
        <v/>
      </c>
      <c r="I78" s="144" t="n"/>
      <c r="J78" s="148" t="n"/>
      <c r="K78" s="140">
        <f>IF(AND(B78&lt;&gt;"", C78&lt;&gt;"", D78&lt;&gt;"", E78&lt;&gt;"", F78&lt;&gt;"", G78&lt;&gt;"", J78&lt;&gt;"",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B78, "'.", CHAR(10),
"Konten ini memiliki pilar '", C78, "', nilai tambah utama '", F78, "', dan akan menggunakan storytelling framework '", G78, "'.", CHAR(10),
"Gambaran singkat ide kontennya adalah: '", J78, "'.", CHAR(10),
"Konten ini akan diunggah di platform '", E78, "' dengan format '", D78,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8" s="199" t="n"/>
      <c r="M78" s="199" t="n"/>
      <c r="N78" s="102" t="n"/>
      <c r="O78" s="102" t="n"/>
      <c r="P78" s="102" t="n"/>
      <c r="Q78" s="102" t="n"/>
      <c r="R78" s="102" t="n"/>
      <c r="S78" s="102" t="n"/>
      <c r="T78" s="102" t="n"/>
      <c r="U78" s="102" t="n"/>
      <c r="V78" s="102" t="n"/>
      <c r="W78" s="102" t="n"/>
      <c r="X78" s="102" t="n"/>
      <c r="Y78" s="102" t="n"/>
      <c r="Z78" s="102" t="n"/>
      <c r="AA78" s="102" t="n"/>
      <c r="AB78" s="102" t="n"/>
      <c r="AC78" s="102" t="n"/>
      <c r="AD78" s="102" t="n"/>
    </row>
    <row r="79" ht="15.75" customHeight="1" s="205">
      <c r="A79" s="102" t="n"/>
      <c r="B79" s="142" t="n"/>
      <c r="C79" s="143" t="n"/>
      <c r="D79" s="143" t="n"/>
      <c r="E79" s="143" t="n"/>
      <c r="F79" s="143" t="n"/>
      <c r="G79" s="144" t="n"/>
      <c r="H79" s="145">
        <f>IF(K79&lt;&gt;"", HYPERLINK("https://chatgpt.com/?prompt=" &amp; SUBSTITUTE(SUBSTITUTE(K79, " ", "+"), "&amp;", "dan") &amp; "&amp;force-refresh=true&amp;timestamp=" &amp; TEXT(NOW(), "yyyymmddhhmmss"), "👉 Klik untuk Generate Script! 🔥"), "")</f>
        <v/>
      </c>
      <c r="I79" s="143" t="n"/>
      <c r="J79" s="146" t="n"/>
      <c r="K79" s="130">
        <f>IF(AND(B79&lt;&gt;"", C79&lt;&gt;"", D79&lt;&gt;"", E79&lt;&gt;"", F79&lt;&gt;"", G79&lt;&gt;"", J79&lt;&gt;"",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B79, "'.", CHAR(10),
"Konten ini memiliki pilar '", C79, "', nilai tambah utama '", F79, "', dan akan menggunakan storytelling framework '", G79, "'.", CHAR(10),
"Gambaran singkat ide kontennya adalah: '", J79, "'.", CHAR(10),
"Konten ini akan diunggah di platform '", E79, "' dengan format '", D79,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79" s="91" t="n"/>
      <c r="M79" s="91" t="n"/>
      <c r="N79" s="102" t="n"/>
      <c r="O79" s="102" t="n"/>
      <c r="P79" s="102" t="n"/>
      <c r="Q79" s="102" t="n"/>
      <c r="R79" s="102" t="n"/>
      <c r="S79" s="102" t="n"/>
      <c r="T79" s="102" t="n"/>
      <c r="U79" s="102" t="n"/>
      <c r="V79" s="102" t="n"/>
      <c r="W79" s="102" t="n"/>
      <c r="X79" s="102" t="n"/>
      <c r="Y79" s="102" t="n"/>
      <c r="Z79" s="102" t="n"/>
      <c r="AA79" s="102" t="n"/>
      <c r="AB79" s="102" t="n"/>
      <c r="AC79" s="102" t="n"/>
      <c r="AD79" s="102" t="n"/>
    </row>
    <row r="80" ht="15.75" customHeight="1" s="205">
      <c r="A80" s="102" t="n"/>
      <c r="B80" s="147" t="n"/>
      <c r="C80" s="144" t="n"/>
      <c r="D80" s="144" t="n"/>
      <c r="E80" s="144" t="n"/>
      <c r="F80" s="144" t="n"/>
      <c r="G80" s="144" t="n"/>
      <c r="H80" s="141">
        <f>IF(K80&lt;&gt;"", HYPERLINK("https://chatgpt.com/?prompt=" &amp; SUBSTITUTE(SUBSTITUTE(K80, " ", "+"), "&amp;", "dan") &amp; "&amp;force-refresh=true&amp;timestamp=" &amp; TEXT(NOW(), "yyyymmddhhmmss"), "👉 Klik untuk Generate Script! 🔥"), "")</f>
        <v/>
      </c>
      <c r="I80" s="144" t="n"/>
      <c r="J80" s="148" t="n"/>
      <c r="K80" s="140">
        <f>IF(AND(B80&lt;&gt;"", C80&lt;&gt;"", D80&lt;&gt;"", E80&lt;&gt;"", F80&lt;&gt;"", G80&lt;&gt;"", J80&lt;&gt;"",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B80, "'.", CHAR(10),
"Konten ini memiliki pilar '", C80, "', nilai tambah utama '", F80, "', dan akan menggunakan storytelling framework '", G80, "'.", CHAR(10),
"Gambaran singkat ide kontennya adalah: '", J80, "'.", CHAR(10),
"Konten ini akan diunggah di platform '", E80, "' dengan format '", D80,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0" s="199" t="n"/>
      <c r="M80" s="199" t="n"/>
      <c r="N80" s="102" t="n"/>
      <c r="O80" s="102" t="n"/>
      <c r="P80" s="102" t="n"/>
      <c r="Q80" s="102" t="n"/>
      <c r="R80" s="102" t="n"/>
      <c r="S80" s="102" t="n"/>
      <c r="T80" s="102" t="n"/>
      <c r="U80" s="102" t="n"/>
      <c r="V80" s="102" t="n"/>
      <c r="W80" s="102" t="n"/>
      <c r="X80" s="102" t="n"/>
      <c r="Y80" s="102" t="n"/>
      <c r="Z80" s="102" t="n"/>
      <c r="AA80" s="102" t="n"/>
      <c r="AB80" s="102" t="n"/>
      <c r="AC80" s="102" t="n"/>
      <c r="AD80" s="102" t="n"/>
    </row>
    <row r="81" ht="15.75" customHeight="1" s="205">
      <c r="A81" s="102" t="n"/>
      <c r="B81" s="142" t="n"/>
      <c r="C81" s="143" t="n"/>
      <c r="D81" s="143" t="n"/>
      <c r="E81" s="143" t="n"/>
      <c r="F81" s="143" t="n"/>
      <c r="G81" s="144" t="n"/>
      <c r="H81" s="145">
        <f>IF(K81&lt;&gt;"", HYPERLINK("https://chatgpt.com/?prompt=" &amp; SUBSTITUTE(SUBSTITUTE(K81, " ", "+"), "&amp;", "dan") &amp; "&amp;force-refresh=true&amp;timestamp=" &amp; TEXT(NOW(), "yyyymmddhhmmss"), "👉 Klik untuk Generate Script! 🔥"), "")</f>
        <v/>
      </c>
      <c r="I81" s="143" t="n"/>
      <c r="J81" s="146" t="n"/>
      <c r="K81" s="130">
        <f>IF(AND(B81&lt;&gt;"", C81&lt;&gt;"", D81&lt;&gt;"", E81&lt;&gt;"", F81&lt;&gt;"", G81&lt;&gt;"", J81&lt;&gt;"",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B81, "'.", CHAR(10),
"Konten ini memiliki pilar '", C81, "', nilai tambah utama '", F81, "', dan akan menggunakan storytelling framework '", G81, "'.", CHAR(10),
"Gambaran singkat ide kontennya adalah: '", J81, "'.", CHAR(10),
"Konten ini akan diunggah di platform '", E81, "' dengan format '", D81,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1" s="91" t="n"/>
      <c r="M81" s="91" t="n"/>
      <c r="N81" s="102" t="n"/>
      <c r="O81" s="102" t="n"/>
      <c r="P81" s="102" t="n"/>
      <c r="Q81" s="102" t="n"/>
      <c r="R81" s="102" t="n"/>
      <c r="S81" s="102" t="n"/>
      <c r="T81" s="102" t="n"/>
      <c r="U81" s="102" t="n"/>
      <c r="V81" s="102" t="n"/>
      <c r="W81" s="102" t="n"/>
      <c r="X81" s="102" t="n"/>
      <c r="Y81" s="102" t="n"/>
      <c r="Z81" s="102" t="n"/>
      <c r="AA81" s="102" t="n"/>
      <c r="AB81" s="102" t="n"/>
      <c r="AC81" s="102" t="n"/>
      <c r="AD81" s="102" t="n"/>
    </row>
    <row r="82" ht="15.75" customHeight="1" s="205">
      <c r="A82" s="102" t="n"/>
      <c r="B82" s="147" t="n"/>
      <c r="C82" s="144" t="n"/>
      <c r="D82" s="144" t="n"/>
      <c r="E82" s="144" t="n"/>
      <c r="F82" s="144" t="n"/>
      <c r="G82" s="144" t="n"/>
      <c r="H82" s="141">
        <f>IF(K82&lt;&gt;"", HYPERLINK("https://chatgpt.com/?prompt=" &amp; SUBSTITUTE(SUBSTITUTE(K82, " ", "+"), "&amp;", "dan") &amp; "&amp;force-refresh=true&amp;timestamp=" &amp; TEXT(NOW(), "yyyymmddhhmmss"), "👉 Klik untuk Generate Script! 🔥"), "")</f>
        <v/>
      </c>
      <c r="I82" s="144" t="n"/>
      <c r="J82" s="148" t="n"/>
      <c r="K82" s="140">
        <f>IF(AND(B82&lt;&gt;"", C82&lt;&gt;"", D82&lt;&gt;"", E82&lt;&gt;"", F82&lt;&gt;"", G82&lt;&gt;"", J82&lt;&gt;"",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B82, "'.", CHAR(10),
"Konten ini memiliki pilar '", C82, "', nilai tambah utama '", F82, "', dan akan menggunakan storytelling framework '", G82, "'.", CHAR(10),
"Gambaran singkat ide kontennya adalah: '", J82, "'.", CHAR(10),
"Konten ini akan diunggah di platform '", E82, "' dengan format '", D82,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2" s="199" t="n"/>
      <c r="M82" s="199" t="n"/>
      <c r="N82" s="102" t="n"/>
      <c r="O82" s="102" t="n"/>
      <c r="P82" s="102" t="n"/>
      <c r="Q82" s="102" t="n"/>
      <c r="R82" s="102" t="n"/>
      <c r="S82" s="102" t="n"/>
      <c r="T82" s="102" t="n"/>
      <c r="U82" s="102" t="n"/>
      <c r="V82" s="102" t="n"/>
      <c r="W82" s="102" t="n"/>
      <c r="X82" s="102" t="n"/>
      <c r="Y82" s="102" t="n"/>
      <c r="Z82" s="102" t="n"/>
      <c r="AA82" s="102" t="n"/>
      <c r="AB82" s="102" t="n"/>
      <c r="AC82" s="102" t="n"/>
      <c r="AD82" s="102" t="n"/>
    </row>
    <row r="83" ht="15.75" customHeight="1" s="205">
      <c r="A83" s="102" t="n"/>
      <c r="B83" s="142" t="n"/>
      <c r="C83" s="143" t="n"/>
      <c r="D83" s="143" t="n"/>
      <c r="E83" s="143" t="n"/>
      <c r="F83" s="143" t="n"/>
      <c r="G83" s="144" t="n"/>
      <c r="H83" s="145">
        <f>IF(K83&lt;&gt;"", HYPERLINK("https://chatgpt.com/?prompt=" &amp; SUBSTITUTE(SUBSTITUTE(K83, " ", "+"), "&amp;", "dan") &amp; "&amp;force-refresh=true&amp;timestamp=" &amp; TEXT(NOW(), "yyyymmddhhmmss"), "👉 Klik untuk Generate Script! 🔥"), "")</f>
        <v/>
      </c>
      <c r="I83" s="143" t="n"/>
      <c r="J83" s="146" t="n"/>
      <c r="K83" s="130">
        <f>IF(AND(B83&lt;&gt;"", C83&lt;&gt;"", D83&lt;&gt;"", E83&lt;&gt;"", F83&lt;&gt;"", G83&lt;&gt;"", J83&lt;&gt;"",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B83, "'.", CHAR(10),
"Konten ini memiliki pilar '", C83, "', nilai tambah utama '", F83, "', dan akan menggunakan storytelling framework '", G83, "'.", CHAR(10),
"Gambaran singkat ide kontennya adalah: '", J83, "'.", CHAR(10),
"Konten ini akan diunggah di platform '", E83, "' dengan format '", D83,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3" s="91" t="n"/>
      <c r="M83" s="91" t="n"/>
      <c r="N83" s="102" t="n"/>
      <c r="O83" s="102" t="n"/>
      <c r="P83" s="102" t="n"/>
      <c r="Q83" s="102" t="n"/>
      <c r="R83" s="102" t="n"/>
      <c r="S83" s="102" t="n"/>
      <c r="T83" s="102" t="n"/>
      <c r="U83" s="102" t="n"/>
      <c r="V83" s="102" t="n"/>
      <c r="W83" s="102" t="n"/>
      <c r="X83" s="102" t="n"/>
      <c r="Y83" s="102" t="n"/>
      <c r="Z83" s="102" t="n"/>
      <c r="AA83" s="102" t="n"/>
      <c r="AB83" s="102" t="n"/>
      <c r="AC83" s="102" t="n"/>
      <c r="AD83" s="102" t="n"/>
    </row>
    <row r="84" ht="15.75" customHeight="1" s="205">
      <c r="A84" s="102" t="n"/>
      <c r="B84" s="147" t="n"/>
      <c r="C84" s="144" t="n"/>
      <c r="D84" s="144" t="n"/>
      <c r="E84" s="144" t="n"/>
      <c r="F84" s="144" t="n"/>
      <c r="G84" s="144" t="n"/>
      <c r="H84" s="141">
        <f>IF(K84&lt;&gt;"", HYPERLINK("https://chatgpt.com/?prompt=" &amp; SUBSTITUTE(SUBSTITUTE(K84, " ", "+"), "&amp;", "dan") &amp; "&amp;force-refresh=true&amp;timestamp=" &amp; TEXT(NOW(), "yyyymmddhhmmss"), "👉 Klik untuk Generate Script! 🔥"), "")</f>
        <v/>
      </c>
      <c r="I84" s="144" t="n"/>
      <c r="J84" s="148" t="n"/>
      <c r="K84" s="140">
        <f>IF(AND(B84&lt;&gt;"", C84&lt;&gt;"", D84&lt;&gt;"", E84&lt;&gt;"", F84&lt;&gt;"", G84&lt;&gt;"", J84&lt;&gt;"",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B84, "'.", CHAR(10),
"Konten ini memiliki pilar '", C84, "', nilai tambah utama '", F84, "', dan akan menggunakan storytelling framework '", G84, "'.", CHAR(10),
"Gambaran singkat ide kontennya adalah: '", J84, "'.", CHAR(10),
"Konten ini akan diunggah di platform '", E84, "' dengan format '", D84,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4" s="199" t="n"/>
      <c r="M84" s="199" t="n"/>
      <c r="N84" s="102" t="n"/>
      <c r="O84" s="102" t="n"/>
      <c r="P84" s="102" t="n"/>
      <c r="Q84" s="102" t="n"/>
      <c r="R84" s="102" t="n"/>
      <c r="S84" s="102" t="n"/>
      <c r="T84" s="102" t="n"/>
      <c r="U84" s="102" t="n"/>
      <c r="V84" s="102" t="n"/>
      <c r="W84" s="102" t="n"/>
      <c r="X84" s="102" t="n"/>
      <c r="Y84" s="102" t="n"/>
      <c r="Z84" s="102" t="n"/>
      <c r="AA84" s="102" t="n"/>
      <c r="AB84" s="102" t="n"/>
      <c r="AC84" s="102" t="n"/>
      <c r="AD84" s="102" t="n"/>
    </row>
    <row r="85" ht="15.75" customHeight="1" s="205">
      <c r="A85" s="102" t="n"/>
      <c r="B85" s="142" t="n"/>
      <c r="C85" s="143" t="n"/>
      <c r="D85" s="143" t="n"/>
      <c r="E85" s="143" t="n"/>
      <c r="F85" s="143" t="n"/>
      <c r="G85" s="144" t="n"/>
      <c r="H85" s="150">
        <f>IF(K85&lt;&gt;"", HYPERLINK("https://chatgpt.com/?prompt=" &amp; SUBSTITUTE(SUBSTITUTE(K85, " ", "+"), "&amp;", "dan") &amp; "&amp;force-refresh=true&amp;timestamp=" &amp; TEXT(NOW(), "yyyymmddhhmmss"), "👉 Klik untuk Generate Script! 🔥"), "")</f>
        <v/>
      </c>
      <c r="I85" s="143" t="n"/>
      <c r="J85" s="146" t="n"/>
      <c r="K85" s="130">
        <f>IF(AND(B85&lt;&gt;"", C85&lt;&gt;"", D85&lt;&gt;"", E85&lt;&gt;"", F85&lt;&gt;"", G85&lt;&gt;"", J85&lt;&gt;"",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B85, "'.", CHAR(10),
"Konten ini memiliki pilar '", C85, "', nilai tambah utama '", F85, "', dan akan menggunakan storytelling framework '", G85, "'.", CHAR(10),
"Gambaran singkat ide kontennya adalah: '", J85, "'.", CHAR(10),
"Konten ini akan diunggah di platform '", E85, "' dengan format '", D85,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5" s="91" t="n"/>
      <c r="M85" s="91" t="n"/>
      <c r="N85" s="102" t="n"/>
      <c r="O85" s="102" t="n"/>
      <c r="P85" s="102" t="n"/>
      <c r="Q85" s="102" t="n"/>
      <c r="R85" s="102" t="n"/>
      <c r="S85" s="102" t="n"/>
      <c r="T85" s="102" t="n"/>
      <c r="U85" s="102" t="n"/>
      <c r="V85" s="102" t="n"/>
      <c r="W85" s="102" t="n"/>
      <c r="X85" s="102" t="n"/>
      <c r="Y85" s="102" t="n"/>
      <c r="Z85" s="102" t="n"/>
      <c r="AA85" s="102" t="n"/>
      <c r="AB85" s="102" t="n"/>
      <c r="AC85" s="102" t="n"/>
      <c r="AD85" s="102" t="n"/>
    </row>
    <row r="86" ht="15.75" customHeight="1" s="205">
      <c r="A86" s="102" t="n"/>
      <c r="B86" s="147" t="n"/>
      <c r="C86" s="144" t="n"/>
      <c r="D86" s="144" t="n"/>
      <c r="E86" s="144" t="n"/>
      <c r="F86" s="144" t="n"/>
      <c r="G86" s="144" t="n"/>
      <c r="H86" s="141">
        <f>IF(K86&lt;&gt;"", HYPERLINK("https://chatgpt.com/?prompt=" &amp; SUBSTITUTE(SUBSTITUTE(K86, " ", "+"), "&amp;", "dan") &amp; "&amp;force-refresh=true&amp;timestamp=" &amp; TEXT(NOW(), "yyyymmddhhmmss"), "👉 Klik untuk Generate Script! 🔥"), "")</f>
        <v/>
      </c>
      <c r="I86" s="144" t="n"/>
      <c r="J86" s="148" t="n"/>
      <c r="K86" s="140">
        <f>IF(AND(B86&lt;&gt;"", C86&lt;&gt;"", D86&lt;&gt;"", E86&lt;&gt;"", F86&lt;&gt;"", G86&lt;&gt;"", J86&lt;&gt;"",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B86, "'.", CHAR(10),
"Konten ini memiliki pilar '", C86, "', nilai tambah utama '", F86, "', dan akan menggunakan storytelling framework '", G86, "'.", CHAR(10),
"Gambaran singkat ide kontennya adalah: '", J86, "'.", CHAR(10),
"Konten ini akan diunggah di platform '", E86, "' dengan format '", D86,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6" s="199" t="n"/>
      <c r="M86" s="199" t="n"/>
      <c r="N86" s="102" t="n"/>
      <c r="O86" s="102" t="n"/>
      <c r="P86" s="102" t="n"/>
      <c r="Q86" s="102" t="n"/>
      <c r="R86" s="102" t="n"/>
      <c r="S86" s="102" t="n"/>
      <c r="T86" s="102" t="n"/>
      <c r="U86" s="102" t="n"/>
      <c r="V86" s="102" t="n"/>
      <c r="W86" s="102" t="n"/>
      <c r="X86" s="102" t="n"/>
      <c r="Y86" s="102" t="n"/>
      <c r="Z86" s="102" t="n"/>
      <c r="AA86" s="102" t="n"/>
      <c r="AB86" s="102" t="n"/>
      <c r="AC86" s="102" t="n"/>
      <c r="AD86" s="102" t="n"/>
    </row>
    <row r="87" ht="15.75" customHeight="1" s="205">
      <c r="A87" s="102" t="n"/>
      <c r="B87" s="142" t="n"/>
      <c r="C87" s="143" t="n"/>
      <c r="D87" s="143" t="n"/>
      <c r="E87" s="143" t="n"/>
      <c r="F87" s="143" t="n"/>
      <c r="G87" s="144" t="n"/>
      <c r="H87" s="145">
        <f>IF(K87&lt;&gt;"", HYPERLINK("https://chatgpt.com/?prompt=" &amp; SUBSTITUTE(SUBSTITUTE(K87, " ", "+"), "&amp;", "dan") &amp; "&amp;force-refresh=true&amp;timestamp=" &amp; TEXT(NOW(), "yyyymmddhhmmss"), "👉 Klik untuk Generate Script! 🔥"), "")</f>
        <v/>
      </c>
      <c r="I87" s="143" t="n"/>
      <c r="J87" s="146" t="n"/>
      <c r="K87" s="130">
        <f>IF(AND(B87&lt;&gt;"", C87&lt;&gt;"", D87&lt;&gt;"", E87&lt;&gt;"", F87&lt;&gt;"", G87&lt;&gt;"", J87&lt;&gt;"",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B87, "'.", CHAR(10),
"Konten ini memiliki pilar '", C87, "', nilai tambah utama '", F87, "', dan akan menggunakan storytelling framework '", G87, "'.", CHAR(10),
"Gambaran singkat ide kontennya adalah: '", J87, "'.", CHAR(10),
"Konten ini akan diunggah di platform '", E87, "' dengan format '", D87,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7" s="91" t="n"/>
      <c r="M87" s="91" t="n"/>
      <c r="N87" s="102" t="n"/>
      <c r="O87" s="102" t="n"/>
      <c r="P87" s="102" t="n"/>
      <c r="Q87" s="102" t="n"/>
      <c r="R87" s="102" t="n"/>
      <c r="S87" s="102" t="n"/>
      <c r="T87" s="102" t="n"/>
      <c r="U87" s="102" t="n"/>
      <c r="V87" s="102" t="n"/>
      <c r="W87" s="102" t="n"/>
      <c r="X87" s="102" t="n"/>
      <c r="Y87" s="102" t="n"/>
      <c r="Z87" s="102" t="n"/>
      <c r="AA87" s="102" t="n"/>
      <c r="AB87" s="102" t="n"/>
      <c r="AC87" s="102" t="n"/>
      <c r="AD87" s="102" t="n"/>
    </row>
    <row r="88" ht="15.75" customHeight="1" s="205">
      <c r="A88" s="102" t="n"/>
      <c r="B88" s="147" t="n"/>
      <c r="C88" s="144" t="n"/>
      <c r="D88" s="144" t="n"/>
      <c r="E88" s="144" t="n"/>
      <c r="F88" s="144" t="n"/>
      <c r="G88" s="144" t="n"/>
      <c r="H88" s="141">
        <f>IF(K88&lt;&gt;"", HYPERLINK("https://chatgpt.com/?prompt=" &amp; SUBSTITUTE(SUBSTITUTE(K88, " ", "+"), "&amp;", "dan") &amp; "&amp;force-refresh=true&amp;timestamp=" &amp; TEXT(NOW(), "yyyymmddhhmmss"), "👉 Klik untuk Generate Script! 🔥"), "")</f>
        <v/>
      </c>
      <c r="I88" s="144" t="n"/>
      <c r="J88" s="148" t="n"/>
      <c r="K88" s="140">
        <f>IF(AND(B88&lt;&gt;"", C88&lt;&gt;"", D88&lt;&gt;"", E88&lt;&gt;"", F88&lt;&gt;"", G88&lt;&gt;"", J88&lt;&gt;"",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B88, "'.", CHAR(10),
"Konten ini memiliki pilar '", C88, "', nilai tambah utama '", F88, "', dan akan menggunakan storytelling framework '", G88, "'.", CHAR(10),
"Gambaran singkat ide kontennya adalah: '", J88, "'.", CHAR(10),
"Konten ini akan diunggah di platform '", E88, "' dengan format '", D88,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8" s="199" t="n"/>
      <c r="M88" s="199" t="n"/>
      <c r="N88" s="102" t="n"/>
      <c r="O88" s="102" t="n"/>
      <c r="P88" s="102" t="n"/>
      <c r="Q88" s="102" t="n"/>
      <c r="R88" s="102" t="n"/>
      <c r="S88" s="102" t="n"/>
      <c r="T88" s="102" t="n"/>
      <c r="U88" s="102" t="n"/>
      <c r="V88" s="102" t="n"/>
      <c r="W88" s="102" t="n"/>
      <c r="X88" s="102" t="n"/>
      <c r="Y88" s="102" t="n"/>
      <c r="Z88" s="102" t="n"/>
      <c r="AA88" s="102" t="n"/>
      <c r="AB88" s="102" t="n"/>
      <c r="AC88" s="102" t="n"/>
      <c r="AD88" s="102" t="n"/>
    </row>
    <row r="89" ht="15.75" customHeight="1" s="205">
      <c r="A89" s="102" t="n"/>
      <c r="B89" s="142" t="n"/>
      <c r="C89" s="143" t="n"/>
      <c r="D89" s="143" t="n"/>
      <c r="E89" s="143" t="n"/>
      <c r="F89" s="143" t="n"/>
      <c r="G89" s="144" t="n"/>
      <c r="H89" s="145">
        <f>IF(K89&lt;&gt;"", HYPERLINK("https://chatgpt.com/?prompt=" &amp; SUBSTITUTE(SUBSTITUTE(K89, " ", "+"), "&amp;", "dan") &amp; "&amp;force-refresh=true&amp;timestamp=" &amp; TEXT(NOW(), "yyyymmddhhmmss"), "👉 Klik untuk Generate Script! 🔥"), "")</f>
        <v/>
      </c>
      <c r="I89" s="143" t="n"/>
      <c r="J89" s="146" t="n"/>
      <c r="K89" s="130">
        <f>IF(AND(B89&lt;&gt;"", C89&lt;&gt;"", D89&lt;&gt;"", E89&lt;&gt;"", F89&lt;&gt;"", G89&lt;&gt;"", J89&lt;&gt;"",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B89, "'.", CHAR(10),
"Konten ini memiliki pilar '", C89, "', nilai tambah utama '", F89, "', dan akan menggunakan storytelling framework '", G89, "'.", CHAR(10),
"Gambaran singkat ide kontennya adalah: '", J89, "'.", CHAR(10),
"Konten ini akan diunggah di platform '", E89, "' dengan format '", D89,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89" s="91" t="n"/>
      <c r="M89" s="91" t="n"/>
      <c r="N89" s="102" t="n"/>
      <c r="O89" s="102" t="n"/>
      <c r="P89" s="102" t="n"/>
      <c r="Q89" s="102" t="n"/>
      <c r="R89" s="102" t="n"/>
      <c r="S89" s="102" t="n"/>
      <c r="T89" s="102" t="n"/>
      <c r="U89" s="102" t="n"/>
      <c r="V89" s="102" t="n"/>
      <c r="W89" s="102" t="n"/>
      <c r="X89" s="102" t="n"/>
      <c r="Y89" s="102" t="n"/>
      <c r="Z89" s="102" t="n"/>
      <c r="AA89" s="102" t="n"/>
      <c r="AB89" s="102" t="n"/>
      <c r="AC89" s="102" t="n"/>
      <c r="AD89" s="102" t="n"/>
    </row>
    <row r="90" ht="15.75" customHeight="1" s="205">
      <c r="A90" s="102" t="n"/>
      <c r="B90" s="147" t="n"/>
      <c r="C90" s="144" t="n"/>
      <c r="D90" s="144" t="n"/>
      <c r="E90" s="144" t="n"/>
      <c r="F90" s="144" t="n"/>
      <c r="G90" s="144" t="n"/>
      <c r="H90" s="141">
        <f>IF(K90&lt;&gt;"", HYPERLINK("https://chatgpt.com/?prompt=" &amp; SUBSTITUTE(SUBSTITUTE(K90, " ", "+"), "&amp;", "dan") &amp; "&amp;force-refresh=true&amp;timestamp=" &amp; TEXT(NOW(), "yyyymmddhhmmss"), "👉 Klik untuk Generate Script! 🔥"), "")</f>
        <v/>
      </c>
      <c r="I90" s="144" t="n"/>
      <c r="J90" s="148" t="n"/>
      <c r="K90" s="140">
        <f>IF(AND(B90&lt;&gt;"", C90&lt;&gt;"", D90&lt;&gt;"", E90&lt;&gt;"", F90&lt;&gt;"", G90&lt;&gt;"", J90&lt;&gt;"",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B90, "'.", CHAR(10),
"Konten ini memiliki pilar '", C90, "', nilai tambah utama '", F90, "', dan akan menggunakan storytelling framework '", G90, "'.", CHAR(10),
"Gambaran singkat ide kontennya adalah: '", J90, "'.", CHAR(10),
"Konten ini akan diunggah di platform '", E90, "' dengan format '", D90,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0" s="199" t="n"/>
      <c r="M90" s="199" t="n"/>
      <c r="N90" s="102" t="n"/>
      <c r="O90" s="102" t="n"/>
      <c r="P90" s="102" t="n"/>
      <c r="Q90" s="102" t="n"/>
      <c r="R90" s="102" t="n"/>
      <c r="S90" s="102" t="n"/>
      <c r="T90" s="102" t="n"/>
      <c r="U90" s="102" t="n"/>
      <c r="V90" s="102" t="n"/>
      <c r="W90" s="102" t="n"/>
      <c r="X90" s="102" t="n"/>
      <c r="Y90" s="102" t="n"/>
      <c r="Z90" s="102" t="n"/>
      <c r="AA90" s="102" t="n"/>
      <c r="AB90" s="102" t="n"/>
      <c r="AC90" s="102" t="n"/>
      <c r="AD90" s="102" t="n"/>
    </row>
    <row r="91" ht="15.75" customHeight="1" s="205">
      <c r="A91" s="102" t="n"/>
      <c r="B91" s="142" t="n"/>
      <c r="C91" s="143" t="n"/>
      <c r="D91" s="143" t="n"/>
      <c r="E91" s="143" t="n"/>
      <c r="F91" s="143" t="n"/>
      <c r="G91" s="144" t="n"/>
      <c r="H91" s="145">
        <f>IF(K91&lt;&gt;"", HYPERLINK("https://chatgpt.com/?prompt=" &amp; SUBSTITUTE(SUBSTITUTE(K91, " ", "+"), "&amp;", "dan") &amp; "&amp;force-refresh=true&amp;timestamp=" &amp; TEXT(NOW(), "yyyymmddhhmmss"), "👉 Klik untuk Generate Script! 🔥"), "")</f>
        <v/>
      </c>
      <c r="I91" s="143" t="n"/>
      <c r="J91" s="146" t="n"/>
      <c r="K91" s="130">
        <f>IF(AND(B91&lt;&gt;"", C91&lt;&gt;"", D91&lt;&gt;"", E91&lt;&gt;"", F91&lt;&gt;"", G91&lt;&gt;"", J91&lt;&gt;"",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B91, "'.", CHAR(10),
"Konten ini memiliki pilar '", C91, "', nilai tambah utama '", F91, "', dan akan menggunakan storytelling framework '", G91, "'.", CHAR(10),
"Gambaran singkat ide kontennya adalah: '", J91, "'.", CHAR(10),
"Konten ini akan diunggah di platform '", E91, "' dengan format '", D91,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1" s="91" t="n"/>
      <c r="M91" s="91" t="n"/>
      <c r="N91" s="102" t="n"/>
      <c r="O91" s="102" t="n"/>
      <c r="P91" s="102" t="n"/>
      <c r="Q91" s="102" t="n"/>
      <c r="R91" s="102" t="n"/>
      <c r="S91" s="102" t="n"/>
      <c r="T91" s="102" t="n"/>
      <c r="U91" s="102" t="n"/>
      <c r="V91" s="102" t="n"/>
      <c r="W91" s="102" t="n"/>
      <c r="X91" s="102" t="n"/>
      <c r="Y91" s="102" t="n"/>
      <c r="Z91" s="102" t="n"/>
      <c r="AA91" s="102" t="n"/>
      <c r="AB91" s="102" t="n"/>
      <c r="AC91" s="102" t="n"/>
      <c r="AD91" s="102" t="n"/>
    </row>
    <row r="92" ht="15.75" customHeight="1" s="205">
      <c r="A92" s="102" t="n"/>
      <c r="B92" s="147" t="n"/>
      <c r="C92" s="144" t="n"/>
      <c r="D92" s="144" t="n"/>
      <c r="E92" s="144" t="n"/>
      <c r="F92" s="144" t="n"/>
      <c r="G92" s="144" t="n"/>
      <c r="H92" s="141">
        <f>IF(K92&lt;&gt;"", HYPERLINK("https://chatgpt.com/?prompt=" &amp; SUBSTITUTE(SUBSTITUTE(K92, " ", "+"), "&amp;", "dan") &amp; "&amp;force-refresh=true&amp;timestamp=" &amp; TEXT(NOW(), "yyyymmddhhmmss"), "👉 Klik untuk Generate Script! 🔥"), "")</f>
        <v/>
      </c>
      <c r="I92" s="144" t="n"/>
      <c r="J92" s="148" t="n"/>
      <c r="K92" s="140">
        <f>IF(AND(B92&lt;&gt;"", C92&lt;&gt;"", D92&lt;&gt;"", E92&lt;&gt;"", F92&lt;&gt;"", G92&lt;&gt;"", J92&lt;&gt;"",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B92, "'.", CHAR(10),
"Konten ini memiliki pilar '", C92, "', nilai tambah utama '", F92, "', dan akan menggunakan storytelling framework '", G92, "'.", CHAR(10),
"Gambaran singkat ide kontennya adalah: '", J92, "'.", CHAR(10),
"Konten ini akan diunggah di platform '", E92, "' dengan format '", D92,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2" s="199" t="n"/>
      <c r="M92" s="199" t="n"/>
      <c r="N92" s="102" t="n"/>
      <c r="O92" s="102" t="n"/>
      <c r="P92" s="102" t="n"/>
      <c r="Q92" s="102" t="n"/>
      <c r="R92" s="102" t="n"/>
      <c r="S92" s="102" t="n"/>
      <c r="T92" s="102" t="n"/>
      <c r="U92" s="102" t="n"/>
      <c r="V92" s="102" t="n"/>
      <c r="W92" s="102" t="n"/>
      <c r="X92" s="102" t="n"/>
      <c r="Y92" s="102" t="n"/>
      <c r="Z92" s="102" t="n"/>
      <c r="AA92" s="102" t="n"/>
      <c r="AB92" s="102" t="n"/>
      <c r="AC92" s="102" t="n"/>
      <c r="AD92" s="102" t="n"/>
    </row>
    <row r="93" ht="15.75" customHeight="1" s="205">
      <c r="A93" s="102" t="n"/>
      <c r="B93" s="142" t="n"/>
      <c r="C93" s="143" t="n"/>
      <c r="D93" s="143" t="n"/>
      <c r="E93" s="143" t="n"/>
      <c r="F93" s="143" t="n"/>
      <c r="G93" s="144" t="n"/>
      <c r="H93" s="145">
        <f>IF(K93&lt;&gt;"", HYPERLINK("https://chatgpt.com/?prompt=" &amp; SUBSTITUTE(SUBSTITUTE(K93, " ", "+"), "&amp;", "dan") &amp; "&amp;force-refresh=true&amp;timestamp=" &amp; TEXT(NOW(), "yyyymmddhhmmss"), "👉 Klik untuk Generate Script! 🔥"), "")</f>
        <v/>
      </c>
      <c r="I93" s="143" t="n"/>
      <c r="J93" s="146" t="n"/>
      <c r="K93" s="130">
        <f>IF(AND(B93&lt;&gt;"", C93&lt;&gt;"", D93&lt;&gt;"", E93&lt;&gt;"", F93&lt;&gt;"", G93&lt;&gt;"", J93&lt;&gt;"",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B93, "'.", CHAR(10),
"Konten ini memiliki pilar '", C93, "', nilai tambah utama '", F93, "', dan akan menggunakan storytelling framework '", G93, "'.", CHAR(10),
"Gambaran singkat ide kontennya adalah: '", J93, "'.", CHAR(10),
"Konten ini akan diunggah di platform '", E93, "' dengan format '", D93,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3" s="91" t="n"/>
      <c r="M93" s="91" t="n"/>
      <c r="N93" s="102" t="n"/>
      <c r="O93" s="102" t="n"/>
      <c r="P93" s="102" t="n"/>
      <c r="Q93" s="102" t="n"/>
      <c r="R93" s="102" t="n"/>
      <c r="S93" s="102" t="n"/>
      <c r="T93" s="102" t="n"/>
      <c r="U93" s="102" t="n"/>
      <c r="V93" s="102" t="n"/>
      <c r="W93" s="102" t="n"/>
      <c r="X93" s="102" t="n"/>
      <c r="Y93" s="102" t="n"/>
      <c r="Z93" s="102" t="n"/>
      <c r="AA93" s="102" t="n"/>
      <c r="AB93" s="102" t="n"/>
      <c r="AC93" s="102" t="n"/>
      <c r="AD93" s="102" t="n"/>
    </row>
    <row r="94" ht="15.75" customHeight="1" s="205">
      <c r="A94" s="102" t="n"/>
      <c r="B94" s="147" t="n"/>
      <c r="C94" s="144" t="n"/>
      <c r="D94" s="144" t="n"/>
      <c r="E94" s="144" t="n"/>
      <c r="F94" s="144" t="n"/>
      <c r="G94" s="144" t="n"/>
      <c r="H94" s="141">
        <f>IF(K94&lt;&gt;"", HYPERLINK("https://chatgpt.com/?prompt=" &amp; SUBSTITUTE(SUBSTITUTE(K94, " ", "+"), "&amp;", "dan") &amp; "&amp;force-refresh=true&amp;timestamp=" &amp; TEXT(NOW(), "yyyymmddhhmmss"), "👉 Klik untuk Generate Script! 🔥"), "")</f>
        <v/>
      </c>
      <c r="I94" s="144" t="n"/>
      <c r="J94" s="148" t="n"/>
      <c r="K94" s="140">
        <f>IF(AND(B94&lt;&gt;"", C94&lt;&gt;"", D94&lt;&gt;"", E94&lt;&gt;"", F94&lt;&gt;"", G94&lt;&gt;"", J94&lt;&gt;"",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B94, "'.", CHAR(10),
"Konten ini memiliki pilar '", C94, "', nilai tambah utama '", F94, "', dan akan menggunakan storytelling framework '", G94, "'.", CHAR(10),
"Gambaran singkat ide kontennya adalah: '", J94, "'.", CHAR(10),
"Konten ini akan diunggah di platform '", E94, "' dengan format '", D94,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4" s="199" t="n"/>
      <c r="M94" s="199" t="n"/>
      <c r="N94" s="102" t="n"/>
      <c r="O94" s="102" t="n"/>
      <c r="P94" s="102" t="n"/>
      <c r="Q94" s="102" t="n"/>
      <c r="R94" s="102" t="n"/>
      <c r="S94" s="102" t="n"/>
      <c r="T94" s="102" t="n"/>
      <c r="U94" s="102" t="n"/>
      <c r="V94" s="102" t="n"/>
      <c r="W94" s="102" t="n"/>
      <c r="X94" s="102" t="n"/>
      <c r="Y94" s="102" t="n"/>
      <c r="Z94" s="102" t="n"/>
      <c r="AA94" s="102" t="n"/>
      <c r="AB94" s="102" t="n"/>
      <c r="AC94" s="102" t="n"/>
      <c r="AD94" s="102" t="n"/>
    </row>
    <row r="95" ht="15.75" customHeight="1" s="205">
      <c r="A95" s="102" t="n"/>
      <c r="B95" s="142" t="n"/>
      <c r="C95" s="143" t="n"/>
      <c r="D95" s="143" t="n"/>
      <c r="E95" s="143" t="n"/>
      <c r="F95" s="143" t="n"/>
      <c r="G95" s="144" t="n"/>
      <c r="H95" s="145">
        <f>IF(K95&lt;&gt;"", HYPERLINK("https://chatgpt.com/?prompt=" &amp; SUBSTITUTE(SUBSTITUTE(K95, " ", "+"), "&amp;", "dan") &amp; "&amp;force-refresh=true&amp;timestamp=" &amp; TEXT(NOW(), "yyyymmddhhmmss"), "👉 Klik untuk Generate Script! 🔥"), "")</f>
        <v/>
      </c>
      <c r="I95" s="143" t="n"/>
      <c r="J95" s="146" t="n"/>
      <c r="K95" s="130">
        <f>IF(AND(B95&lt;&gt;"", C95&lt;&gt;"", D95&lt;&gt;"", E95&lt;&gt;"", F95&lt;&gt;"", G95&lt;&gt;"", J95&lt;&gt;"",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B95, "'.", CHAR(10),
"Konten ini memiliki pilar '", C95, "', nilai tambah utama '", F95, "', dan akan menggunakan storytelling framework '", G95, "'.", CHAR(10),
"Gambaran singkat ide kontennya adalah: '", J95, "'.", CHAR(10),
"Konten ini akan diunggah di platform '", E95, "' dengan format '", D95,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5" s="91" t="n"/>
      <c r="M95" s="91" t="n"/>
      <c r="N95" s="102" t="n"/>
      <c r="O95" s="102" t="n"/>
      <c r="P95" s="102" t="n"/>
      <c r="Q95" s="102" t="n"/>
      <c r="R95" s="102" t="n"/>
      <c r="S95" s="102" t="n"/>
      <c r="T95" s="102" t="n"/>
      <c r="U95" s="102" t="n"/>
      <c r="V95" s="102" t="n"/>
      <c r="W95" s="102" t="n"/>
      <c r="X95" s="102" t="n"/>
      <c r="Y95" s="102" t="n"/>
      <c r="Z95" s="102" t="n"/>
      <c r="AA95" s="102" t="n"/>
      <c r="AB95" s="102" t="n"/>
      <c r="AC95" s="102" t="n"/>
      <c r="AD95" s="102" t="n"/>
    </row>
    <row r="96" ht="15.75" customHeight="1" s="205">
      <c r="A96" s="102" t="n"/>
      <c r="B96" s="147" t="n"/>
      <c r="C96" s="144" t="n"/>
      <c r="D96" s="144" t="n"/>
      <c r="E96" s="144" t="n"/>
      <c r="F96" s="144" t="n"/>
      <c r="G96" s="144" t="n"/>
      <c r="H96" s="141">
        <f>IF(K96&lt;&gt;"", HYPERLINK("https://chatgpt.com/?prompt=" &amp; SUBSTITUTE(SUBSTITUTE(K96, " ", "+"), "&amp;", "dan") &amp; "&amp;force-refresh=true&amp;timestamp=" &amp; TEXT(NOW(), "yyyymmddhhmmss"), "👉 Klik untuk Generate Script! 🔥"), "")</f>
        <v/>
      </c>
      <c r="I96" s="144" t="n"/>
      <c r="J96" s="148" t="n"/>
      <c r="K96" s="140">
        <f>IF(AND(B96&lt;&gt;"", C96&lt;&gt;"", D96&lt;&gt;"", E96&lt;&gt;"", F96&lt;&gt;"", G96&lt;&gt;"", J96&lt;&gt;"",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B96, "'.", CHAR(10),
"Konten ini memiliki pilar '", C96, "', nilai tambah utama '", F96, "', dan akan menggunakan storytelling framework '", G96, "'.", CHAR(10),
"Gambaran singkat ide kontennya adalah: '", J96, "'.", CHAR(10),
"Konten ini akan diunggah di platform '", E96, "' dengan format '", D96,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6" s="199" t="n"/>
      <c r="M96" s="199" t="n"/>
      <c r="N96" s="102" t="n"/>
      <c r="O96" s="102" t="n"/>
      <c r="P96" s="102" t="n"/>
      <c r="Q96" s="102" t="n"/>
      <c r="R96" s="102" t="n"/>
      <c r="S96" s="102" t="n"/>
      <c r="T96" s="102" t="n"/>
      <c r="U96" s="102" t="n"/>
      <c r="V96" s="102" t="n"/>
      <c r="W96" s="102" t="n"/>
      <c r="X96" s="102" t="n"/>
      <c r="Y96" s="102" t="n"/>
      <c r="Z96" s="102" t="n"/>
      <c r="AA96" s="102" t="n"/>
      <c r="AB96" s="102" t="n"/>
      <c r="AC96" s="102" t="n"/>
      <c r="AD96" s="102" t="n"/>
    </row>
    <row r="97" ht="15.75" customHeight="1" s="205">
      <c r="A97" s="102" t="n"/>
      <c r="B97" s="142" t="n"/>
      <c r="C97" s="143" t="n"/>
      <c r="D97" s="143" t="n"/>
      <c r="E97" s="143" t="n"/>
      <c r="F97" s="143" t="n"/>
      <c r="G97" s="144" t="n"/>
      <c r="H97" s="145">
        <f>IF(K97&lt;&gt;"", HYPERLINK("https://chatgpt.com/?prompt=" &amp; SUBSTITUTE(SUBSTITUTE(K97, " ", "+"), "&amp;", "dan") &amp; "&amp;force-refresh=true&amp;timestamp=" &amp; TEXT(NOW(), "yyyymmddhhmmss"), "👉 Klik untuk Generate Script! 🔥"), "")</f>
        <v/>
      </c>
      <c r="I97" s="143" t="n"/>
      <c r="J97" s="146" t="n"/>
      <c r="K97" s="130">
        <f>IF(AND(B97&lt;&gt;"", C97&lt;&gt;"", D97&lt;&gt;"", E97&lt;&gt;"", F97&lt;&gt;"", G97&lt;&gt;"", J97&lt;&gt;"",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B97, "'.", CHAR(10),
"Konten ini memiliki pilar '", C97, "', nilai tambah utama '", F97, "', dan akan menggunakan storytelling framework '", G97, "'.", CHAR(10),
"Gambaran singkat ide kontennya adalah: '", J97, "'.", CHAR(10),
"Konten ini akan diunggah di platform '", E97, "' dengan format '", D97,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7" s="91" t="n"/>
      <c r="M97" s="91" t="n"/>
      <c r="N97" s="102" t="n"/>
      <c r="O97" s="102" t="n"/>
      <c r="P97" s="102" t="n"/>
      <c r="Q97" s="102" t="n"/>
      <c r="R97" s="102" t="n"/>
      <c r="S97" s="102" t="n"/>
      <c r="T97" s="102" t="n"/>
      <c r="U97" s="102" t="n"/>
      <c r="V97" s="102" t="n"/>
      <c r="W97" s="102" t="n"/>
      <c r="X97" s="102" t="n"/>
      <c r="Y97" s="102" t="n"/>
      <c r="Z97" s="102" t="n"/>
      <c r="AA97" s="102" t="n"/>
      <c r="AB97" s="102" t="n"/>
      <c r="AC97" s="102" t="n"/>
      <c r="AD97" s="102" t="n"/>
    </row>
    <row r="98" ht="15.75" customHeight="1" s="205">
      <c r="A98" s="102" t="n"/>
      <c r="B98" s="147" t="n"/>
      <c r="C98" s="144" t="n"/>
      <c r="D98" s="144" t="n"/>
      <c r="E98" s="144" t="n"/>
      <c r="F98" s="144" t="n"/>
      <c r="G98" s="144" t="n"/>
      <c r="H98" s="141">
        <f>IF(K98&lt;&gt;"", HYPERLINK("https://chatgpt.com/?prompt=" &amp; SUBSTITUTE(SUBSTITUTE(K98, " ", "+"), "&amp;", "dan") &amp; "&amp;force-refresh=true&amp;timestamp=" &amp; TEXT(NOW(), "yyyymmddhhmmss"), "👉 Klik untuk Generate Script! 🔥"), "")</f>
        <v/>
      </c>
      <c r="I98" s="144" t="n"/>
      <c r="J98" s="148" t="n"/>
      <c r="K98" s="140">
        <f>IF(AND(B98&lt;&gt;"", C98&lt;&gt;"", D98&lt;&gt;"", E98&lt;&gt;"", F98&lt;&gt;"", G98&lt;&gt;"", J98&lt;&gt;"",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B98, "'.", CHAR(10),
"Konten ini memiliki pilar '", C98, "', nilai tambah utama '", F98, "', dan akan menggunakan storytelling framework '", G98, "'.", CHAR(10),
"Gambaran singkat ide kontennya adalah: '", J98, "'.", CHAR(10),
"Konten ini akan diunggah di platform '", E98, "' dengan format '", D98,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8" s="199" t="n"/>
      <c r="M98" s="199" t="n"/>
      <c r="N98" s="102" t="n"/>
      <c r="O98" s="102" t="n"/>
      <c r="P98" s="102" t="n"/>
      <c r="Q98" s="102" t="n"/>
      <c r="R98" s="102" t="n"/>
      <c r="S98" s="102" t="n"/>
      <c r="T98" s="102" t="n"/>
      <c r="U98" s="102" t="n"/>
      <c r="V98" s="102" t="n"/>
      <c r="W98" s="102" t="n"/>
      <c r="X98" s="102" t="n"/>
      <c r="Y98" s="102" t="n"/>
      <c r="Z98" s="102" t="n"/>
      <c r="AA98" s="102" t="n"/>
      <c r="AB98" s="102" t="n"/>
      <c r="AC98" s="102" t="n"/>
      <c r="AD98" s="102" t="n"/>
    </row>
    <row r="99" ht="15.75" customHeight="1" s="205">
      <c r="A99" s="102" t="n"/>
      <c r="B99" s="142" t="n"/>
      <c r="C99" s="143" t="n"/>
      <c r="D99" s="143" t="n"/>
      <c r="E99" s="143" t="n"/>
      <c r="F99" s="143" t="n"/>
      <c r="G99" s="144" t="n"/>
      <c r="H99" s="145">
        <f>IF(K99&lt;&gt;"", HYPERLINK("https://chatgpt.com/?prompt=" &amp; SUBSTITUTE(SUBSTITUTE(K99, " ", "+"), "&amp;", "dan") &amp; "&amp;force-refresh=true&amp;timestamp=" &amp; TEXT(NOW(), "yyyymmddhhmmss"), "👉 Klik untuk Generate Script! 🔥"), "")</f>
        <v/>
      </c>
      <c r="I99" s="143" t="n"/>
      <c r="J99" s="146" t="n"/>
      <c r="K99" s="130">
        <f>IF(AND(B99&lt;&gt;"", C99&lt;&gt;"", D99&lt;&gt;"", E99&lt;&gt;"", F99&lt;&gt;"", G99&lt;&gt;"", J99&lt;&gt;"",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B99, "'.", CHAR(10),
"Konten ini memiliki pilar '", C99, "', nilai tambah utama '", F99, "', dan akan menggunakan storytelling framework '", G99, "'.", CHAR(10),
"Gambaran singkat ide kontennya adalah: '", J99, "'.", CHAR(10),
"Konten ini akan diunggah di platform '", E99, "' dengan format '", D99,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99" s="91" t="n"/>
      <c r="M99" s="91" t="n"/>
      <c r="N99" s="102" t="n"/>
      <c r="O99" s="102" t="n"/>
      <c r="P99" s="102" t="n"/>
      <c r="Q99" s="102" t="n"/>
      <c r="R99" s="102" t="n"/>
      <c r="S99" s="102" t="n"/>
      <c r="T99" s="102" t="n"/>
      <c r="U99" s="102" t="n"/>
      <c r="V99" s="102" t="n"/>
      <c r="W99" s="102" t="n"/>
      <c r="X99" s="102" t="n"/>
      <c r="Y99" s="102" t="n"/>
      <c r="Z99" s="102" t="n"/>
      <c r="AA99" s="102" t="n"/>
      <c r="AB99" s="102" t="n"/>
      <c r="AC99" s="102" t="n"/>
      <c r="AD99" s="102" t="n"/>
    </row>
    <row r="100" ht="15.75" customHeight="1" s="205">
      <c r="A100" s="102" t="n"/>
      <c r="B100" s="147" t="n"/>
      <c r="C100" s="144" t="n"/>
      <c r="D100" s="144" t="n"/>
      <c r="E100" s="144" t="n"/>
      <c r="F100" s="144" t="n"/>
      <c r="G100" s="144" t="n"/>
      <c r="H100" s="141">
        <f>IF(K100&lt;&gt;"", HYPERLINK("https://chatgpt.com/?prompt=" &amp; SUBSTITUTE(SUBSTITUTE(K100, " ", "+"), "&amp;", "dan") &amp; "&amp;force-refresh=true&amp;timestamp=" &amp; TEXT(NOW(), "yyyymmddhhmmss"), "👉 Klik untuk Generate Script! 🔥"), "")</f>
        <v/>
      </c>
      <c r="I100" s="144" t="n"/>
      <c r="J100" s="148" t="n"/>
      <c r="K100" s="140">
        <f>IF(AND(B100&lt;&gt;"", C100&lt;&gt;"", D100&lt;&gt;"", E100&lt;&gt;"", F100&lt;&gt;"", G100&lt;&gt;"", J100&lt;&gt;"", 'CONTENT PILLAR MAPPING'!C2&lt;&gt;"", 'CONTENT PILLAR MAPPING'!E2&lt;&gt;"", 'CONTENT PILLAR MAPPING'!F2&lt;&gt;"", 'CONTENT PILLAR MAPPING'!C5&lt;&gt;"", 'CONTENT PILLAR MAPPING'!C10&lt;&gt;"", 'CONTENT PILLAR MAPPING'!D10&lt;&gt;"", 'CONTENT PILLAR MAPPING'!E10&lt;&gt;"", 'CONTENT PILLAR MAPPING'!D18&lt;&gt;"", 'CONTENT PILLAR MAPPING'!D19&lt;&gt;""),
CONCATENATE(
"Sebagai seorang top konten kreator dengan niche utama '", 'CONTENT PILLAR MAPPING'!C2, "', spesifik kategori '", 'CONTENT PILLAR MAPPING'!E2, "', dan super spesifik '", 'CONTENT PILLAR MAPPING'!F2, "', yang dikenal sebagai '", 'CONTENT PILLAR MAPPING'!C5, "'.", CHAR(10),
"Saya memiliki Tone of Voice: '", 'CONTENT PILLAR MAPPING'!C10, "', Brand Archetype: '", 'CONTENT PILLAR MAPPING'!D10, "', dan Deskripsi Gaya Komunikasi: '", 'CONTENT PILLAR MAPPING'!E10, "'.", CHAR(10),
"Target audiens saya adalah: '", 'CONTENT PILLAR MAPPING'!D18, "', dengan segmentasi audiens: '", 'CONTENT PILLAR MAPPING'!D19, "'.", CHAR(10), CHAR(10),
"Mohon buatkan script konten yang **sangat powerful, menarik, inovatif, dan siap pakai** dengan judul ide '", B100, "'.", CHAR(10),
"Konten ini memiliki pilar '", C100, "', nilai tambah utama '", F100, "', dan akan menggunakan storytelling framework '", G100, "'.", CHAR(10),
"Gambaran singkat ide kontennya adalah: '", J100, "'.", CHAR(10),
"Konten ini akan diunggah di platform '", E100, "' dengan format '", D100,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 "'.** Sesuaikan dengan gaya komunikasi saya, dengan fokus pada nilai tambah '", F100,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 ", khusus ", 'CONTENT PILLAR MAPPING'!D19, ") dan membantu mereka menyelesaikan masalah atau mencapai tujuan mereka.", CHAR(10),
"✔ Membantuku membangun personal branding yang kuat dan sustainable, sesuai dengan Positioning saya sebagai '", 'CONTENT PILLAR MAPPING'!C5, "' dan Brand Archetype '", 'CONTENT PILLAR MAPPING'!D10, "'.", CHAR(10),
"✔ Kemas dalam bentuk tabel agar rapi, mudah di baca dan dipahami, dengan kolom 'Judul Konten', 'Pilar', 'Format', 'Draft Script', 'CTA', 'Saran Visual', dan 'Full Caption'. (Kosongkan kolom Link Prompt jika ada)."
),
"")</f>
        <v/>
      </c>
      <c r="L100" s="199" t="n"/>
      <c r="M100" s="199" t="n"/>
      <c r="N100" s="102" t="n"/>
      <c r="O100" s="102" t="n"/>
      <c r="P100" s="102" t="n"/>
      <c r="Q100" s="102" t="n"/>
      <c r="R100" s="102" t="n"/>
      <c r="S100" s="102" t="n"/>
      <c r="T100" s="102" t="n"/>
      <c r="U100" s="102" t="n"/>
      <c r="V100" s="102" t="n"/>
      <c r="W100" s="102" t="n"/>
      <c r="X100" s="102" t="n"/>
      <c r="Y100" s="102" t="n"/>
      <c r="Z100" s="102" t="n"/>
      <c r="AA100" s="102" t="n"/>
      <c r="AB100" s="102" t="n"/>
      <c r="AC100" s="102" t="n"/>
      <c r="AD100" s="102" t="n"/>
    </row>
    <row r="101" ht="15.75" customHeight="1" s="205">
      <c r="A101" s="102" t="n"/>
      <c r="B101" s="142" t="n"/>
      <c r="C101" s="143" t="n"/>
      <c r="D101" s="143" t="n"/>
      <c r="E101" s="143" t="n"/>
      <c r="F101" s="143" t="n"/>
      <c r="G101" s="144" t="n"/>
      <c r="H101" s="145">
        <f>IF(K101&lt;&gt;"", HYPERLINK("https://chatgpt.com/?prompt=" &amp; SUBSTITUTE(SUBSTITUTE(K101, " ", "+"), "&amp;", "dan") &amp; "&amp;force-refresh=true&amp;timestamp=" &amp; TEXT(NOW(), "yyyymmddhhmmss"), "👉 Klik untuk Generate Script! 🔥"), "")</f>
        <v/>
      </c>
      <c r="I101" s="143" t="n"/>
      <c r="J101" s="146" t="n"/>
      <c r="K101" s="130">
        <f>IF(AND(B101&lt;&gt;"", C101&lt;&gt;"", D101&lt;&gt;"", E101&lt;&gt;"", F101&lt;&gt;"", G101&lt;&gt;"", J101&lt;&gt;"", 'CONTENT PILLAR MAPPING'!C4&lt;&gt;"", 'CONTENT PILLAR MAPPING'!E4&lt;&gt;"", 'CONTENT PILLAR MAPPING'!F4&lt;&gt;"", 'CONTENT PILLAR MAPPING'!C7&lt;&gt;"", 'CONTENT PILLAR MAPPING'!C12&lt;&gt;"", 'CONTENT PILLAR MAPPING'!D12&lt;&gt;"", 'CONTENT PILLAR MAPPING'!E12&lt;&gt;"", 'CONTENT PILLAR MAPPING'!D20&lt;&gt;"", 'CONTENT PILLAR MAPPING'!D21&lt;&gt;""),
CONCATENATE(
"Sebagai seorang top konten kreator dengan niche utama '", 'CONTENT PILLAR MAPPING'!C4, "', spesifik kategori '", 'CONTENT PILLAR MAPPING'!E4, "', dan super spesifik '", 'CONTENT PILLAR MAPPING'!F4, "', yang dikenal sebagai '", 'CONTENT PILLAR MAPPING'!C7, "'.", CHAR(10),
"Saya memiliki Tone of Voice: '", 'CONTENT PILLAR MAPPING'!C12, "', Brand Archetype: '", 'CONTENT PILLAR MAPPING'!D12, "', dan Deskripsi Gaya Komunikasi: '", 'CONTENT PILLAR MAPPING'!E12, "'.", CHAR(10),
"Target audiens saya adalah: '", 'CONTENT PILLAR MAPPING'!D20, "', dengan segmentasi audiens: '", 'CONTENT PILLAR MAPPING'!D21, "'.", CHAR(10), CHAR(10),
"Mohon buatkan script konten yang **sangat powerful, menarik, inovatif, dan siap pakai** dengan judul ide '", B101, "'.", CHAR(10),
"Konten ini memiliki pilar '", C101, "', nilai tambah utama '", F101, "', dan akan menggunakan storytelling framework '", G101, "'.", CHAR(10),
"Gambaran singkat ide kontennya adalah: '", J101, "'.", CHAR(10),
"Konten ini akan diunggah di platform '", E101, "' dengan format '", D101,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 "'.** Sesuaikan dengan gaya komunikasi saya, dengan fokus pada nilai tambah '", F101,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 ", khusus ", 'CONTENT PILLAR MAPPING'!D21, ") dan membantu mereka menyelesaikan masalah atau mencapai tujuan mereka.", CHAR(10),
"✔ Membantuku membangun personal branding yang kuat dan sustainable, sesuai dengan Positioning saya sebagai '", 'CONTENT PILLAR MAPPING'!C7, "' dan Brand Archetype '", 'CONTENT PILLAR MAPPING'!D12, "'.", CHAR(10),
"✔ Kemas dalam bentuk tabel agar rapi, mudah di baca dan dipahami, dengan kolom 'Judul Konten', 'Pilar', 'Format', 'Draft Script', 'CTA', 'Saran Visual', dan 'Full Caption'. (Kosongkan kolom Link Prompt jika ada)."
),
"")</f>
        <v/>
      </c>
      <c r="L101" s="91" t="n"/>
      <c r="M101" s="91" t="n"/>
      <c r="N101" s="102" t="n"/>
      <c r="O101" s="102" t="n"/>
      <c r="P101" s="102" t="n"/>
      <c r="Q101" s="102" t="n"/>
      <c r="R101" s="102" t="n"/>
      <c r="S101" s="102" t="n"/>
      <c r="T101" s="102" t="n"/>
      <c r="U101" s="102" t="n"/>
      <c r="V101" s="102" t="n"/>
      <c r="W101" s="102" t="n"/>
      <c r="X101" s="102" t="n"/>
      <c r="Y101" s="102" t="n"/>
      <c r="Z101" s="102" t="n"/>
      <c r="AA101" s="102" t="n"/>
      <c r="AB101" s="102" t="n"/>
      <c r="AC101" s="102" t="n"/>
      <c r="AD101" s="102" t="n"/>
    </row>
    <row r="102" ht="15.75" customHeight="1" s="205">
      <c r="A102" s="102" t="n"/>
      <c r="B102" s="147" t="n"/>
      <c r="C102" s="144" t="n"/>
      <c r="D102" s="144" t="n"/>
      <c r="E102" s="144" t="n"/>
      <c r="F102" s="144" t="n"/>
      <c r="G102" s="144" t="n"/>
      <c r="H102" s="141">
        <f>IF(K102&lt;&gt;"", HYPERLINK("https://chatgpt.com/?prompt=" &amp; SUBSTITUTE(SUBSTITUTE(K102, " ", "+"), "&amp;", "dan") &amp; "&amp;force-refresh=true&amp;timestamp=" &amp; TEXT(NOW(), "yyyymmddhhmmss"), "👉 Klik untuk Generate Script! 🔥"), "")</f>
        <v/>
      </c>
      <c r="I102" s="144" t="n"/>
      <c r="J102" s="148" t="n"/>
      <c r="K102" s="140">
        <f>IF(AND(B102&lt;&gt;"", C102&lt;&gt;"", D102&lt;&gt;"", E102&lt;&gt;"", F102&lt;&gt;"", G102&lt;&gt;"", J102&lt;&gt;"", 'CONTENT PILLAR MAPPING'!C4&lt;&gt;"", 'CONTENT PILLAR MAPPING'!E4&lt;&gt;"", 'CONTENT PILLAR MAPPING'!F4&lt;&gt;"", 'CONTENT PILLAR MAPPING'!C7&lt;&gt;"", 'CONTENT PILLAR MAPPING'!C12&lt;&gt;"", 'CONTENT PILLAR MAPPING'!D12&lt;&gt;"", 'CONTENT PILLAR MAPPING'!E12&lt;&gt;"", 'CONTENT PILLAR MAPPING'!D20&lt;&gt;"", 'CONTENT PILLAR MAPPING'!D21&lt;&gt;""),
CONCATENATE(
"Sebagai seorang top konten kreator dengan niche utama '", 'CONTENT PILLAR MAPPING'!C4, "', spesifik kategori '", 'CONTENT PILLAR MAPPING'!E4, "', dan super spesifik '", 'CONTENT PILLAR MAPPING'!F4, "', yang dikenal sebagai '", 'CONTENT PILLAR MAPPING'!C7, "'.", CHAR(10),
"Saya memiliki Tone of Voice: '", 'CONTENT PILLAR MAPPING'!C12, "', Brand Archetype: '", 'CONTENT PILLAR MAPPING'!D12, "', dan Deskripsi Gaya Komunikasi: '", 'CONTENT PILLAR MAPPING'!E12, "'.", CHAR(10),
"Target audiens saya adalah: '", 'CONTENT PILLAR MAPPING'!D20, "', dengan segmentasi audiens: '", 'CONTENT PILLAR MAPPING'!D21, "'.", CHAR(10), CHAR(10),
"Mohon buatkan script konten yang **sangat powerful, menarik, inovatif, dan siap pakai** dengan judul ide '", B102, "'.", CHAR(10),
"Konten ini memiliki pilar '", C102, "', nilai tambah utama '", F102, "', dan akan menggunakan storytelling framework '", G102, "'.", CHAR(10),
"Gambaran singkat ide kontennya adalah: '", J102, "'.", CHAR(10),
"Konten ini akan diunggah di platform '", E102, "' dengan format '", D102,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 "'.** Sesuaikan dengan gaya komunikasi saya, dengan fokus pada nilai tambah '", F102,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 ", khusus ", 'CONTENT PILLAR MAPPING'!D21, ") dan membantu mereka menyelesaikan masalah atau mencapai tujuan mereka.", CHAR(10),
"✔ Membantuku membangun personal branding yang kuat dan sustainable, sesuai dengan Positioning saya sebagai '", 'CONTENT PILLAR MAPPING'!C7, "' dan Brand Archetype '", 'CONTENT PILLAR MAPPING'!D12, "'.", CHAR(10),
"✔ Kemas dalam bentuk tabel agar rapi, mudah di baca dan dipahami, dengan kolom 'Judul Konten', 'Pilar', 'Format', 'Draft Script', 'CTA', 'Saran Visual', dan 'Full Caption'. (Kosongkan kolom Link Prompt jika ada)."
),
"")</f>
        <v/>
      </c>
      <c r="L102" s="199" t="n"/>
      <c r="M102" s="199" t="n"/>
      <c r="N102" s="102" t="n"/>
      <c r="O102" s="102" t="n"/>
      <c r="P102" s="102" t="n"/>
      <c r="Q102" s="102" t="n"/>
      <c r="R102" s="102" t="n"/>
      <c r="S102" s="102" t="n"/>
      <c r="T102" s="102" t="n"/>
      <c r="U102" s="102" t="n"/>
      <c r="V102" s="102" t="n"/>
      <c r="W102" s="102" t="n"/>
      <c r="X102" s="102" t="n"/>
      <c r="Y102" s="102" t="n"/>
      <c r="Z102" s="102" t="n"/>
      <c r="AA102" s="102" t="n"/>
      <c r="AB102" s="102" t="n"/>
      <c r="AC102" s="102" t="n"/>
      <c r="AD102" s="102" t="n"/>
    </row>
    <row r="103" ht="15.75" customHeight="1" s="205">
      <c r="A103" s="102" t="n"/>
      <c r="B103" s="142" t="n"/>
      <c r="C103" s="143" t="n"/>
      <c r="D103" s="143" t="n"/>
      <c r="E103" s="143" t="n"/>
      <c r="F103" s="143" t="n"/>
      <c r="G103" s="144" t="n"/>
      <c r="H103" s="145">
        <f>IF(K103&lt;&gt;"", HYPERLINK("https://chatgpt.com/?prompt=" &amp; SUBSTITUTE(SUBSTITUTE(K103, " ", "+"), "&amp;", "dan") &amp; "&amp;force-refresh=true&amp;timestamp=" &amp; TEXT(NOW(), "yyyymmddhhmmss"), "👉 Klik untuk Generate Script! 🔥"), "")</f>
        <v/>
      </c>
      <c r="I103" s="143" t="n"/>
      <c r="J103" s="146" t="n"/>
      <c r="K103" s="130">
        <f>IF(AND(B103&lt;&gt;"", C103&lt;&gt;"", D103&lt;&gt;"", E103&lt;&gt;"", F103&lt;&gt;"", G103&lt;&gt;"", J103&lt;&gt;"", 'CONTENT PILLAR MAPPING'!C6&lt;&gt;"", 'CONTENT PILLAR MAPPING'!E6&lt;&gt;"", 'CONTENT PILLAR MAPPING'!F6&lt;&gt;"", 'CONTENT PILLAR MAPPING'!C9&lt;&gt;"", 'CONTENT PILLAR MAPPING'!C14&lt;&gt;"", 'CONTENT PILLAR MAPPING'!D14&lt;&gt;"", 'CONTENT PILLAR MAPPING'!E14&lt;&gt;"", 'CONTENT PILLAR MAPPING'!D22&lt;&gt;"", 'CONTENT PILLAR MAPPING'!D23&lt;&gt;""),
CONCATENATE(
"Sebagai seorang top konten kreator dengan niche utama '", 'CONTENT PILLAR MAPPING'!C6, "', spesifik kategori '", 'CONTENT PILLAR MAPPING'!E6, "', dan super spesifik '", 'CONTENT PILLAR MAPPING'!F6, "', yang dikenal sebagai '", 'CONTENT PILLAR MAPPING'!C9, "'.", CHAR(10),
"Saya memiliki Tone of Voice: '", 'CONTENT PILLAR MAPPING'!C14, "', Brand Archetype: '", 'CONTENT PILLAR MAPPING'!D14, "', dan Deskripsi Gaya Komunikasi: '", 'CONTENT PILLAR MAPPING'!E14, "'.", CHAR(10),
"Target audiens saya adalah: '", 'CONTENT PILLAR MAPPING'!D22, "', dengan segmentasi audiens: '", 'CONTENT PILLAR MAPPING'!D23, "'.", CHAR(10), CHAR(10),
"Mohon buatkan script konten yang **sangat powerful, menarik, inovatif, dan siap pakai** dengan judul ide '", B103, "'.", CHAR(10),
"Konten ini memiliki pilar '", C103, "', nilai tambah utama '", F103, "', dan akan menggunakan storytelling framework '", G103, "'.", CHAR(10),
"Gambaran singkat ide kontennya adalah: '", J103, "'.", CHAR(10),
"Konten ini akan diunggah di platform '", E103, "' dengan format '", D103,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 "'.** Sesuaikan dengan gaya komunikasi saya, dengan fokus pada nilai tambah '", F103,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 ", khusus ", 'CONTENT PILLAR MAPPING'!D23, ") dan membantu mereka menyelesaikan masalah atau mencapai tujuan mereka.", CHAR(10),
"✔ Membantuku membangun personal branding yang kuat dan sustainable, sesuai dengan Positioning saya sebagai '", 'CONTENT PILLAR MAPPING'!C9, "' dan Brand Archetype '", 'CONTENT PILLAR MAPPING'!D14, "'.", CHAR(10),
"✔ Kemas dalam bentuk tabel agar rapi, mudah di baca dan dipahami, dengan kolom 'Judul Konten', 'Pilar', 'Format', 'Draft Script', 'CTA', 'Saran Visual', dan 'Full Caption'. (Kosongkan kolom Link Prompt jika ada)."
),
"")</f>
        <v/>
      </c>
      <c r="L103" s="91" t="n"/>
      <c r="M103" s="91" t="n"/>
      <c r="N103" s="102" t="n"/>
      <c r="O103" s="102" t="n"/>
      <c r="P103" s="102" t="n"/>
      <c r="Q103" s="102" t="n"/>
      <c r="R103" s="102" t="n"/>
      <c r="S103" s="102" t="n"/>
      <c r="T103" s="102" t="n"/>
      <c r="U103" s="102" t="n"/>
      <c r="V103" s="102" t="n"/>
      <c r="W103" s="102" t="n"/>
      <c r="X103" s="102" t="n"/>
      <c r="Y103" s="102" t="n"/>
      <c r="Z103" s="102" t="n"/>
      <c r="AA103" s="102" t="n"/>
      <c r="AB103" s="102" t="n"/>
      <c r="AC103" s="102" t="n"/>
      <c r="AD103" s="102" t="n"/>
    </row>
    <row r="104" ht="15.75" customHeight="1" s="205">
      <c r="A104" s="102" t="n"/>
      <c r="B104" s="147" t="n"/>
      <c r="C104" s="144" t="n"/>
      <c r="D104" s="144" t="n"/>
      <c r="E104" s="144" t="n"/>
      <c r="F104" s="144" t="n"/>
      <c r="G104" s="144" t="n"/>
      <c r="H104" s="141">
        <f>IF(K104&lt;&gt;"", HYPERLINK("https://chatgpt.com/?prompt=" &amp; SUBSTITUTE(SUBSTITUTE(K104, " ", "+"), "&amp;", "dan") &amp; "&amp;force-refresh=true&amp;timestamp=" &amp; TEXT(NOW(), "yyyymmddhhmmss"), "👉 Klik untuk Generate Script! 🔥"), "")</f>
        <v/>
      </c>
      <c r="I104" s="144" t="n"/>
      <c r="J104" s="148" t="n"/>
      <c r="K104" s="140">
        <f>IF(AND(B104&lt;&gt;"", C104&lt;&gt;"", D104&lt;&gt;"", E104&lt;&gt;"", F104&lt;&gt;"", G104&lt;&gt;"", J104&lt;&gt;"", 'CONTENT PILLAR MAPPING'!C6&lt;&gt;"", 'CONTENT PILLAR MAPPING'!E6&lt;&gt;"", 'CONTENT PILLAR MAPPING'!F6&lt;&gt;"", 'CONTENT PILLAR MAPPING'!C9&lt;&gt;"", 'CONTENT PILLAR MAPPING'!C14&lt;&gt;"", 'CONTENT PILLAR MAPPING'!D14&lt;&gt;"", 'CONTENT PILLAR MAPPING'!E14&lt;&gt;"", 'CONTENT PILLAR MAPPING'!D22&lt;&gt;"", 'CONTENT PILLAR MAPPING'!D23&lt;&gt;""),
CONCATENATE(
"Sebagai seorang top konten kreator dengan niche utama '", 'CONTENT PILLAR MAPPING'!C6, "', spesifik kategori '", 'CONTENT PILLAR MAPPING'!E6, "', dan super spesifik '", 'CONTENT PILLAR MAPPING'!F6, "', yang dikenal sebagai '", 'CONTENT PILLAR MAPPING'!C9, "'.", CHAR(10),
"Saya memiliki Tone of Voice: '", 'CONTENT PILLAR MAPPING'!C14, "', Brand Archetype: '", 'CONTENT PILLAR MAPPING'!D14, "', dan Deskripsi Gaya Komunikasi: '", 'CONTENT PILLAR MAPPING'!E14, "'.", CHAR(10),
"Target audiens saya adalah: '", 'CONTENT PILLAR MAPPING'!D22, "', dengan segmentasi audiens: '", 'CONTENT PILLAR MAPPING'!D23, "'.", CHAR(10), CHAR(10),
"Mohon buatkan script konten yang **sangat powerful, menarik, inovatif, dan siap pakai** dengan judul ide '", B104, "'.", CHAR(10),
"Konten ini memiliki pilar '", C104, "', nilai tambah utama '", F104, "', dan akan menggunakan storytelling framework '", G104, "'.", CHAR(10),
"Gambaran singkat ide kontennya adalah: '", J104, "'.", CHAR(10),
"Konten ini akan diunggah di platform '", E104, "' dengan format '", D104,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 "'.** Sesuaikan dengan gaya komunikasi saya, dengan fokus pada nilai tambah '", F104,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 ", khusus ", 'CONTENT PILLAR MAPPING'!D23, ") dan membantu mereka menyelesaikan masalah atau mencapai tujuan mereka.", CHAR(10),
"✔ Membantuku membangun personal branding yang kuat dan sustainable, sesuai dengan Positioning saya sebagai '", 'CONTENT PILLAR MAPPING'!C9, "' dan Brand Archetype '", 'CONTENT PILLAR MAPPING'!D14, "'.", CHAR(10),
"✔ Kemas dalam bentuk tabel agar rapi, mudah di baca dan dipahami, dengan kolom 'Judul Konten', 'Pilar', 'Format', 'Draft Script', 'CTA', 'Saran Visual', dan 'Full Caption'. (Kosongkan kolom Link Prompt jika ada)."
),
"")</f>
        <v/>
      </c>
      <c r="L104" s="199" t="n"/>
      <c r="M104" s="199" t="n"/>
      <c r="N104" s="102" t="n"/>
      <c r="O104" s="102" t="n"/>
      <c r="P104" s="102" t="n"/>
      <c r="Q104" s="102" t="n"/>
      <c r="R104" s="102" t="n"/>
      <c r="S104" s="102" t="n"/>
      <c r="T104" s="102" t="n"/>
      <c r="U104" s="102" t="n"/>
      <c r="V104" s="102" t="n"/>
      <c r="W104" s="102" t="n"/>
      <c r="X104" s="102" t="n"/>
      <c r="Y104" s="102" t="n"/>
      <c r="Z104" s="102" t="n"/>
      <c r="AA104" s="102" t="n"/>
      <c r="AB104" s="102" t="n"/>
      <c r="AC104" s="102" t="n"/>
      <c r="AD104" s="102" t="n"/>
    </row>
    <row r="105" ht="15.75" customHeight="1" s="205">
      <c r="A105" s="102" t="n"/>
      <c r="B105" s="142" t="n"/>
      <c r="C105" s="143" t="n"/>
      <c r="D105" s="143" t="n"/>
      <c r="E105" s="143" t="n"/>
      <c r="F105" s="143" t="n"/>
      <c r="G105" s="144" t="n"/>
      <c r="H105" s="145">
        <f>IF(K105&lt;&gt;"", HYPERLINK("https://chatgpt.com/?prompt=" &amp; SUBSTITUTE(SUBSTITUTE(K105, " ", "+"), "&amp;", "dan") &amp; "&amp;force-refresh=true&amp;timestamp=" &amp; TEXT(NOW(), "yyyymmddhhmmss"), "👉 Klik untuk Generate Script! 🔥"), "")</f>
        <v/>
      </c>
      <c r="I105" s="143" t="n"/>
      <c r="J105" s="146" t="n"/>
      <c r="K105" s="130">
        <f>IF(AND(B105&lt;&gt;"", C105&lt;&gt;"", D105&lt;&gt;"", E105&lt;&gt;"", F105&lt;&gt;"", G105&lt;&gt;"", J105&lt;&gt;"", 'CONTENT PILLAR MAPPING'!C8&lt;&gt;"", 'CONTENT PILLAR MAPPING'!E8&lt;&gt;"", 'CONTENT PILLAR MAPPING'!F8&lt;&gt;"", 'CONTENT PILLAR MAPPING'!C11&lt;&gt;"", 'CONTENT PILLAR MAPPING'!C16&lt;&gt;"", 'CONTENT PILLAR MAPPING'!D16&lt;&gt;"", 'CONTENT PILLAR MAPPING'!E16&lt;&gt;"", 'CONTENT PILLAR MAPPING'!D24&lt;&gt;"", 'CONTENT PILLAR MAPPING'!D25&lt;&gt;""),
CONCATENATE(
"Sebagai seorang top konten kreator dengan niche utama '", 'CONTENT PILLAR MAPPING'!C8, "', spesifik kategori '", 'CONTENT PILLAR MAPPING'!E8, "', dan super spesifik '", 'CONTENT PILLAR MAPPING'!F8, "', yang dikenal sebagai '", 'CONTENT PILLAR MAPPING'!C11, "'.", CHAR(10),
"Saya memiliki Tone of Voice: '", 'CONTENT PILLAR MAPPING'!C16, "', Brand Archetype: '", 'CONTENT PILLAR MAPPING'!D16, "', dan Deskripsi Gaya Komunikasi: '", 'CONTENT PILLAR MAPPING'!E16, "'.", CHAR(10),
"Target audiens saya adalah: '", 'CONTENT PILLAR MAPPING'!D24, "', dengan segmentasi audiens: '", 'CONTENT PILLAR MAPPING'!D25, "'.", CHAR(10), CHAR(10),
"Mohon buatkan script konten yang **sangat powerful, menarik, inovatif, dan siap pakai** dengan judul ide '", B105, "'.", CHAR(10),
"Konten ini memiliki pilar '", C105, "', nilai tambah utama '", F105, "', dan akan menggunakan storytelling framework '", G105, "'.", CHAR(10),
"Gambaran singkat ide kontennya adalah: '", J105, "'.", CHAR(10),
"Konten ini akan diunggah di platform '", E105, "' dengan format '", D105,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 "'.** Sesuaikan dengan gaya komunikasi saya, dengan fokus pada nilai tambah '", F105,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 ", khusus ", 'CONTENT PILLAR MAPPING'!D25, ") dan membantu mereka menyelesaikan masalah atau mencapai tujuan mereka.", CHAR(10),
"✔ Membantuku membangun personal branding yang kuat dan sustainable, sesuai dengan Positioning saya sebagai '", 'CONTENT PILLAR MAPPING'!C11, "' dan Brand Archetype '", 'CONTENT PILLAR MAPPING'!D16, "'.", CHAR(10),
"✔ Kemas dalam bentuk tabel agar rapi, mudah di baca dan dipahami, dengan kolom 'Judul Konten', 'Pilar', 'Format', 'Draft Script', 'CTA', 'Saran Visual', dan 'Full Caption'. (Kosongkan kolom Link Prompt jika ada)."
),
"")</f>
        <v/>
      </c>
      <c r="L105" s="91" t="n"/>
      <c r="M105" s="91" t="n"/>
      <c r="N105" s="102" t="n"/>
      <c r="O105" s="102" t="n"/>
      <c r="P105" s="102" t="n"/>
      <c r="Q105" s="102" t="n"/>
      <c r="R105" s="102" t="n"/>
      <c r="S105" s="102" t="n"/>
      <c r="T105" s="102" t="n"/>
      <c r="U105" s="102" t="n"/>
      <c r="V105" s="102" t="n"/>
      <c r="W105" s="102" t="n"/>
      <c r="X105" s="102" t="n"/>
      <c r="Y105" s="102" t="n"/>
      <c r="Z105" s="102" t="n"/>
      <c r="AA105" s="102" t="n"/>
      <c r="AB105" s="102" t="n"/>
      <c r="AC105" s="102" t="n"/>
      <c r="AD105" s="102" t="n"/>
    </row>
    <row r="106" ht="15.75" customHeight="1" s="205">
      <c r="A106" s="102" t="n"/>
      <c r="B106" s="147" t="n"/>
      <c r="C106" s="144" t="n"/>
      <c r="D106" s="144" t="n"/>
      <c r="E106" s="144" t="n"/>
      <c r="F106" s="144" t="n"/>
      <c r="G106" s="144" t="n"/>
      <c r="H106" s="141">
        <f>IF(K106&lt;&gt;"", HYPERLINK("https://chatgpt.com/?prompt=" &amp; SUBSTITUTE(SUBSTITUTE(K106, " ", "+"), "&amp;", "dan") &amp; "&amp;force-refresh=true&amp;timestamp=" &amp; TEXT(NOW(), "yyyymmddhhmmss"), "👉 Klik untuk Generate Script! 🔥"), "")</f>
        <v/>
      </c>
      <c r="I106" s="144" t="n"/>
      <c r="J106" s="148" t="n"/>
      <c r="K106" s="140">
        <f>IF(AND(B106&lt;&gt;"", C106&lt;&gt;"", D106&lt;&gt;"", E106&lt;&gt;"", F106&lt;&gt;"", G106&lt;&gt;"", J106&lt;&gt;"", 'CONTENT PILLAR MAPPING'!C8&lt;&gt;"", 'CONTENT PILLAR MAPPING'!E8&lt;&gt;"", 'CONTENT PILLAR MAPPING'!F8&lt;&gt;"", 'CONTENT PILLAR MAPPING'!C11&lt;&gt;"", 'CONTENT PILLAR MAPPING'!C16&lt;&gt;"", 'CONTENT PILLAR MAPPING'!D16&lt;&gt;"", 'CONTENT PILLAR MAPPING'!E16&lt;&gt;"", 'CONTENT PILLAR MAPPING'!D24&lt;&gt;"", 'CONTENT PILLAR MAPPING'!D25&lt;&gt;""),
CONCATENATE(
"Sebagai seorang top konten kreator dengan niche utama '", 'CONTENT PILLAR MAPPING'!C8, "', spesifik kategori '", 'CONTENT PILLAR MAPPING'!E8, "', dan super spesifik '", 'CONTENT PILLAR MAPPING'!F8, "', yang dikenal sebagai '", 'CONTENT PILLAR MAPPING'!C11, "'.", CHAR(10),
"Saya memiliki Tone of Voice: '", 'CONTENT PILLAR MAPPING'!C16, "', Brand Archetype: '", 'CONTENT PILLAR MAPPING'!D16, "', dan Deskripsi Gaya Komunikasi: '", 'CONTENT PILLAR MAPPING'!E16, "'.", CHAR(10),
"Target audiens saya adalah: '", 'CONTENT PILLAR MAPPING'!D24, "', dengan segmentasi audiens: '", 'CONTENT PILLAR MAPPING'!D25, "'.", CHAR(10), CHAR(10),
"Mohon buatkan script konten yang **sangat powerful, menarik, inovatif, dan siap pakai** dengan judul ide '", B106, "'.", CHAR(10),
"Konten ini memiliki pilar '", C106, "', nilai tambah utama '", F106, "', dan akan menggunakan storytelling framework '", G106, "'.", CHAR(10),
"Gambaran singkat ide kontennya adalah: '", J106, "'.", CHAR(10),
"Konten ini akan diunggah di platform '", E106, "' dengan format '", D106,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 "'.** Sesuaikan dengan gaya komunikasi saya, dengan fokus pada nilai tambah '", F106,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 ", khusus ", 'CONTENT PILLAR MAPPING'!D25, ") dan membantu mereka menyelesaikan masalah atau mencapai tujuan mereka.", CHAR(10),
"✔ Membantuku membangun personal branding yang kuat dan sustainable, sesuai dengan Positioning saya sebagai '", 'CONTENT PILLAR MAPPING'!C11, "' dan Brand Archetype '", 'CONTENT PILLAR MAPPING'!D16, "'.", CHAR(10),
"✔ Kemas dalam bentuk tabel agar rapi, mudah di baca dan dipahami, dengan kolom 'Judul Konten', 'Pilar', 'Format', 'Draft Script', 'CTA', 'Saran Visual', dan 'Full Caption'. (Kosongkan kolom Link Prompt jika ada)."
),
"")</f>
        <v/>
      </c>
      <c r="L106" s="199" t="n"/>
      <c r="M106" s="199" t="n"/>
      <c r="N106" s="102" t="n"/>
      <c r="O106" s="102" t="n"/>
      <c r="P106" s="102" t="n"/>
      <c r="Q106" s="102" t="n"/>
      <c r="R106" s="102" t="n"/>
      <c r="S106" s="102" t="n"/>
      <c r="T106" s="102" t="n"/>
      <c r="U106" s="102" t="n"/>
      <c r="V106" s="102" t="n"/>
      <c r="W106" s="102" t="n"/>
      <c r="X106" s="102" t="n"/>
      <c r="Y106" s="102" t="n"/>
      <c r="Z106" s="102" t="n"/>
      <c r="AA106" s="102" t="n"/>
      <c r="AB106" s="102" t="n"/>
      <c r="AC106" s="102" t="n"/>
      <c r="AD106" s="102" t="n"/>
    </row>
    <row r="107" ht="15.75" customHeight="1" s="205">
      <c r="A107" s="102" t="n"/>
      <c r="B107" s="142" t="n"/>
      <c r="C107" s="143" t="n"/>
      <c r="D107" s="143" t="n"/>
      <c r="E107" s="143" t="n"/>
      <c r="F107" s="143" t="n"/>
      <c r="G107" s="144" t="n"/>
      <c r="H107" s="145">
        <f>IF(K107&lt;&gt;"", HYPERLINK("https://chatgpt.com/?prompt=" &amp; SUBSTITUTE(SUBSTITUTE(K107, " ", "+"), "&amp;", "dan") &amp; "&amp;force-refresh=true&amp;timestamp=" &amp; TEXT(NOW(), "yyyymmddhhmmss"), "👉 Klik untuk Generate Script! 🔥"), "")</f>
        <v/>
      </c>
      <c r="I107" s="143" t="n"/>
      <c r="J107" s="146" t="n"/>
      <c r="K107" s="130">
        <f>IF(AND(B107&lt;&gt;"", C107&lt;&gt;"", D107&lt;&gt;"", E107&lt;&gt;"", F107&lt;&gt;"", G107&lt;&gt;"", J107&lt;&gt;"", 'CONTENT PILLAR MAPPING'!C10&lt;&gt;"", 'CONTENT PILLAR MAPPING'!E10&lt;&gt;"", 'CONTENT PILLAR MAPPING'!F10&lt;&gt;"", 'CONTENT PILLAR MAPPING'!C13&lt;&gt;"", 'CONTENT PILLAR MAPPING'!C18&lt;&gt;"", 'CONTENT PILLAR MAPPING'!D18&lt;&gt;"", 'CONTENT PILLAR MAPPING'!E18&lt;&gt;"", 'CONTENT PILLAR MAPPING'!D26&lt;&gt;"", 'CONTENT PILLAR MAPPING'!D27&lt;&gt;""),
CONCATENATE(
"Sebagai seorang top konten kreator dengan niche utama '", 'CONTENT PILLAR MAPPING'!C10, "', spesifik kategori '", 'CONTENT PILLAR MAPPING'!E10, "', dan super spesifik '", 'CONTENT PILLAR MAPPING'!F10, "', yang dikenal sebagai '", 'CONTENT PILLAR MAPPING'!C13, "'.", CHAR(10),
"Saya memiliki Tone of Voice: '", 'CONTENT PILLAR MAPPING'!C18, "', Brand Archetype: '", 'CONTENT PILLAR MAPPING'!D18, "', dan Deskripsi Gaya Komunikasi: '", 'CONTENT PILLAR MAPPING'!E18, "'.", CHAR(10),
"Target audiens saya adalah: '", 'CONTENT PILLAR MAPPING'!D26, "', dengan segmentasi audiens: '", 'CONTENT PILLAR MAPPING'!D27, "'.", CHAR(10), CHAR(10),
"Mohon buatkan script konten yang **sangat powerful, menarik, inovatif, dan siap pakai** dengan judul ide '", B107, "'.", CHAR(10),
"Konten ini memiliki pilar '", C107, "', nilai tambah utama '", F107, "', dan akan menggunakan storytelling framework '", G107, "'.", CHAR(10),
"Gambaran singkat ide kontennya adalah: '", J107, "'.", CHAR(10),
"Konten ini akan diunggah di platform '", E107, "' dengan format '", D107,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 "'.** Sesuaikan dengan gaya komunikasi saya, dengan fokus pada nilai tambah '", F107,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 ", khusus ", 'CONTENT PILLAR MAPPING'!D27, ") dan membantu mereka menyelesaikan masalah atau mencapai tujuan mereka.", CHAR(10),
"✔ Membantuku membangun personal branding yang kuat dan sustainable, sesuai dengan Positioning saya sebagai '", 'CONTENT PILLAR MAPPING'!C13, "' dan Brand Archetype '", 'CONTENT PILLAR MAPPING'!D18, "'.", CHAR(10),
"✔ Kemas dalam bentuk tabel agar rapi, mudah di baca dan dipahami, dengan kolom 'Judul Konten', 'Pilar', 'Format', 'Draft Script', 'CTA', 'Saran Visual', dan 'Full Caption'. (Kosongkan kolom Link Prompt jika ada)."
),
"")</f>
        <v/>
      </c>
      <c r="L107" s="91" t="n"/>
      <c r="M107" s="91" t="n"/>
      <c r="N107" s="102" t="n"/>
      <c r="O107" s="102" t="n"/>
      <c r="P107" s="102" t="n"/>
      <c r="Q107" s="102" t="n"/>
      <c r="R107" s="102" t="n"/>
      <c r="S107" s="102" t="n"/>
      <c r="T107" s="102" t="n"/>
      <c r="U107" s="102" t="n"/>
      <c r="V107" s="102" t="n"/>
      <c r="W107" s="102" t="n"/>
      <c r="X107" s="102" t="n"/>
      <c r="Y107" s="102" t="n"/>
      <c r="Z107" s="102" t="n"/>
      <c r="AA107" s="102" t="n"/>
      <c r="AB107" s="102" t="n"/>
      <c r="AC107" s="102" t="n"/>
      <c r="AD107" s="102" t="n"/>
    </row>
    <row r="108" ht="15.75" customHeight="1" s="205">
      <c r="A108" s="102" t="n"/>
      <c r="B108" s="147" t="n"/>
      <c r="C108" s="144" t="n"/>
      <c r="D108" s="144" t="n"/>
      <c r="E108" s="144" t="n"/>
      <c r="F108" s="144" t="n"/>
      <c r="G108" s="144" t="n"/>
      <c r="H108" s="141">
        <f>IF(K108&lt;&gt;"", HYPERLINK("https://chatgpt.com/?prompt=" &amp; SUBSTITUTE(SUBSTITUTE(K108, " ", "+"), "&amp;", "dan") &amp; "&amp;force-refresh=true&amp;timestamp=" &amp; TEXT(NOW(), "yyyymmddhhmmss"), "👉 Klik untuk Generate Script! 🔥"), "")</f>
        <v/>
      </c>
      <c r="I108" s="144" t="n"/>
      <c r="J108" s="148" t="n"/>
      <c r="K108" s="140">
        <f>IF(AND(B108&lt;&gt;"", C108&lt;&gt;"", D108&lt;&gt;"", E108&lt;&gt;"", F108&lt;&gt;"", G108&lt;&gt;"", J108&lt;&gt;"", 'CONTENT PILLAR MAPPING'!C10&lt;&gt;"", 'CONTENT PILLAR MAPPING'!E10&lt;&gt;"", 'CONTENT PILLAR MAPPING'!F10&lt;&gt;"", 'CONTENT PILLAR MAPPING'!C13&lt;&gt;"", 'CONTENT PILLAR MAPPING'!C18&lt;&gt;"", 'CONTENT PILLAR MAPPING'!D18&lt;&gt;"", 'CONTENT PILLAR MAPPING'!E18&lt;&gt;"", 'CONTENT PILLAR MAPPING'!D26&lt;&gt;"", 'CONTENT PILLAR MAPPING'!D27&lt;&gt;""),
CONCATENATE(
"Sebagai seorang top konten kreator dengan niche utama '", 'CONTENT PILLAR MAPPING'!C10, "', spesifik kategori '", 'CONTENT PILLAR MAPPING'!E10, "', dan super spesifik '", 'CONTENT PILLAR MAPPING'!F10, "', yang dikenal sebagai '", 'CONTENT PILLAR MAPPING'!C13, "'.", CHAR(10),
"Saya memiliki Tone of Voice: '", 'CONTENT PILLAR MAPPING'!C18, "', Brand Archetype: '", 'CONTENT PILLAR MAPPING'!D18, "', dan Deskripsi Gaya Komunikasi: '", 'CONTENT PILLAR MAPPING'!E18, "'.", CHAR(10),
"Target audiens saya adalah: '", 'CONTENT PILLAR MAPPING'!D26, "', dengan segmentasi audiens: '", 'CONTENT PILLAR MAPPING'!D27, "'.", CHAR(10), CHAR(10),
"Mohon buatkan script konten yang **sangat powerful, menarik, inovatif, dan siap pakai** dengan judul ide '", B108, "'.", CHAR(10),
"Konten ini memiliki pilar '", C108, "', nilai tambah utama '", F108, "', dan akan menggunakan storytelling framework '", G108, "'.", CHAR(10),
"Gambaran singkat ide kontennya adalah: '", J108, "'.", CHAR(10),
"Konten ini akan diunggah di platform '", E108, "' dengan format '", D108,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 "'.** Sesuaikan dengan gaya komunikasi saya, dengan fokus pada nilai tambah '", F108,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 ", khusus ", 'CONTENT PILLAR MAPPING'!D27, ") dan membantu mereka menyelesaikan masalah atau mencapai tujuan mereka.", CHAR(10),
"✔ Membantuku membangun personal branding yang kuat dan sustainable, sesuai dengan Positioning saya sebagai '", 'CONTENT PILLAR MAPPING'!C13, "' dan Brand Archetype '", 'CONTENT PILLAR MAPPING'!D18, "'.", CHAR(10),
"✔ Kemas dalam bentuk tabel agar rapi, mudah di baca dan dipahami, dengan kolom 'Judul Konten', 'Pilar', 'Format', 'Draft Script', 'CTA', 'Saran Visual', dan 'Full Caption'. (Kosongkan kolom Link Prompt jika ada)."
),
"")</f>
        <v/>
      </c>
      <c r="L108" s="199" t="n"/>
      <c r="M108" s="199" t="n"/>
      <c r="N108" s="102" t="n"/>
      <c r="O108" s="102" t="n"/>
      <c r="P108" s="102" t="n"/>
      <c r="Q108" s="102" t="n"/>
      <c r="R108" s="102" t="n"/>
      <c r="S108" s="102" t="n"/>
      <c r="T108" s="102" t="n"/>
      <c r="U108" s="102" t="n"/>
      <c r="V108" s="102" t="n"/>
      <c r="W108" s="102" t="n"/>
      <c r="X108" s="102" t="n"/>
      <c r="Y108" s="102" t="n"/>
      <c r="Z108" s="102" t="n"/>
      <c r="AA108" s="102" t="n"/>
      <c r="AB108" s="102" t="n"/>
      <c r="AC108" s="102" t="n"/>
      <c r="AD108" s="102" t="n"/>
    </row>
    <row r="109" ht="15.75" customHeight="1" s="205">
      <c r="A109" s="102" t="n"/>
      <c r="B109" s="142" t="n"/>
      <c r="C109" s="143" t="n"/>
      <c r="D109" s="143" t="n"/>
      <c r="E109" s="143" t="n"/>
      <c r="F109" s="143" t="n"/>
      <c r="G109" s="144" t="n"/>
      <c r="H109" s="145">
        <f>IF(K109&lt;&gt;"", HYPERLINK("https://chatgpt.com/?prompt=" &amp; SUBSTITUTE(SUBSTITUTE(K109, " ", "+"), "&amp;", "dan") &amp; "&amp;force-refresh=true&amp;timestamp=" &amp; TEXT(NOW(), "yyyymmddhhmmss"), "👉 Klik untuk Generate Script! 🔥"), "")</f>
        <v/>
      </c>
      <c r="I109" s="143" t="n"/>
      <c r="J109" s="146" t="n"/>
      <c r="K109" s="130">
        <f>IF(AND(B109&lt;&gt;"", C109&lt;&gt;"", D109&lt;&gt;"", E109&lt;&gt;"", F109&lt;&gt;"", G109&lt;&gt;"", J109&lt;&gt;"", 'CONTENT PILLAR MAPPING'!C12&lt;&gt;"", 'CONTENT PILLAR MAPPING'!E12&lt;&gt;"", 'CONTENT PILLAR MAPPING'!F12&lt;&gt;"", 'CONTENT PILLAR MAPPING'!C15&lt;&gt;"", 'CONTENT PILLAR MAPPING'!C20&lt;&gt;"", 'CONTENT PILLAR MAPPING'!D20&lt;&gt;"", 'CONTENT PILLAR MAPPING'!E20&lt;&gt;"", 'CONTENT PILLAR MAPPING'!D28&lt;&gt;"", 'CONTENT PILLAR MAPPING'!D29&lt;&gt;""),
CONCATENATE(
"Sebagai seorang top konten kreator dengan niche utama '", 'CONTENT PILLAR MAPPING'!C12, "', spesifik kategori '", 'CONTENT PILLAR MAPPING'!E12, "', dan super spesifik '", 'CONTENT PILLAR MAPPING'!F12, "', yang dikenal sebagai '", 'CONTENT PILLAR MAPPING'!C15, "'.", CHAR(10),
"Saya memiliki Tone of Voice: '", 'CONTENT PILLAR MAPPING'!C20, "', Brand Archetype: '", 'CONTENT PILLAR MAPPING'!D20, "', dan Deskripsi Gaya Komunikasi: '", 'CONTENT PILLAR MAPPING'!E20, "'.", CHAR(10),
"Target audiens saya adalah: '", 'CONTENT PILLAR MAPPING'!D28, "', dengan segmentasi audiens: '", 'CONTENT PILLAR MAPPING'!D29, "'.", CHAR(10), CHAR(10),
"Mohon buatkan script konten yang **sangat powerful, menarik, inovatif, dan siap pakai** dengan judul ide '", B109, "'.", CHAR(10),
"Konten ini memiliki pilar '", C109, "', nilai tambah utama '", F109, "', dan akan menggunakan storytelling framework '", G109, "'.", CHAR(10),
"Gambaran singkat ide kontennya adalah: '", J109, "'.", CHAR(10),
"Konten ini akan diunggah di platform '", E109, "' dengan format '", D109,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 "'.** Sesuaikan dengan gaya komunikasi saya, dengan fokus pada nilai tambah '", F109,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 ", khusus ", 'CONTENT PILLAR MAPPING'!D29, ") dan membantu mereka menyelesaikan masalah atau mencapai tujuan mereka.", CHAR(10),
"✔ Membantuku membangun personal branding yang kuat dan sustainable, sesuai dengan Positioning saya sebagai '", 'CONTENT PILLAR MAPPING'!C15, "' dan Brand Archetype '", 'CONTENT PILLAR MAPPING'!D20, "'.", CHAR(10),
"✔ Kemas dalam bentuk tabel agar rapi, mudah di baca dan dipahami, dengan kolom 'Judul Konten', 'Pilar', 'Format', 'Draft Script', 'CTA', 'Saran Visual', dan 'Full Caption'. (Kosongkan kolom Link Prompt jika ada)."
),
"")</f>
        <v/>
      </c>
      <c r="L109" s="91" t="n"/>
      <c r="M109" s="91" t="n"/>
      <c r="N109" s="102" t="n"/>
      <c r="O109" s="102" t="n"/>
      <c r="P109" s="102" t="n"/>
      <c r="Q109" s="102" t="n"/>
      <c r="R109" s="102" t="n"/>
      <c r="S109" s="102" t="n"/>
      <c r="T109" s="102" t="n"/>
      <c r="U109" s="102" t="n"/>
      <c r="V109" s="102" t="n"/>
      <c r="W109" s="102" t="n"/>
      <c r="X109" s="102" t="n"/>
      <c r="Y109" s="102" t="n"/>
      <c r="Z109" s="102" t="n"/>
      <c r="AA109" s="102" t="n"/>
      <c r="AB109" s="102" t="n"/>
      <c r="AC109" s="102" t="n"/>
      <c r="AD109" s="102" t="n"/>
    </row>
    <row r="110" ht="15.75" customHeight="1" s="205">
      <c r="A110" s="102" t="n"/>
      <c r="B110" s="147" t="n"/>
      <c r="C110" s="144" t="n"/>
      <c r="D110" s="144" t="n"/>
      <c r="E110" s="144" t="n"/>
      <c r="F110" s="144" t="n"/>
      <c r="G110" s="144" t="n"/>
      <c r="H110" s="141">
        <f>IF(K110&lt;&gt;"", HYPERLINK("https://chatgpt.com/?prompt=" &amp; SUBSTITUTE(SUBSTITUTE(K110, " ", "+"), "&amp;", "dan") &amp; "&amp;force-refresh=true&amp;timestamp=" &amp; TEXT(NOW(), "yyyymmddhhmmss"), "👉 Klik untuk Generate Script! 🔥"), "")</f>
        <v/>
      </c>
      <c r="I110" s="144" t="n"/>
      <c r="J110" s="148" t="n"/>
      <c r="K110" s="140">
        <f>IF(AND(B110&lt;&gt;"", C110&lt;&gt;"", D110&lt;&gt;"", E110&lt;&gt;"", F110&lt;&gt;"", G110&lt;&gt;"", J110&lt;&gt;"", 'CONTENT PILLAR MAPPING'!C12&lt;&gt;"", 'CONTENT PILLAR MAPPING'!E12&lt;&gt;"", 'CONTENT PILLAR MAPPING'!F12&lt;&gt;"", 'CONTENT PILLAR MAPPING'!C15&lt;&gt;"", 'CONTENT PILLAR MAPPING'!C20&lt;&gt;"", 'CONTENT PILLAR MAPPING'!D20&lt;&gt;"", 'CONTENT PILLAR MAPPING'!E20&lt;&gt;"", 'CONTENT PILLAR MAPPING'!D28&lt;&gt;"", 'CONTENT PILLAR MAPPING'!D29&lt;&gt;""),
CONCATENATE(
"Sebagai seorang top konten kreator dengan niche utama '", 'CONTENT PILLAR MAPPING'!C12, "', spesifik kategori '", 'CONTENT PILLAR MAPPING'!E12, "', dan super spesifik '", 'CONTENT PILLAR MAPPING'!F12, "', yang dikenal sebagai '", 'CONTENT PILLAR MAPPING'!C15, "'.", CHAR(10),
"Saya memiliki Tone of Voice: '", 'CONTENT PILLAR MAPPING'!C20, "', Brand Archetype: '", 'CONTENT PILLAR MAPPING'!D20, "', dan Deskripsi Gaya Komunikasi: '", 'CONTENT PILLAR MAPPING'!E20, "'.", CHAR(10),
"Target audiens saya adalah: '", 'CONTENT PILLAR MAPPING'!D28, "', dengan segmentasi audiens: '", 'CONTENT PILLAR MAPPING'!D29, "'.", CHAR(10), CHAR(10),
"Mohon buatkan script konten yang **sangat powerful, menarik, inovatif, dan siap pakai** dengan judul ide '", B110, "'.", CHAR(10),
"Konten ini memiliki pilar '", C110, "', nilai tambah utama '", F110, "', dan akan menggunakan storytelling framework '", G110, "'.", CHAR(10),
"Gambaran singkat ide kontennya adalah: '", J110, "'.", CHAR(10),
"Konten ini akan diunggah di platform '", E110, "' dengan format '", D110,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 "'.** Sesuaikan dengan gaya komunikasi saya, dengan fokus pada nilai tambah '", F110,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 ", khusus ", 'CONTENT PILLAR MAPPING'!D29, ") dan membantu mereka menyelesaikan masalah atau mencapai tujuan mereka.", CHAR(10),
"✔ Membantuku membangun personal branding yang kuat dan sustainable, sesuai dengan Positioning saya sebagai '", 'CONTENT PILLAR MAPPING'!C15, "' dan Brand Archetype '", 'CONTENT PILLAR MAPPING'!D20, "'.", CHAR(10),
"✔ Kemas dalam bentuk tabel agar rapi, mudah di baca dan dipahami, dengan kolom 'Judul Konten', 'Pilar', 'Format', 'Draft Script', 'CTA', 'Saran Visual', dan 'Full Caption'. (Kosongkan kolom Link Prompt jika ada)."
),
"")</f>
        <v/>
      </c>
      <c r="L110" s="199" t="n"/>
      <c r="M110" s="199" t="n"/>
      <c r="N110" s="102" t="n"/>
      <c r="O110" s="102" t="n"/>
      <c r="P110" s="102" t="n"/>
      <c r="Q110" s="102" t="n"/>
      <c r="R110" s="102" t="n"/>
      <c r="S110" s="102" t="n"/>
      <c r="T110" s="102" t="n"/>
      <c r="U110" s="102" t="n"/>
      <c r="V110" s="102" t="n"/>
      <c r="W110" s="102" t="n"/>
      <c r="X110" s="102" t="n"/>
      <c r="Y110" s="102" t="n"/>
      <c r="Z110" s="102" t="n"/>
      <c r="AA110" s="102" t="n"/>
      <c r="AB110" s="102" t="n"/>
      <c r="AC110" s="102" t="n"/>
      <c r="AD110" s="102" t="n"/>
    </row>
    <row r="111" ht="15.75" customHeight="1" s="205">
      <c r="A111" s="102" t="n"/>
      <c r="B111" s="142" t="n"/>
      <c r="C111" s="143" t="n"/>
      <c r="D111" s="143" t="n"/>
      <c r="E111" s="143" t="n"/>
      <c r="F111" s="143" t="n"/>
      <c r="G111" s="144" t="n"/>
      <c r="H111" s="145">
        <f>IF(K111&lt;&gt;"", HYPERLINK("https://chatgpt.com/?prompt=" &amp; SUBSTITUTE(SUBSTITUTE(K111, " ", "+"), "&amp;", "dan") &amp; "&amp;force-refresh=true&amp;timestamp=" &amp; TEXT(NOW(), "yyyymmddhhmmss"), "👉 Klik untuk Generate Script! 🔥"), "")</f>
        <v/>
      </c>
      <c r="I111" s="143" t="n"/>
      <c r="J111" s="146" t="n"/>
      <c r="K111" s="130">
        <f>IF(AND(B111&lt;&gt;"", C111&lt;&gt;"", D111&lt;&gt;"", E111&lt;&gt;"", F111&lt;&gt;"", G111&lt;&gt;"", J111&lt;&gt;"", 'CONTENT PILLAR MAPPING'!C14&lt;&gt;"", 'CONTENT PILLAR MAPPING'!E14&lt;&gt;"", 'CONTENT PILLAR MAPPING'!F14&lt;&gt;"", 'CONTENT PILLAR MAPPING'!C17&lt;&gt;"", 'CONTENT PILLAR MAPPING'!C22&lt;&gt;"", 'CONTENT PILLAR MAPPING'!D22&lt;&gt;"", 'CONTENT PILLAR MAPPING'!E22&lt;&gt;"", 'CONTENT PILLAR MAPPING'!D30&lt;&gt;"", 'CONTENT PILLAR MAPPING'!D31&lt;&gt;""),
CONCATENATE(
"Sebagai seorang top konten kreator dengan niche utama '", 'CONTENT PILLAR MAPPING'!C14, "', spesifik kategori '", 'CONTENT PILLAR MAPPING'!E14, "', dan super spesifik '", 'CONTENT PILLAR MAPPING'!F14, "', yang dikenal sebagai '", 'CONTENT PILLAR MAPPING'!C17, "'.", CHAR(10),
"Saya memiliki Tone of Voice: '", 'CONTENT PILLAR MAPPING'!C22, "', Brand Archetype: '", 'CONTENT PILLAR MAPPING'!D22, "', dan Deskripsi Gaya Komunikasi: '", 'CONTENT PILLAR MAPPING'!E22, "'.", CHAR(10),
"Target audiens saya adalah: '", 'CONTENT PILLAR MAPPING'!D30, "', dengan segmentasi audiens: '", 'CONTENT PILLAR MAPPING'!D31, "'.", CHAR(10), CHAR(10),
"Mohon buatkan script konten yang **sangat powerful, menarik, inovatif, dan siap pakai** dengan judul ide '", B111, "'.", CHAR(10),
"Konten ini memiliki pilar '", C111, "', nilai tambah utama '", F111, "', dan akan menggunakan storytelling framework '", G111, "'.", CHAR(10),
"Gambaran singkat ide kontennya adalah: '", J111, "'.", CHAR(10),
"Konten ini akan diunggah di platform '", E111, "' dengan format '", D111,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 "'.** Sesuaikan dengan gaya komunikasi saya, dengan fokus pada nilai tambah '", F111,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 ", khusus ", 'CONTENT PILLAR MAPPING'!D31, ") dan membantu mereka menyelesaikan masalah atau mencapai tujuan mereka.", CHAR(10),
"✔ Membantuku membangun personal branding yang kuat dan sustainable, sesuai dengan Positioning saya sebagai '", 'CONTENT PILLAR MAPPING'!C17, "' dan Brand Archetype '", 'CONTENT PILLAR MAPPING'!D22, "'.", CHAR(10),
"✔ Kemas dalam bentuk tabel agar rapi, mudah di baca dan dipahami, dengan kolom 'Judul Konten', 'Pilar', 'Format', 'Draft Script', 'CTA', 'Saran Visual', dan 'Full Caption'. (Kosongkan kolom Link Prompt jika ada)."
),
"")</f>
        <v/>
      </c>
      <c r="L111" s="91" t="n"/>
      <c r="M111" s="91" t="n"/>
      <c r="N111" s="102" t="n"/>
      <c r="O111" s="102" t="n"/>
      <c r="P111" s="102" t="n"/>
      <c r="Q111" s="102" t="n"/>
      <c r="R111" s="102" t="n"/>
      <c r="S111" s="102" t="n"/>
      <c r="T111" s="102" t="n"/>
      <c r="U111" s="102" t="n"/>
      <c r="V111" s="102" t="n"/>
      <c r="W111" s="102" t="n"/>
      <c r="X111" s="102" t="n"/>
      <c r="Y111" s="102" t="n"/>
      <c r="Z111" s="102" t="n"/>
      <c r="AA111" s="102" t="n"/>
      <c r="AB111" s="102" t="n"/>
      <c r="AC111" s="102" t="n"/>
      <c r="AD111" s="102" t="n"/>
    </row>
    <row r="112" ht="15.75" customHeight="1" s="205">
      <c r="A112" s="102" t="n"/>
      <c r="B112" s="147" t="n"/>
      <c r="C112" s="144" t="n"/>
      <c r="D112" s="144" t="n"/>
      <c r="E112" s="144" t="n"/>
      <c r="F112" s="144" t="n"/>
      <c r="G112" s="144" t="n"/>
      <c r="H112" s="141">
        <f>IF(K112&lt;&gt;"", HYPERLINK("https://chatgpt.com/?prompt=" &amp; SUBSTITUTE(SUBSTITUTE(K112, " ", "+"), "&amp;", "dan") &amp; "&amp;force-refresh=true&amp;timestamp=" &amp; TEXT(NOW(), "yyyymmddhhmmss"), "👉 Klik untuk Generate Script! 🔥"), "")</f>
        <v/>
      </c>
      <c r="I112" s="144" t="n"/>
      <c r="J112" s="148" t="n"/>
      <c r="K112" s="140">
        <f>IF(AND(B112&lt;&gt;"", C112&lt;&gt;"", D112&lt;&gt;"", E112&lt;&gt;"", F112&lt;&gt;"", G112&lt;&gt;"", J112&lt;&gt;"", 'CONTENT PILLAR MAPPING'!C14&lt;&gt;"", 'CONTENT PILLAR MAPPING'!E14&lt;&gt;"", 'CONTENT PILLAR MAPPING'!F14&lt;&gt;"", 'CONTENT PILLAR MAPPING'!C17&lt;&gt;"", 'CONTENT PILLAR MAPPING'!C22&lt;&gt;"", 'CONTENT PILLAR MAPPING'!D22&lt;&gt;"", 'CONTENT PILLAR MAPPING'!E22&lt;&gt;"", 'CONTENT PILLAR MAPPING'!D30&lt;&gt;"", 'CONTENT PILLAR MAPPING'!D31&lt;&gt;""),
CONCATENATE(
"Sebagai seorang top konten kreator dengan niche utama '", 'CONTENT PILLAR MAPPING'!C14, "', spesifik kategori '", 'CONTENT PILLAR MAPPING'!E14, "', dan super spesifik '", 'CONTENT PILLAR MAPPING'!F14, "', yang dikenal sebagai '", 'CONTENT PILLAR MAPPING'!C17, "'.", CHAR(10),
"Saya memiliki Tone of Voice: '", 'CONTENT PILLAR MAPPING'!C22, "', Brand Archetype: '", 'CONTENT PILLAR MAPPING'!D22, "', dan Deskripsi Gaya Komunikasi: '", 'CONTENT PILLAR MAPPING'!E22, "'.", CHAR(10),
"Target audiens saya adalah: '", 'CONTENT PILLAR MAPPING'!D30, "', dengan segmentasi audiens: '", 'CONTENT PILLAR MAPPING'!D31, "'.", CHAR(10), CHAR(10),
"Mohon buatkan script konten yang **sangat powerful, menarik, inovatif, dan siap pakai** dengan judul ide '", B112, "'.", CHAR(10),
"Konten ini memiliki pilar '", C112, "', nilai tambah utama '", F112, "', dan akan menggunakan storytelling framework '", G112, "'.", CHAR(10),
"Gambaran singkat ide kontennya adalah: '", J112, "'.", CHAR(10),
"Konten ini akan diunggah di platform '", E112, "' dengan format '", D112,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 "'.** Sesuaikan dengan gaya komunikasi saya, dengan fokus pada nilai tambah '", F112,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 ", khusus ", 'CONTENT PILLAR MAPPING'!D31, ") dan membantu mereka menyelesaikan masalah atau mencapai tujuan mereka.", CHAR(10),
"✔ Membantuku membangun personal branding yang kuat dan sustainable, sesuai dengan Positioning saya sebagai '", 'CONTENT PILLAR MAPPING'!C17, "' dan Brand Archetype '", 'CONTENT PILLAR MAPPING'!D22, "'.", CHAR(10),
"✔ Kemas dalam bentuk tabel agar rapi, mudah di baca dan dipahami, dengan kolom 'Judul Konten', 'Pilar', 'Format', 'Draft Script', 'CTA', 'Saran Visual', dan 'Full Caption'. (Kosongkan kolom Link Prompt jika ada)."
),
"")</f>
        <v/>
      </c>
      <c r="L112" s="199" t="n"/>
      <c r="M112" s="199" t="n"/>
      <c r="N112" s="102" t="n"/>
      <c r="O112" s="102" t="n"/>
      <c r="P112" s="102" t="n"/>
      <c r="Q112" s="102" t="n"/>
      <c r="R112" s="102" t="n"/>
      <c r="S112" s="102" t="n"/>
      <c r="T112" s="102" t="n"/>
      <c r="U112" s="102" t="n"/>
      <c r="V112" s="102" t="n"/>
      <c r="W112" s="102" t="n"/>
      <c r="X112" s="102" t="n"/>
      <c r="Y112" s="102" t="n"/>
      <c r="Z112" s="102" t="n"/>
      <c r="AA112" s="102" t="n"/>
      <c r="AB112" s="102" t="n"/>
      <c r="AC112" s="102" t="n"/>
      <c r="AD112" s="102" t="n"/>
    </row>
    <row r="113" ht="15.75" customHeight="1" s="205">
      <c r="A113" s="102" t="n"/>
      <c r="B113" s="142" t="n"/>
      <c r="C113" s="143" t="n"/>
      <c r="D113" s="143" t="n"/>
      <c r="E113" s="143" t="n"/>
      <c r="F113" s="143" t="n"/>
      <c r="G113" s="144" t="n"/>
      <c r="H113" s="145">
        <f>IF(K113&lt;&gt;"", HYPERLINK("https://chatgpt.com/?prompt=" &amp; SUBSTITUTE(SUBSTITUTE(K113, " ", "+"), "&amp;", "dan") &amp; "&amp;force-refresh=true&amp;timestamp=" &amp; TEXT(NOW(), "yyyymmddhhmmss"), "👉 Klik untuk Generate Script! 🔥"), "")</f>
        <v/>
      </c>
      <c r="I113" s="143" t="n"/>
      <c r="J113" s="146" t="n"/>
      <c r="K113" s="130">
        <f>IF(AND(B113&lt;&gt;"", C113&lt;&gt;"", D113&lt;&gt;"", E113&lt;&gt;"", F113&lt;&gt;"", G113&lt;&gt;"", J113&lt;&gt;"", 'CONTENT PILLAR MAPPING'!C16&lt;&gt;"", 'CONTENT PILLAR MAPPING'!E16&lt;&gt;"", 'CONTENT PILLAR MAPPING'!F16&lt;&gt;"", 'CONTENT PILLAR MAPPING'!C19&lt;&gt;"", 'CONTENT PILLAR MAPPING'!C24&lt;&gt;"", 'CONTENT PILLAR MAPPING'!D24&lt;&gt;"", 'CONTENT PILLAR MAPPING'!E24&lt;&gt;"", 'CONTENT PILLAR MAPPING'!D32&lt;&gt;"", 'CONTENT PILLAR MAPPING'!D33&lt;&gt;""),
CONCATENATE(
"Sebagai seorang top konten kreator dengan niche utama '", 'CONTENT PILLAR MAPPING'!C16, "', spesifik kategori '", 'CONTENT PILLAR MAPPING'!E16, "', dan super spesifik '", 'CONTENT PILLAR MAPPING'!F16, "', yang dikenal sebagai '", 'CONTENT PILLAR MAPPING'!C19, "'.", CHAR(10),
"Saya memiliki Tone of Voice: '", 'CONTENT PILLAR MAPPING'!C24, "', Brand Archetype: '", 'CONTENT PILLAR MAPPING'!D24, "', dan Deskripsi Gaya Komunikasi: '", 'CONTENT PILLAR MAPPING'!E24, "'.", CHAR(10),
"Target audiens saya adalah: '", 'CONTENT PILLAR MAPPING'!D32, "', dengan segmentasi audiens: '", 'CONTENT PILLAR MAPPING'!D33, "'.", CHAR(10), CHAR(10),
"Mohon buatkan script konten yang **sangat powerful, menarik, inovatif, dan siap pakai** dengan judul ide '", B113, "'.", CHAR(10),
"Konten ini memiliki pilar '", C113, "', nilai tambah utama '", F113, "', dan akan menggunakan storytelling framework '", G113, "'.", CHAR(10),
"Gambaran singkat ide kontennya adalah: '", J113, "'.", CHAR(10),
"Konten ini akan diunggah di platform '", E113, "' dengan format '", D113,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 "'.** Sesuaikan dengan gaya komunikasi saya, dengan fokus pada nilai tambah '", F113,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 ", khusus ", 'CONTENT PILLAR MAPPING'!D33, ") dan membantu mereka menyelesaikan masalah atau mencapai tujuan mereka.", CHAR(10),
"✔ Membantuku membangun personal branding yang kuat dan sustainable, sesuai dengan Positioning saya sebagai '", 'CONTENT PILLAR MAPPING'!C19, "' dan Brand Archetype '", 'CONTENT PILLAR MAPPING'!D24, "'.", CHAR(10),
"✔ Kemas dalam bentuk tabel agar rapi, mudah di baca dan dipahami, dengan kolom 'Judul Konten', 'Pilar', 'Format', 'Draft Script', 'CTA', 'Saran Visual', dan 'Full Caption'. (Kosongkan kolom Link Prompt jika ada)."
),
"")</f>
        <v/>
      </c>
      <c r="L113" s="91" t="n"/>
      <c r="M113" s="91" t="n"/>
      <c r="N113" s="102" t="n"/>
      <c r="O113" s="102" t="n"/>
      <c r="P113" s="102" t="n"/>
      <c r="Q113" s="102" t="n"/>
      <c r="R113" s="102" t="n"/>
      <c r="S113" s="102" t="n"/>
      <c r="T113" s="102" t="n"/>
      <c r="U113" s="102" t="n"/>
      <c r="V113" s="102" t="n"/>
      <c r="W113" s="102" t="n"/>
      <c r="X113" s="102" t="n"/>
      <c r="Y113" s="102" t="n"/>
      <c r="Z113" s="102" t="n"/>
      <c r="AA113" s="102" t="n"/>
      <c r="AB113" s="102" t="n"/>
      <c r="AC113" s="102" t="n"/>
      <c r="AD113" s="102" t="n"/>
    </row>
    <row r="114" ht="15.75" customHeight="1" s="205">
      <c r="A114" s="102" t="n"/>
      <c r="B114" s="147" t="n"/>
      <c r="C114" s="144" t="n"/>
      <c r="D114" s="144" t="n"/>
      <c r="E114" s="144" t="n"/>
      <c r="F114" s="144" t="n"/>
      <c r="G114" s="144" t="n"/>
      <c r="H114" s="141">
        <f>IF(K114&lt;&gt;"", HYPERLINK("https://chatgpt.com/?prompt=" &amp; SUBSTITUTE(SUBSTITUTE(K114, " ", "+"), "&amp;", "dan") &amp; "&amp;force-refresh=true&amp;timestamp=" &amp; TEXT(NOW(), "yyyymmddhhmmss"), "👉 Klik untuk Generate Script! 🔥"), "")</f>
        <v/>
      </c>
      <c r="I114" s="144" t="n"/>
      <c r="J114" s="148" t="n"/>
      <c r="K114" s="140">
        <f>IF(AND(B114&lt;&gt;"", C114&lt;&gt;"", D114&lt;&gt;"", E114&lt;&gt;"", F114&lt;&gt;"", G114&lt;&gt;"", J114&lt;&gt;"", 'CONTENT PILLAR MAPPING'!C16&lt;&gt;"", 'CONTENT PILLAR MAPPING'!E16&lt;&gt;"", 'CONTENT PILLAR MAPPING'!F16&lt;&gt;"", 'CONTENT PILLAR MAPPING'!C19&lt;&gt;"", 'CONTENT PILLAR MAPPING'!C24&lt;&gt;"", 'CONTENT PILLAR MAPPING'!D24&lt;&gt;"", 'CONTENT PILLAR MAPPING'!E24&lt;&gt;"", 'CONTENT PILLAR MAPPING'!D32&lt;&gt;"", 'CONTENT PILLAR MAPPING'!D33&lt;&gt;""),
CONCATENATE(
"Sebagai seorang top konten kreator dengan niche utama '", 'CONTENT PILLAR MAPPING'!C16, "', spesifik kategori '", 'CONTENT PILLAR MAPPING'!E16, "', dan super spesifik '", 'CONTENT PILLAR MAPPING'!F16, "', yang dikenal sebagai '", 'CONTENT PILLAR MAPPING'!C19, "'.", CHAR(10),
"Saya memiliki Tone of Voice: '", 'CONTENT PILLAR MAPPING'!C24, "', Brand Archetype: '", 'CONTENT PILLAR MAPPING'!D24, "', dan Deskripsi Gaya Komunikasi: '", 'CONTENT PILLAR MAPPING'!E24, "'.", CHAR(10),
"Target audiens saya adalah: '", 'CONTENT PILLAR MAPPING'!D32, "', dengan segmentasi audiens: '", 'CONTENT PILLAR MAPPING'!D33, "'.", CHAR(10), CHAR(10),
"Mohon buatkan script konten yang **sangat powerful, menarik, inovatif, dan siap pakai** dengan judul ide '", B114, "'.", CHAR(10),
"Konten ini memiliki pilar '", C114, "', nilai tambah utama '", F114, "', dan akan menggunakan storytelling framework '", G114, "'.", CHAR(10),
"Gambaran singkat ide kontennya adalah: '", J114, "'.", CHAR(10),
"Konten ini akan diunggah di platform '", E114, "' dengan format '", D114,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 "'.** Sesuaikan dengan gaya komunikasi saya, dengan fokus pada nilai tambah '", F114,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 ", khusus ", 'CONTENT PILLAR MAPPING'!D33, ") dan membantu mereka menyelesaikan masalah atau mencapai tujuan mereka.", CHAR(10),
"✔ Membantuku membangun personal branding yang kuat dan sustainable, sesuai dengan Positioning saya sebagai '", 'CONTENT PILLAR MAPPING'!C19, "' dan Brand Archetype '", 'CONTENT PILLAR MAPPING'!D24, "'.", CHAR(10),
"✔ Kemas dalam bentuk tabel agar rapi, mudah di baca dan dipahami, dengan kolom 'Judul Konten', 'Pilar', 'Format', 'Draft Script', 'CTA', 'Saran Visual', dan 'Full Caption'. (Kosongkan kolom Link Prompt jika ada)."
),
"")</f>
        <v/>
      </c>
      <c r="L114" s="199" t="n"/>
      <c r="M114" s="199" t="n"/>
      <c r="N114" s="102" t="n"/>
      <c r="O114" s="102" t="n"/>
      <c r="P114" s="102" t="n"/>
      <c r="Q114" s="102" t="n"/>
      <c r="R114" s="102" t="n"/>
      <c r="S114" s="102" t="n"/>
      <c r="T114" s="102" t="n"/>
      <c r="U114" s="102" t="n"/>
      <c r="V114" s="102" t="n"/>
      <c r="W114" s="102" t="n"/>
      <c r="X114" s="102" t="n"/>
      <c r="Y114" s="102" t="n"/>
      <c r="Z114" s="102" t="n"/>
      <c r="AA114" s="102" t="n"/>
      <c r="AB114" s="102" t="n"/>
      <c r="AC114" s="102" t="n"/>
      <c r="AD114" s="102" t="n"/>
    </row>
    <row r="115" ht="15.75" customHeight="1" s="205">
      <c r="A115" s="102" t="n"/>
      <c r="B115" s="142" t="n"/>
      <c r="C115" s="143" t="n"/>
      <c r="D115" s="143" t="n"/>
      <c r="E115" s="143" t="n"/>
      <c r="F115" s="143" t="n"/>
      <c r="G115" s="144" t="n"/>
      <c r="H115" s="145">
        <f>IF(K115&lt;&gt;"", HYPERLINK("https://chatgpt.com/?prompt=" &amp; SUBSTITUTE(SUBSTITUTE(K115, " ", "+"), "&amp;", "dan") &amp; "&amp;force-refresh=true&amp;timestamp=" &amp; TEXT(NOW(), "yyyymmddhhmmss"), "👉 Klik untuk Generate Script! 🔥"), "")</f>
        <v/>
      </c>
      <c r="I115" s="143" t="n"/>
      <c r="J115" s="146" t="n"/>
      <c r="K115" s="130">
        <f>IF(AND(B115&lt;&gt;"", C115&lt;&gt;"", D115&lt;&gt;"", E115&lt;&gt;"", F115&lt;&gt;"", G115&lt;&gt;"", J115&lt;&gt;"", 'CONTENT PILLAR MAPPING'!C18&lt;&gt;"", 'CONTENT PILLAR MAPPING'!E18&lt;&gt;"", 'CONTENT PILLAR MAPPING'!F18&lt;&gt;"", 'CONTENT PILLAR MAPPING'!C21&lt;&gt;"", 'CONTENT PILLAR MAPPING'!C26&lt;&gt;"", 'CONTENT PILLAR MAPPING'!D26&lt;&gt;"", 'CONTENT PILLAR MAPPING'!E26&lt;&gt;"", 'CONTENT PILLAR MAPPING'!D34&lt;&gt;"", 'CONTENT PILLAR MAPPING'!D35&lt;&gt;""),
CONCATENATE(
"Sebagai seorang top konten kreator dengan niche utama '", 'CONTENT PILLAR MAPPING'!C18, "', spesifik kategori '", 'CONTENT PILLAR MAPPING'!E18, "', dan super spesifik '", 'CONTENT PILLAR MAPPING'!F18, "', yang dikenal sebagai '", 'CONTENT PILLAR MAPPING'!C21, "'.", CHAR(10),
"Saya memiliki Tone of Voice: '", 'CONTENT PILLAR MAPPING'!C26, "', Brand Archetype: '", 'CONTENT PILLAR MAPPING'!D26, "', dan Deskripsi Gaya Komunikasi: '", 'CONTENT PILLAR MAPPING'!E26, "'.", CHAR(10),
"Target audiens saya adalah: '", 'CONTENT PILLAR MAPPING'!D34, "', dengan segmentasi audiens: '", 'CONTENT PILLAR MAPPING'!D35, "'.", CHAR(10), CHAR(10),
"Mohon buatkan script konten yang **sangat powerful, menarik, inovatif, dan siap pakai** dengan judul ide '", B115, "'.", CHAR(10),
"Konten ini memiliki pilar '", C115, "', nilai tambah utama '", F115, "', dan akan menggunakan storytelling framework '", G115, "'.", CHAR(10),
"Gambaran singkat ide kontennya adalah: '", J115, "'.", CHAR(10),
"Konten ini akan diunggah di platform '", E115, "' dengan format '", D115,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 "'.** Sesuaikan dengan gaya komunikasi saya, dengan fokus pada nilai tambah '", F115,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 ", khusus ", 'CONTENT PILLAR MAPPING'!D35, ") dan membantu mereka menyelesaikan masalah atau mencapai tujuan mereka.", CHAR(10),
"✔ Membantuku membangun personal branding yang kuat dan sustainable, sesuai dengan Positioning saya sebagai '", 'CONTENT PILLAR MAPPING'!C21, "' dan Brand Archetype '", 'CONTENT PILLAR MAPPING'!D26, "'.", CHAR(10),
"✔ Kemas dalam bentuk tabel agar rapi, mudah di baca dan dipahami, dengan kolom 'Judul Konten', 'Pilar', 'Format', 'Draft Script', 'CTA', 'Saran Visual', dan 'Full Caption'. (Kosongkan kolom Link Prompt jika ada)."
),
"")</f>
        <v/>
      </c>
      <c r="L115" s="91" t="n"/>
      <c r="M115" s="91" t="n"/>
      <c r="N115" s="102" t="n"/>
      <c r="O115" s="102" t="n"/>
      <c r="P115" s="102" t="n"/>
      <c r="Q115" s="102" t="n"/>
      <c r="R115" s="102" t="n"/>
      <c r="S115" s="102" t="n"/>
      <c r="T115" s="102" t="n"/>
      <c r="U115" s="102" t="n"/>
      <c r="V115" s="102" t="n"/>
      <c r="W115" s="102" t="n"/>
      <c r="X115" s="102" t="n"/>
      <c r="Y115" s="102" t="n"/>
      <c r="Z115" s="102" t="n"/>
      <c r="AA115" s="102" t="n"/>
      <c r="AB115" s="102" t="n"/>
      <c r="AC115" s="102" t="n"/>
      <c r="AD115" s="102" t="n"/>
    </row>
    <row r="116" ht="15.75" customHeight="1" s="205">
      <c r="A116" s="102" t="n"/>
      <c r="B116" s="147" t="n"/>
      <c r="C116" s="144" t="n"/>
      <c r="D116" s="144" t="n"/>
      <c r="E116" s="144" t="n"/>
      <c r="F116" s="144" t="n"/>
      <c r="G116" s="144" t="n"/>
      <c r="H116" s="141">
        <f>IF(K116&lt;&gt;"", HYPERLINK("https://chatgpt.com/?prompt=" &amp; SUBSTITUTE(SUBSTITUTE(K116, " ", "+"), "&amp;", "dan") &amp; "&amp;force-refresh=true&amp;timestamp=" &amp; TEXT(NOW(), "yyyymmddhhmmss"), "👉 Klik untuk Generate Script! 🔥"), "")</f>
        <v/>
      </c>
      <c r="I116" s="144" t="n"/>
      <c r="J116" s="148" t="n"/>
      <c r="K116" s="140">
        <f>IF(AND(B116&lt;&gt;"", C116&lt;&gt;"", D116&lt;&gt;"", E116&lt;&gt;"", F116&lt;&gt;"", G116&lt;&gt;"", J116&lt;&gt;"", 'CONTENT PILLAR MAPPING'!C18&lt;&gt;"", 'CONTENT PILLAR MAPPING'!E18&lt;&gt;"", 'CONTENT PILLAR MAPPING'!F18&lt;&gt;"", 'CONTENT PILLAR MAPPING'!C21&lt;&gt;"", 'CONTENT PILLAR MAPPING'!C26&lt;&gt;"", 'CONTENT PILLAR MAPPING'!D26&lt;&gt;"", 'CONTENT PILLAR MAPPING'!E26&lt;&gt;"", 'CONTENT PILLAR MAPPING'!D34&lt;&gt;"", 'CONTENT PILLAR MAPPING'!D35&lt;&gt;""),
CONCATENATE(
"Sebagai seorang top konten kreator dengan niche utama '", 'CONTENT PILLAR MAPPING'!C18, "', spesifik kategori '", 'CONTENT PILLAR MAPPING'!E18, "', dan super spesifik '", 'CONTENT PILLAR MAPPING'!F18, "', yang dikenal sebagai '", 'CONTENT PILLAR MAPPING'!C21, "'.", CHAR(10),
"Saya memiliki Tone of Voice: '", 'CONTENT PILLAR MAPPING'!C26, "', Brand Archetype: '", 'CONTENT PILLAR MAPPING'!D26, "', dan Deskripsi Gaya Komunikasi: '", 'CONTENT PILLAR MAPPING'!E26, "'.", CHAR(10),
"Target audiens saya adalah: '", 'CONTENT PILLAR MAPPING'!D34, "', dengan segmentasi audiens: '", 'CONTENT PILLAR MAPPING'!D35, "'.", CHAR(10), CHAR(10),
"Mohon buatkan script konten yang **sangat powerful, menarik, inovatif, dan siap pakai** dengan judul ide '", B116, "'.", CHAR(10),
"Konten ini memiliki pilar '", C116, "', nilai tambah utama '", F116, "', dan akan menggunakan storytelling framework '", G116, "'.", CHAR(10),
"Gambaran singkat ide kontennya adalah: '", J116, "'.", CHAR(10),
"Konten ini akan diunggah di platform '", E116, "' dengan format '", D116,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 "'.** Sesuaikan dengan gaya komunikasi saya, dengan fokus pada nilai tambah '", F116,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 ", khusus ", 'CONTENT PILLAR MAPPING'!D35, ") dan membantu mereka menyelesaikan masalah atau mencapai tujuan mereka.", CHAR(10),
"✔ Membantuku membangun personal branding yang kuat dan sustainable, sesuai dengan Positioning saya sebagai '", 'CONTENT PILLAR MAPPING'!C21, "' dan Brand Archetype '", 'CONTENT PILLAR MAPPING'!D26, "'.", CHAR(10),
"✔ Kemas dalam bentuk tabel agar rapi, mudah di baca dan dipahami, dengan kolom 'Judul Konten', 'Pilar', 'Format', 'Draft Script', 'CTA', 'Saran Visual', dan 'Full Caption'. (Kosongkan kolom Link Prompt jika ada)."
),
"")</f>
        <v/>
      </c>
      <c r="L116" s="199" t="n"/>
      <c r="M116" s="199" t="n"/>
      <c r="N116" s="102" t="n"/>
      <c r="O116" s="102" t="n"/>
      <c r="P116" s="102" t="n"/>
      <c r="Q116" s="102" t="n"/>
      <c r="R116" s="102" t="n"/>
      <c r="S116" s="102" t="n"/>
      <c r="T116" s="102" t="n"/>
      <c r="U116" s="102" t="n"/>
      <c r="V116" s="102" t="n"/>
      <c r="W116" s="102" t="n"/>
      <c r="X116" s="102" t="n"/>
      <c r="Y116" s="102" t="n"/>
      <c r="Z116" s="102" t="n"/>
      <c r="AA116" s="102" t="n"/>
      <c r="AB116" s="102" t="n"/>
      <c r="AC116" s="102" t="n"/>
      <c r="AD116" s="102" t="n"/>
    </row>
    <row r="117" ht="15.75" customHeight="1" s="205">
      <c r="A117" s="102" t="n"/>
      <c r="B117" s="142" t="n"/>
      <c r="C117" s="143" t="n"/>
      <c r="D117" s="143" t="n"/>
      <c r="E117" s="143" t="n"/>
      <c r="F117" s="143" t="n"/>
      <c r="G117" s="144" t="n"/>
      <c r="H117" s="145">
        <f>IF(K117&lt;&gt;"", HYPERLINK("https://chatgpt.com/?prompt=" &amp; SUBSTITUTE(SUBSTITUTE(K117, " ", "+"), "&amp;", "dan") &amp; "&amp;force-refresh=true&amp;timestamp=" &amp; TEXT(NOW(), "yyyymmddhhmmss"), "👉 Klik untuk Generate Script! 🔥"), "")</f>
        <v/>
      </c>
      <c r="I117" s="143" t="n"/>
      <c r="J117" s="146" t="n"/>
      <c r="K117" s="130">
        <f>IF(AND(B117&lt;&gt;"", C117&lt;&gt;"", D117&lt;&gt;"", E117&lt;&gt;"", F117&lt;&gt;"", G117&lt;&gt;"", J117&lt;&gt;"", 'CONTENT PILLAR MAPPING'!C20&lt;&gt;"", 'CONTENT PILLAR MAPPING'!E20&lt;&gt;"", 'CONTENT PILLAR MAPPING'!F20&lt;&gt;"", 'CONTENT PILLAR MAPPING'!C23&lt;&gt;"", 'CONTENT PILLAR MAPPING'!C28&lt;&gt;"", 'CONTENT PILLAR MAPPING'!D28&lt;&gt;"", 'CONTENT PILLAR MAPPING'!E28&lt;&gt;"", 'CONTENT PILLAR MAPPING'!D36&lt;&gt;"", 'CONTENT PILLAR MAPPING'!D37&lt;&gt;""),
CONCATENATE(
"Sebagai seorang top konten kreator dengan niche utama '", 'CONTENT PILLAR MAPPING'!C20, "', spesifik kategori '", 'CONTENT PILLAR MAPPING'!E20, "', dan super spesifik '", 'CONTENT PILLAR MAPPING'!F20, "', yang dikenal sebagai '", 'CONTENT PILLAR MAPPING'!C23, "'.", CHAR(10),
"Saya memiliki Tone of Voice: '", 'CONTENT PILLAR MAPPING'!C28, "', Brand Archetype: '", 'CONTENT PILLAR MAPPING'!D28, "', dan Deskripsi Gaya Komunikasi: '", 'CONTENT PILLAR MAPPING'!E28, "'.", CHAR(10),
"Target audiens saya adalah: '", 'CONTENT PILLAR MAPPING'!D36, "', dengan segmentasi audiens: '", 'CONTENT PILLAR MAPPING'!D37, "'.", CHAR(10), CHAR(10),
"Mohon buatkan script konten yang **sangat powerful, menarik, inovatif, dan siap pakai** dengan judul ide '", B117, "'.", CHAR(10),
"Konten ini memiliki pilar '", C117, "', nilai tambah utama '", F117, "', dan akan menggunakan storytelling framework '", G117, "'.", CHAR(10),
"Gambaran singkat ide kontennya adalah: '", J117, "'.", CHAR(10),
"Konten ini akan diunggah di platform '", E117, "' dengan format '", D117,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 "'.** Sesuaikan dengan gaya komunikasi saya, dengan fokus pada nilai tambah '", F117,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 ", khusus ", 'CONTENT PILLAR MAPPING'!D37, ") dan membantu mereka menyelesaikan masalah atau mencapai tujuan mereka.", CHAR(10),
"✔ Membantuku membangun personal branding yang kuat dan sustainable, sesuai dengan Positioning saya sebagai '", 'CONTENT PILLAR MAPPING'!C23, "' dan Brand Archetype '", 'CONTENT PILLAR MAPPING'!D28, "'.", CHAR(10),
"✔ Kemas dalam bentuk tabel agar rapi, mudah di baca dan dipahami, dengan kolom 'Judul Konten', 'Pilar', 'Format', 'Draft Script', 'CTA', 'Saran Visual', dan 'Full Caption'. (Kosongkan kolom Link Prompt jika ada)."
),
"")</f>
        <v/>
      </c>
      <c r="L117" s="91" t="n"/>
      <c r="M117" s="91" t="n"/>
      <c r="N117" s="102" t="n"/>
      <c r="O117" s="102" t="n"/>
      <c r="P117" s="102" t="n"/>
      <c r="Q117" s="102" t="n"/>
      <c r="R117" s="102" t="n"/>
      <c r="S117" s="102" t="n"/>
      <c r="T117" s="102" t="n"/>
      <c r="U117" s="102" t="n"/>
      <c r="V117" s="102" t="n"/>
      <c r="W117" s="102" t="n"/>
      <c r="X117" s="102" t="n"/>
      <c r="Y117" s="102" t="n"/>
      <c r="Z117" s="102" t="n"/>
      <c r="AA117" s="102" t="n"/>
      <c r="AB117" s="102" t="n"/>
      <c r="AC117" s="102" t="n"/>
      <c r="AD117" s="102" t="n"/>
    </row>
    <row r="118" ht="15.75" customHeight="1" s="205">
      <c r="A118" s="102" t="n"/>
      <c r="B118" s="147" t="n"/>
      <c r="C118" s="144" t="n"/>
      <c r="D118" s="144" t="n"/>
      <c r="E118" s="144" t="n"/>
      <c r="F118" s="144" t="n"/>
      <c r="G118" s="144" t="n"/>
      <c r="H118" s="141">
        <f>IF(K118&lt;&gt;"", HYPERLINK("https://chatgpt.com/?prompt=" &amp; SUBSTITUTE(SUBSTITUTE(K118, " ", "+"), "&amp;", "dan") &amp; "&amp;force-refresh=true&amp;timestamp=" &amp; TEXT(NOW(), "yyyymmddhhmmss"), "👉 Klik untuk Generate Script! 🔥"), "")</f>
        <v/>
      </c>
      <c r="I118" s="144" t="n"/>
      <c r="J118" s="148" t="n"/>
      <c r="K118" s="140">
        <f>IF(AND(B118&lt;&gt;"", C118&lt;&gt;"", D118&lt;&gt;"", E118&lt;&gt;"", F118&lt;&gt;"", G118&lt;&gt;"", J118&lt;&gt;"", 'CONTENT PILLAR MAPPING'!C20&lt;&gt;"", 'CONTENT PILLAR MAPPING'!E20&lt;&gt;"", 'CONTENT PILLAR MAPPING'!F20&lt;&gt;"", 'CONTENT PILLAR MAPPING'!C23&lt;&gt;"", 'CONTENT PILLAR MAPPING'!C28&lt;&gt;"", 'CONTENT PILLAR MAPPING'!D28&lt;&gt;"", 'CONTENT PILLAR MAPPING'!E28&lt;&gt;"", 'CONTENT PILLAR MAPPING'!D36&lt;&gt;"", 'CONTENT PILLAR MAPPING'!D37&lt;&gt;""),
CONCATENATE(
"Sebagai seorang top konten kreator dengan niche utama '", 'CONTENT PILLAR MAPPING'!C20, "', spesifik kategori '", 'CONTENT PILLAR MAPPING'!E20, "', dan super spesifik '", 'CONTENT PILLAR MAPPING'!F20, "', yang dikenal sebagai '", 'CONTENT PILLAR MAPPING'!C23, "'.", CHAR(10),
"Saya memiliki Tone of Voice: '", 'CONTENT PILLAR MAPPING'!C28, "', Brand Archetype: '", 'CONTENT PILLAR MAPPING'!D28, "', dan Deskripsi Gaya Komunikasi: '", 'CONTENT PILLAR MAPPING'!E28, "'.", CHAR(10),
"Target audiens saya adalah: '", 'CONTENT PILLAR MAPPING'!D36, "', dengan segmentasi audiens: '", 'CONTENT PILLAR MAPPING'!D37, "'.", CHAR(10), CHAR(10),
"Mohon buatkan script konten yang **sangat powerful, menarik, inovatif, dan siap pakai** dengan judul ide '", B118, "'.", CHAR(10),
"Konten ini memiliki pilar '", C118, "', nilai tambah utama '", F118, "', dan akan menggunakan storytelling framework '", G118, "'.", CHAR(10),
"Gambaran singkat ide kontennya adalah: '", J118, "'.", CHAR(10),
"Konten ini akan diunggah di platform '", E118, "' dengan format '", D118,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 "'.** Sesuaikan dengan gaya komunikasi saya, dengan fokus pada nilai tambah '", F118,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 ", khusus ", 'CONTENT PILLAR MAPPING'!D37, ") dan membantu mereka menyelesaikan masalah atau mencapai tujuan mereka.", CHAR(10),
"✔ Membantuku membangun personal branding yang kuat dan sustainable, sesuai dengan Positioning saya sebagai '", 'CONTENT PILLAR MAPPING'!C23, "' dan Brand Archetype '", 'CONTENT PILLAR MAPPING'!D28, "'.", CHAR(10),
"✔ Kemas dalam bentuk tabel agar rapi, mudah di baca dan dipahami, dengan kolom 'Judul Konten', 'Pilar', 'Format', 'Draft Script', 'CTA', 'Saran Visual', dan 'Full Caption'. (Kosongkan kolom Link Prompt jika ada)."
),
"")</f>
        <v/>
      </c>
      <c r="L118" s="199" t="n"/>
      <c r="M118" s="199" t="n"/>
      <c r="N118" s="102" t="n"/>
      <c r="O118" s="102" t="n"/>
      <c r="P118" s="102" t="n"/>
      <c r="Q118" s="102" t="n"/>
      <c r="R118" s="102" t="n"/>
      <c r="S118" s="102" t="n"/>
      <c r="T118" s="102" t="n"/>
      <c r="U118" s="102" t="n"/>
      <c r="V118" s="102" t="n"/>
      <c r="W118" s="102" t="n"/>
      <c r="X118" s="102" t="n"/>
      <c r="Y118" s="102" t="n"/>
      <c r="Z118" s="102" t="n"/>
      <c r="AA118" s="102" t="n"/>
      <c r="AB118" s="102" t="n"/>
      <c r="AC118" s="102" t="n"/>
      <c r="AD118" s="102" t="n"/>
    </row>
    <row r="119" ht="15.75" customHeight="1" s="205">
      <c r="A119" s="102" t="n"/>
      <c r="B119" s="142" t="n"/>
      <c r="C119" s="143" t="n"/>
      <c r="D119" s="143" t="n"/>
      <c r="E119" s="143" t="n"/>
      <c r="F119" s="143" t="n"/>
      <c r="G119" s="144" t="n"/>
      <c r="H119" s="145">
        <f>IF(K119&lt;&gt;"", HYPERLINK("https://chatgpt.com/?prompt=" &amp; SUBSTITUTE(SUBSTITUTE(K119, " ", "+"), "&amp;", "dan") &amp; "&amp;force-refresh=true&amp;timestamp=" &amp; TEXT(NOW(), "yyyymmddhhmmss"), "👉 Klik untuk Generate Script! 🔥"), "")</f>
        <v/>
      </c>
      <c r="I119" s="143" t="n"/>
      <c r="J119" s="146" t="n"/>
      <c r="K119" s="130">
        <f>IF(AND(B119&lt;&gt;"", C119&lt;&gt;"", D119&lt;&gt;"", E119&lt;&gt;"", F119&lt;&gt;"", G119&lt;&gt;"", J119&lt;&gt;"", 'CONTENT PILLAR MAPPING'!C22&lt;&gt;"", 'CONTENT PILLAR MAPPING'!E22&lt;&gt;"", 'CONTENT PILLAR MAPPING'!F22&lt;&gt;"", 'CONTENT PILLAR MAPPING'!C25&lt;&gt;"", 'CONTENT PILLAR MAPPING'!C30&lt;&gt;"", 'CONTENT PILLAR MAPPING'!D30&lt;&gt;"", 'CONTENT PILLAR MAPPING'!E30&lt;&gt;"", 'CONTENT PILLAR MAPPING'!D38&lt;&gt;"", 'CONTENT PILLAR MAPPING'!D39&lt;&gt;""),
CONCATENATE(
"Sebagai seorang top konten kreator dengan niche utama '", 'CONTENT PILLAR MAPPING'!C22, "', spesifik kategori '", 'CONTENT PILLAR MAPPING'!E22, "', dan super spesifik '", 'CONTENT PILLAR MAPPING'!F22, "', yang dikenal sebagai '", 'CONTENT PILLAR MAPPING'!C25, "'.", CHAR(10),
"Saya memiliki Tone of Voice: '", 'CONTENT PILLAR MAPPING'!C30, "', Brand Archetype: '", 'CONTENT PILLAR MAPPING'!D30, "', dan Deskripsi Gaya Komunikasi: '", 'CONTENT PILLAR MAPPING'!E30, "'.", CHAR(10),
"Target audiens saya adalah: '", 'CONTENT PILLAR MAPPING'!D38, "', dengan segmentasi audiens: '", 'CONTENT PILLAR MAPPING'!D39, "'.", CHAR(10), CHAR(10),
"Mohon buatkan script konten yang **sangat powerful, menarik, inovatif, dan siap pakai** dengan judul ide '", B119, "'.", CHAR(10),
"Konten ini memiliki pilar '", C119, "', nilai tambah utama '", F119, "', dan akan menggunakan storytelling framework '", G119, "'.", CHAR(10),
"Gambaran singkat ide kontennya adalah: '", J119, "'.", CHAR(10),
"Konten ini akan diunggah di platform '", E119, "' dengan format '", D119,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 "'.** Sesuaikan dengan gaya komunikasi saya, dengan fokus pada nilai tambah '", F119,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 ", khusus ", 'CONTENT PILLAR MAPPING'!D39, ") dan membantu mereka menyelesaikan masalah atau mencapai tujuan mereka.", CHAR(10),
"✔ Membantuku membangun personal branding yang kuat dan sustainable, sesuai dengan Positioning saya sebagai '", 'CONTENT PILLAR MAPPING'!C25, "' dan Brand Archetype '", 'CONTENT PILLAR MAPPING'!D30, "'.", CHAR(10),
"✔ Kemas dalam bentuk tabel agar rapi, mudah di baca dan dipahami, dengan kolom 'Judul Konten', 'Pilar', 'Format', 'Draft Script', 'CTA', 'Saran Visual', dan 'Full Caption'. (Kosongkan kolom Link Prompt jika ada)."
),
"")</f>
        <v/>
      </c>
      <c r="L119" s="91" t="n"/>
      <c r="M119" s="91" t="n"/>
      <c r="N119" s="102" t="n"/>
      <c r="O119" s="102" t="n"/>
      <c r="P119" s="102" t="n"/>
      <c r="Q119" s="102" t="n"/>
      <c r="R119" s="102" t="n"/>
      <c r="S119" s="102" t="n"/>
      <c r="T119" s="102" t="n"/>
      <c r="U119" s="102" t="n"/>
      <c r="V119" s="102" t="n"/>
      <c r="W119" s="102" t="n"/>
      <c r="X119" s="102" t="n"/>
      <c r="Y119" s="102" t="n"/>
      <c r="Z119" s="102" t="n"/>
      <c r="AA119" s="102" t="n"/>
      <c r="AB119" s="102" t="n"/>
      <c r="AC119" s="102" t="n"/>
      <c r="AD119" s="102" t="n"/>
    </row>
    <row r="120" ht="15.75" customHeight="1" s="205">
      <c r="A120" s="102" t="n"/>
      <c r="B120" s="147" t="n"/>
      <c r="C120" s="144" t="n"/>
      <c r="D120" s="144" t="n"/>
      <c r="E120" s="144" t="n"/>
      <c r="F120" s="144" t="n"/>
      <c r="G120" s="144" t="n"/>
      <c r="H120" s="141">
        <f>IF(K120&lt;&gt;"", HYPERLINK("https://chatgpt.com/?prompt=" &amp; SUBSTITUTE(SUBSTITUTE(K120, " ", "+"), "&amp;", "dan") &amp; "&amp;force-refresh=true&amp;timestamp=" &amp; TEXT(NOW(), "yyyymmddhhmmss"), "👉 Klik untuk Generate Script! 🔥"), "")</f>
        <v/>
      </c>
      <c r="I120" s="144" t="n"/>
      <c r="J120" s="148" t="n"/>
      <c r="K120" s="140">
        <f>IF(AND(B120&lt;&gt;"", C120&lt;&gt;"", D120&lt;&gt;"", E120&lt;&gt;"", F120&lt;&gt;"", G120&lt;&gt;"", J120&lt;&gt;"", 'CONTENT PILLAR MAPPING'!C22&lt;&gt;"", 'CONTENT PILLAR MAPPING'!E22&lt;&gt;"", 'CONTENT PILLAR MAPPING'!F22&lt;&gt;"", 'CONTENT PILLAR MAPPING'!C25&lt;&gt;"", 'CONTENT PILLAR MAPPING'!C30&lt;&gt;"", 'CONTENT PILLAR MAPPING'!D30&lt;&gt;"", 'CONTENT PILLAR MAPPING'!E30&lt;&gt;"", 'CONTENT PILLAR MAPPING'!D38&lt;&gt;"", 'CONTENT PILLAR MAPPING'!D39&lt;&gt;""),
CONCATENATE(
"Sebagai seorang top konten kreator dengan niche utama '", 'CONTENT PILLAR MAPPING'!C22, "', spesifik kategori '", 'CONTENT PILLAR MAPPING'!E22, "', dan super spesifik '", 'CONTENT PILLAR MAPPING'!F22, "', yang dikenal sebagai '", 'CONTENT PILLAR MAPPING'!C25, "'.", CHAR(10),
"Saya memiliki Tone of Voice: '", 'CONTENT PILLAR MAPPING'!C30, "', Brand Archetype: '", 'CONTENT PILLAR MAPPING'!D30, "', dan Deskripsi Gaya Komunikasi: '", 'CONTENT PILLAR MAPPING'!E30, "'.", CHAR(10),
"Target audiens saya adalah: '", 'CONTENT PILLAR MAPPING'!D38, "', dengan segmentasi audiens: '", 'CONTENT PILLAR MAPPING'!D39, "'.", CHAR(10), CHAR(10),
"Mohon buatkan script konten yang **sangat powerful, menarik, inovatif, dan siap pakai** dengan judul ide '", B120, "'.", CHAR(10),
"Konten ini memiliki pilar '", C120, "', nilai tambah utama '", F120, "', dan akan menggunakan storytelling framework '", G120, "'.", CHAR(10),
"Gambaran singkat ide kontennya adalah: '", J120, "'.", CHAR(10),
"Konten ini akan diunggah di platform '", E120, "' dengan format '", D120,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 "'.** Sesuaikan dengan gaya komunikasi saya, dengan fokus pada nilai tambah '", F120,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 ", khusus ", 'CONTENT PILLAR MAPPING'!D39, ") dan membantu mereka menyelesaikan masalah atau mencapai tujuan mereka.", CHAR(10),
"✔ Membantuku membangun personal branding yang kuat dan sustainable, sesuai dengan Positioning saya sebagai '", 'CONTENT PILLAR MAPPING'!C25, "' dan Brand Archetype '", 'CONTENT PILLAR MAPPING'!D30, "'.", CHAR(10),
"✔ Kemas dalam bentuk tabel agar rapi, mudah di baca dan dipahami, dengan kolom 'Judul Konten', 'Pilar', 'Format', 'Draft Script', 'CTA', 'Saran Visual', dan 'Full Caption'. (Kosongkan kolom Link Prompt jika ada)."
),
"")</f>
        <v/>
      </c>
      <c r="L120" s="199" t="n"/>
      <c r="M120" s="199" t="n"/>
      <c r="N120" s="102" t="n"/>
      <c r="O120" s="102" t="n"/>
      <c r="P120" s="102" t="n"/>
      <c r="Q120" s="102" t="n"/>
      <c r="R120" s="102" t="n"/>
      <c r="S120" s="102" t="n"/>
      <c r="T120" s="102" t="n"/>
      <c r="U120" s="102" t="n"/>
      <c r="V120" s="102" t="n"/>
      <c r="W120" s="102" t="n"/>
      <c r="X120" s="102" t="n"/>
      <c r="Y120" s="102" t="n"/>
      <c r="Z120" s="102" t="n"/>
      <c r="AA120" s="102" t="n"/>
      <c r="AB120" s="102" t="n"/>
      <c r="AC120" s="102" t="n"/>
      <c r="AD120" s="102" t="n"/>
    </row>
    <row r="121" ht="15.75" customHeight="1" s="205">
      <c r="A121" s="102" t="n"/>
      <c r="B121" s="142" t="n"/>
      <c r="C121" s="143" t="n"/>
      <c r="D121" s="143" t="n"/>
      <c r="E121" s="143" t="n"/>
      <c r="F121" s="143" t="n"/>
      <c r="G121" s="144" t="n"/>
      <c r="H121" s="145">
        <f>IF(K121&lt;&gt;"", HYPERLINK("https://chatgpt.com/?prompt=" &amp; SUBSTITUTE(SUBSTITUTE(K121, " ", "+"), "&amp;", "dan") &amp; "&amp;force-refresh=true&amp;timestamp=" &amp; TEXT(NOW(), "yyyymmddhhmmss"), "👉 Klik untuk Generate Script! 🔥"), "")</f>
        <v/>
      </c>
      <c r="I121" s="143" t="n"/>
      <c r="J121" s="146" t="n"/>
      <c r="K121" s="130">
        <f>IF(AND(B121&lt;&gt;"", C121&lt;&gt;"", D121&lt;&gt;"", E121&lt;&gt;"", F121&lt;&gt;"", G121&lt;&gt;"", J121&lt;&gt;"", 'CONTENT PILLAR MAPPING'!C24&lt;&gt;"", 'CONTENT PILLAR MAPPING'!E24&lt;&gt;"", 'CONTENT PILLAR MAPPING'!F24&lt;&gt;"", 'CONTENT PILLAR MAPPING'!C27&lt;&gt;"", 'CONTENT PILLAR MAPPING'!C32&lt;&gt;"", 'CONTENT PILLAR MAPPING'!D32&lt;&gt;"", 'CONTENT PILLAR MAPPING'!E32&lt;&gt;"", 'CONTENT PILLAR MAPPING'!D40&lt;&gt;"", 'CONTENT PILLAR MAPPING'!D41&lt;&gt;""),
CONCATENATE(
"Sebagai seorang top konten kreator dengan niche utama '", 'CONTENT PILLAR MAPPING'!C24, "', spesifik kategori '", 'CONTENT PILLAR MAPPING'!E24, "', dan super spesifik '", 'CONTENT PILLAR MAPPING'!F24, "', yang dikenal sebagai '", 'CONTENT PILLAR MAPPING'!C27, "'.", CHAR(10),
"Saya memiliki Tone of Voice: '", 'CONTENT PILLAR MAPPING'!C32, "', Brand Archetype: '", 'CONTENT PILLAR MAPPING'!D32, "', dan Deskripsi Gaya Komunikasi: '", 'CONTENT PILLAR MAPPING'!E32, "'.", CHAR(10),
"Target audiens saya adalah: '", 'CONTENT PILLAR MAPPING'!D40, "', dengan segmentasi audiens: '", 'CONTENT PILLAR MAPPING'!D41, "'.", CHAR(10), CHAR(10),
"Mohon buatkan script konten yang **sangat powerful, menarik, inovatif, dan siap pakai** dengan judul ide '", B121, "'.", CHAR(10),
"Konten ini memiliki pilar '", C121, "', nilai tambah utama '", F121, "', dan akan menggunakan storytelling framework '", G121, "'.", CHAR(10),
"Gambaran singkat ide kontennya adalah: '", J121, "'.", CHAR(10),
"Konten ini akan diunggah di platform '", E121, "' dengan format '", D121,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 "'.** Sesuaikan dengan gaya komunikasi saya, dengan fokus pada nilai tambah '", F121,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 ", khusus ", 'CONTENT PILLAR MAPPING'!D41, ") dan membantu mereka menyelesaikan masalah atau mencapai tujuan mereka.", CHAR(10),
"✔ Membantuku membangun personal branding yang kuat dan sustainable, sesuai dengan Positioning saya sebagai '", 'CONTENT PILLAR MAPPING'!C27, "' dan Brand Archetype '", 'CONTENT PILLAR MAPPING'!D32, "'.", CHAR(10),
"✔ Kemas dalam bentuk tabel agar rapi, mudah di baca dan dipahami, dengan kolom 'Judul Konten', 'Pilar', 'Format', 'Draft Script', 'CTA', 'Saran Visual', dan 'Full Caption'. (Kosongkan kolom Link Prompt jika ada)."
),
"")</f>
        <v/>
      </c>
      <c r="L121" s="91" t="n"/>
      <c r="M121" s="91" t="n"/>
      <c r="N121" s="102" t="n"/>
      <c r="O121" s="102" t="n"/>
      <c r="P121" s="102" t="n"/>
      <c r="Q121" s="102" t="n"/>
      <c r="R121" s="102" t="n"/>
      <c r="S121" s="102" t="n"/>
      <c r="T121" s="102" t="n"/>
      <c r="U121" s="102" t="n"/>
      <c r="V121" s="102" t="n"/>
      <c r="W121" s="102" t="n"/>
      <c r="X121" s="102" t="n"/>
      <c r="Y121" s="102" t="n"/>
      <c r="Z121" s="102" t="n"/>
      <c r="AA121" s="102" t="n"/>
      <c r="AB121" s="102" t="n"/>
      <c r="AC121" s="102" t="n"/>
      <c r="AD121" s="102" t="n"/>
    </row>
    <row r="122" ht="15.75" customHeight="1" s="205">
      <c r="A122" s="102" t="n"/>
      <c r="B122" s="147" t="n"/>
      <c r="C122" s="144" t="n"/>
      <c r="D122" s="144" t="n"/>
      <c r="E122" s="144" t="n"/>
      <c r="F122" s="144" t="n"/>
      <c r="G122" s="144" t="n"/>
      <c r="H122" s="141">
        <f>IF(K122&lt;&gt;"", HYPERLINK("https://chatgpt.com/?prompt=" &amp; SUBSTITUTE(SUBSTITUTE(K122, " ", "+"), "&amp;", "dan") &amp; "&amp;force-refresh=true&amp;timestamp=" &amp; TEXT(NOW(), "yyyymmddhhmmss"), "👉 Klik untuk Generate Script! 🔥"), "")</f>
        <v/>
      </c>
      <c r="I122" s="144" t="n"/>
      <c r="J122" s="148" t="n"/>
      <c r="K122" s="140">
        <f>IF(AND(B122&lt;&gt;"", C122&lt;&gt;"", D122&lt;&gt;"", E122&lt;&gt;"", F122&lt;&gt;"", G122&lt;&gt;"", J122&lt;&gt;"", 'CONTENT PILLAR MAPPING'!C24&lt;&gt;"", 'CONTENT PILLAR MAPPING'!E24&lt;&gt;"", 'CONTENT PILLAR MAPPING'!F24&lt;&gt;"", 'CONTENT PILLAR MAPPING'!C27&lt;&gt;"", 'CONTENT PILLAR MAPPING'!C32&lt;&gt;"", 'CONTENT PILLAR MAPPING'!D32&lt;&gt;"", 'CONTENT PILLAR MAPPING'!E32&lt;&gt;"", 'CONTENT PILLAR MAPPING'!D40&lt;&gt;"", 'CONTENT PILLAR MAPPING'!D41&lt;&gt;""),
CONCATENATE(
"Sebagai seorang top konten kreator dengan niche utama '", 'CONTENT PILLAR MAPPING'!C24, "', spesifik kategori '", 'CONTENT PILLAR MAPPING'!E24, "', dan super spesifik '", 'CONTENT PILLAR MAPPING'!F24, "', yang dikenal sebagai '", 'CONTENT PILLAR MAPPING'!C27, "'.", CHAR(10),
"Saya memiliki Tone of Voice: '", 'CONTENT PILLAR MAPPING'!C32, "', Brand Archetype: '", 'CONTENT PILLAR MAPPING'!D32, "', dan Deskripsi Gaya Komunikasi: '", 'CONTENT PILLAR MAPPING'!E32, "'.", CHAR(10),
"Target audiens saya adalah: '", 'CONTENT PILLAR MAPPING'!D40, "', dengan segmentasi audiens: '", 'CONTENT PILLAR MAPPING'!D41, "'.", CHAR(10), CHAR(10),
"Mohon buatkan script konten yang **sangat powerful, menarik, inovatif, dan siap pakai** dengan judul ide '", B122, "'.", CHAR(10),
"Konten ini memiliki pilar '", C122, "', nilai tambah utama '", F122, "', dan akan menggunakan storytelling framework '", G122, "'.", CHAR(10),
"Gambaran singkat ide kontennya adalah: '", J122, "'.", CHAR(10),
"Konten ini akan diunggah di platform '", E122, "' dengan format '", D122,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 "'.** Sesuaikan dengan gaya komunikasi saya, dengan fokus pada nilai tambah '", F122,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 ", khusus ", 'CONTENT PILLAR MAPPING'!D41, ") dan membantu mereka menyelesaikan masalah atau mencapai tujuan mereka.", CHAR(10),
"✔ Membantuku membangun personal branding yang kuat dan sustainable, sesuai dengan Positioning saya sebagai '", 'CONTENT PILLAR MAPPING'!C27, "' dan Brand Archetype '", 'CONTENT PILLAR MAPPING'!D32, "'.", CHAR(10),
"✔ Kemas dalam bentuk tabel agar rapi, mudah di baca dan dipahami, dengan kolom 'Judul Konten', 'Pilar', 'Format', 'Draft Script', 'CTA', 'Saran Visual', dan 'Full Caption'. (Kosongkan kolom Link Prompt jika ada)."
),
"")</f>
        <v/>
      </c>
      <c r="L122" s="199" t="n"/>
      <c r="M122" s="199" t="n"/>
      <c r="N122" s="102" t="n"/>
      <c r="O122" s="102" t="n"/>
      <c r="P122" s="102" t="n"/>
      <c r="Q122" s="102" t="n"/>
      <c r="R122" s="102" t="n"/>
      <c r="S122" s="102" t="n"/>
      <c r="T122" s="102" t="n"/>
      <c r="U122" s="102" t="n"/>
      <c r="V122" s="102" t="n"/>
      <c r="W122" s="102" t="n"/>
      <c r="X122" s="102" t="n"/>
      <c r="Y122" s="102" t="n"/>
      <c r="Z122" s="102" t="n"/>
      <c r="AA122" s="102" t="n"/>
      <c r="AB122" s="102" t="n"/>
      <c r="AC122" s="102" t="n"/>
      <c r="AD122" s="102" t="n"/>
    </row>
    <row r="123" ht="15.75" customHeight="1" s="205">
      <c r="A123" s="102" t="n"/>
      <c r="B123" s="142" t="n"/>
      <c r="C123" s="143" t="n"/>
      <c r="D123" s="143" t="n"/>
      <c r="E123" s="143" t="n"/>
      <c r="F123" s="143" t="n"/>
      <c r="G123" s="144" t="n"/>
      <c r="H123" s="145">
        <f>IF(K123&lt;&gt;"", HYPERLINK("https://chatgpt.com/?prompt=" &amp; SUBSTITUTE(SUBSTITUTE(K123, " ", "+"), "&amp;", "dan") &amp; "&amp;force-refresh=true&amp;timestamp=" &amp; TEXT(NOW(), "yyyymmddhhmmss"), "👉 Klik untuk Generate Script! 🔥"), "")</f>
        <v/>
      </c>
      <c r="I123" s="143" t="n"/>
      <c r="J123" s="146" t="n"/>
      <c r="K123" s="130">
        <f>IF(AND(B123&lt;&gt;"", C123&lt;&gt;"", D123&lt;&gt;"", E123&lt;&gt;"", F123&lt;&gt;"", G123&lt;&gt;"", J123&lt;&gt;"", 'CONTENT PILLAR MAPPING'!C26&lt;&gt;"", 'CONTENT PILLAR MAPPING'!E26&lt;&gt;"", 'CONTENT PILLAR MAPPING'!F26&lt;&gt;"", 'CONTENT PILLAR MAPPING'!C29&lt;&gt;"", 'CONTENT PILLAR MAPPING'!C34&lt;&gt;"", 'CONTENT PILLAR MAPPING'!D34&lt;&gt;"", 'CONTENT PILLAR MAPPING'!E34&lt;&gt;"", 'CONTENT PILLAR MAPPING'!D42&lt;&gt;"", 'CONTENT PILLAR MAPPING'!D43&lt;&gt;""),
CONCATENATE(
"Sebagai seorang top konten kreator dengan niche utama '", 'CONTENT PILLAR MAPPING'!C26, "', spesifik kategori '", 'CONTENT PILLAR MAPPING'!E26, "', dan super spesifik '", 'CONTENT PILLAR MAPPING'!F26, "', yang dikenal sebagai '", 'CONTENT PILLAR MAPPING'!C29, "'.", CHAR(10),
"Saya memiliki Tone of Voice: '", 'CONTENT PILLAR MAPPING'!C34, "', Brand Archetype: '", 'CONTENT PILLAR MAPPING'!D34, "', dan Deskripsi Gaya Komunikasi: '", 'CONTENT PILLAR MAPPING'!E34, "'.", CHAR(10),
"Target audiens saya adalah: '", 'CONTENT PILLAR MAPPING'!D42, "', dengan segmentasi audiens: '", 'CONTENT PILLAR MAPPING'!D43, "'.", CHAR(10), CHAR(10),
"Mohon buatkan script konten yang **sangat powerful, menarik, inovatif, dan siap pakai** dengan judul ide '", B123, "'.", CHAR(10),
"Konten ini memiliki pilar '", C123, "', nilai tambah utama '", F123, "', dan akan menggunakan storytelling framework '", G123, "'.", CHAR(10),
"Gambaran singkat ide kontennya adalah: '", J123, "'.", CHAR(10),
"Konten ini akan diunggah di platform '", E123, "' dengan format '", D123,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 "'.** Sesuaikan dengan gaya komunikasi saya, dengan fokus pada nilai tambah '", F123,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 ", khusus ", 'CONTENT PILLAR MAPPING'!D43, ") dan membantu mereka menyelesaikan masalah atau mencapai tujuan mereka.", CHAR(10),
"✔ Membantuku membangun personal branding yang kuat dan sustainable, sesuai dengan Positioning saya sebagai '", 'CONTENT PILLAR MAPPING'!C29, "' dan Brand Archetype '", 'CONTENT PILLAR MAPPING'!D34, "'.", CHAR(10),
"✔ Kemas dalam bentuk tabel agar rapi, mudah di baca dan dipahami, dengan kolom 'Judul Konten', 'Pilar', 'Format', 'Draft Script', 'CTA', 'Saran Visual', dan 'Full Caption'. (Kosongkan kolom Link Prompt jika ada)."
),
"")</f>
        <v/>
      </c>
      <c r="L123" s="91" t="n"/>
      <c r="M123" s="91" t="n"/>
      <c r="N123" s="102" t="n"/>
      <c r="O123" s="102" t="n"/>
      <c r="P123" s="102" t="n"/>
      <c r="Q123" s="102" t="n"/>
      <c r="R123" s="102" t="n"/>
      <c r="S123" s="102" t="n"/>
      <c r="T123" s="102" t="n"/>
      <c r="U123" s="102" t="n"/>
      <c r="V123" s="102" t="n"/>
      <c r="W123" s="102" t="n"/>
      <c r="X123" s="102" t="n"/>
      <c r="Y123" s="102" t="n"/>
      <c r="Z123" s="102" t="n"/>
      <c r="AA123" s="102" t="n"/>
      <c r="AB123" s="102" t="n"/>
      <c r="AC123" s="102" t="n"/>
      <c r="AD123" s="102" t="n"/>
    </row>
    <row r="124" ht="15.75" customHeight="1" s="205">
      <c r="A124" s="102" t="n"/>
      <c r="B124" s="147" t="n"/>
      <c r="C124" s="144" t="n"/>
      <c r="D124" s="144" t="n"/>
      <c r="E124" s="144" t="n"/>
      <c r="F124" s="144" t="n"/>
      <c r="G124" s="144" t="n"/>
      <c r="H124" s="141">
        <f>IF(K124&lt;&gt;"", HYPERLINK("https://chatgpt.com/?prompt=" &amp; SUBSTITUTE(SUBSTITUTE(K124, " ", "+"), "&amp;", "dan") &amp; "&amp;force-refresh=true&amp;timestamp=" &amp; TEXT(NOW(), "yyyymmddhhmmss"), "👉 Klik untuk Generate Script! 🔥"), "")</f>
        <v/>
      </c>
      <c r="I124" s="144" t="n"/>
      <c r="J124" s="148" t="n"/>
      <c r="K124" s="140">
        <f>IF(AND(B124&lt;&gt;"", C124&lt;&gt;"", D124&lt;&gt;"", E124&lt;&gt;"", F124&lt;&gt;"", G124&lt;&gt;"", J124&lt;&gt;"", 'CONTENT PILLAR MAPPING'!C26&lt;&gt;"", 'CONTENT PILLAR MAPPING'!E26&lt;&gt;"", 'CONTENT PILLAR MAPPING'!F26&lt;&gt;"", 'CONTENT PILLAR MAPPING'!C29&lt;&gt;"", 'CONTENT PILLAR MAPPING'!C34&lt;&gt;"", 'CONTENT PILLAR MAPPING'!D34&lt;&gt;"", 'CONTENT PILLAR MAPPING'!E34&lt;&gt;"", 'CONTENT PILLAR MAPPING'!D42&lt;&gt;"", 'CONTENT PILLAR MAPPING'!D43&lt;&gt;""),
CONCATENATE(
"Sebagai seorang top konten kreator dengan niche utama '", 'CONTENT PILLAR MAPPING'!C26, "', spesifik kategori '", 'CONTENT PILLAR MAPPING'!E26, "', dan super spesifik '", 'CONTENT PILLAR MAPPING'!F26, "', yang dikenal sebagai '", 'CONTENT PILLAR MAPPING'!C29, "'.", CHAR(10),
"Saya memiliki Tone of Voice: '", 'CONTENT PILLAR MAPPING'!C34, "', Brand Archetype: '", 'CONTENT PILLAR MAPPING'!D34, "', dan Deskripsi Gaya Komunikasi: '", 'CONTENT PILLAR MAPPING'!E34, "'.", CHAR(10),
"Target audiens saya adalah: '", 'CONTENT PILLAR MAPPING'!D42, "', dengan segmentasi audiens: '", 'CONTENT PILLAR MAPPING'!D43, "'.", CHAR(10), CHAR(10),
"Mohon buatkan script konten yang **sangat powerful, menarik, inovatif, dan siap pakai** dengan judul ide '", B124, "'.", CHAR(10),
"Konten ini memiliki pilar '", C124, "', nilai tambah utama '", F124, "', dan akan menggunakan storytelling framework '", G124, "'.", CHAR(10),
"Gambaran singkat ide kontennya adalah: '", J124, "'.", CHAR(10),
"Konten ini akan diunggah di platform '", E124, "' dengan format '", D124,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 "'.** Sesuaikan dengan gaya komunikasi saya, dengan fokus pada nilai tambah '", F124,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 ", khusus ", 'CONTENT PILLAR MAPPING'!D43, ") dan membantu mereka menyelesaikan masalah atau mencapai tujuan mereka.", CHAR(10),
"✔ Membantuku membangun personal branding yang kuat dan sustainable, sesuai dengan Positioning saya sebagai '", 'CONTENT PILLAR MAPPING'!C29, "' dan Brand Archetype '", 'CONTENT PILLAR MAPPING'!D34, "'.", CHAR(10),
"✔ Kemas dalam bentuk tabel agar rapi, mudah di baca dan dipahami, dengan kolom 'Judul Konten', 'Pilar', 'Format', 'Draft Script', 'CTA', 'Saran Visual', dan 'Full Caption'. (Kosongkan kolom Link Prompt jika ada)."
),
"")</f>
        <v/>
      </c>
      <c r="L124" s="199" t="n"/>
      <c r="M124" s="199" t="n"/>
      <c r="N124" s="102" t="n"/>
      <c r="O124" s="102" t="n"/>
      <c r="P124" s="102" t="n"/>
      <c r="Q124" s="102" t="n"/>
      <c r="R124" s="102" t="n"/>
      <c r="S124" s="102" t="n"/>
      <c r="T124" s="102" t="n"/>
      <c r="U124" s="102" t="n"/>
      <c r="V124" s="102" t="n"/>
      <c r="W124" s="102" t="n"/>
      <c r="X124" s="102" t="n"/>
      <c r="Y124" s="102" t="n"/>
      <c r="Z124" s="102" t="n"/>
      <c r="AA124" s="102" t="n"/>
      <c r="AB124" s="102" t="n"/>
      <c r="AC124" s="102" t="n"/>
      <c r="AD124" s="102" t="n"/>
    </row>
    <row r="125" ht="15.75" customHeight="1" s="205">
      <c r="A125" s="102" t="n"/>
      <c r="B125" s="142" t="n"/>
      <c r="C125" s="143" t="n"/>
      <c r="D125" s="143" t="n"/>
      <c r="E125" s="143" t="n"/>
      <c r="F125" s="143" t="n"/>
      <c r="G125" s="144" t="n"/>
      <c r="H125" s="145">
        <f>IF(K125&lt;&gt;"", HYPERLINK("https://chatgpt.com/?prompt=" &amp; SUBSTITUTE(SUBSTITUTE(K125, " ", "+"), "&amp;", "dan") &amp; "&amp;force-refresh=true&amp;timestamp=" &amp; TEXT(NOW(), "yyyymmddhhmmss"), "👉 Klik untuk Generate Script! 🔥"), "")</f>
        <v/>
      </c>
      <c r="I125" s="143" t="n"/>
      <c r="J125" s="146" t="n"/>
      <c r="K125" s="130">
        <f>IF(AND(B125&lt;&gt;"", C125&lt;&gt;"", D125&lt;&gt;"", E125&lt;&gt;"", F125&lt;&gt;"", G125&lt;&gt;"", J125&lt;&gt;"", 'CONTENT PILLAR MAPPING'!C28&lt;&gt;"", 'CONTENT PILLAR MAPPING'!E28&lt;&gt;"", 'CONTENT PILLAR MAPPING'!F28&lt;&gt;"", 'CONTENT PILLAR MAPPING'!C31&lt;&gt;"", 'CONTENT PILLAR MAPPING'!C36&lt;&gt;"", 'CONTENT PILLAR MAPPING'!D36&lt;&gt;"", 'CONTENT PILLAR MAPPING'!E36&lt;&gt;"", 'CONTENT PILLAR MAPPING'!D44&lt;&gt;"", 'CONTENT PILLAR MAPPING'!D45&lt;&gt;""),
CONCATENATE(
"Sebagai seorang top konten kreator dengan niche utama '", 'CONTENT PILLAR MAPPING'!C28, "', spesifik kategori '", 'CONTENT PILLAR MAPPING'!E28, "', dan super spesifik '", 'CONTENT PILLAR MAPPING'!F28, "', yang dikenal sebagai '", 'CONTENT PILLAR MAPPING'!C31, "'.", CHAR(10),
"Saya memiliki Tone of Voice: '", 'CONTENT PILLAR MAPPING'!C36, "', Brand Archetype: '", 'CONTENT PILLAR MAPPING'!D36, "', dan Deskripsi Gaya Komunikasi: '", 'CONTENT PILLAR MAPPING'!E36, "'.", CHAR(10),
"Target audiens saya adalah: '", 'CONTENT PILLAR MAPPING'!D44, "', dengan segmentasi audiens: '", 'CONTENT PILLAR MAPPING'!D45, "'.", CHAR(10), CHAR(10),
"Mohon buatkan script konten yang **sangat powerful, menarik, inovatif, dan siap pakai** dengan judul ide '", B125, "'.", CHAR(10),
"Konten ini memiliki pilar '", C125, "', nilai tambah utama '", F125, "', dan akan menggunakan storytelling framework '", G125, "'.", CHAR(10),
"Gambaran singkat ide kontennya adalah: '", J125, "'.", CHAR(10),
"Konten ini akan diunggah di platform '", E125, "' dengan format '", D125,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 "'.** Sesuaikan dengan gaya komunikasi saya, dengan fokus pada nilai tambah '", F125,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 ", khusus ", 'CONTENT PILLAR MAPPING'!D45, ") dan membantu mereka menyelesaikan masalah atau mencapai tujuan mereka.", CHAR(10),
"✔ Membantuku membangun personal branding yang kuat dan sustainable, sesuai dengan Positioning saya sebagai '", 'CONTENT PILLAR MAPPING'!C31, "' dan Brand Archetype '", 'CONTENT PILLAR MAPPING'!D36, "'.", CHAR(10),
"✔ Kemas dalam bentuk tabel agar rapi, mudah di baca dan dipahami, dengan kolom 'Judul Konten', 'Pilar', 'Format', 'Draft Script', 'CTA', 'Saran Visual', dan 'Full Caption'. (Kosongkan kolom Link Prompt jika ada)."
),
"")</f>
        <v/>
      </c>
      <c r="L125" s="91" t="n"/>
      <c r="M125" s="91" t="n"/>
      <c r="N125" s="102" t="n"/>
      <c r="O125" s="102" t="n"/>
      <c r="P125" s="102" t="n"/>
      <c r="Q125" s="102" t="n"/>
      <c r="R125" s="102" t="n"/>
      <c r="S125" s="102" t="n"/>
      <c r="T125" s="102" t="n"/>
      <c r="U125" s="102" t="n"/>
      <c r="V125" s="102" t="n"/>
      <c r="W125" s="102" t="n"/>
      <c r="X125" s="102" t="n"/>
      <c r="Y125" s="102" t="n"/>
      <c r="Z125" s="102" t="n"/>
      <c r="AA125" s="102" t="n"/>
      <c r="AB125" s="102" t="n"/>
      <c r="AC125" s="102" t="n"/>
      <c r="AD125" s="102" t="n"/>
    </row>
    <row r="126" ht="15.75" customHeight="1" s="205">
      <c r="A126" s="102" t="n"/>
      <c r="B126" s="147" t="n"/>
      <c r="C126" s="144" t="n"/>
      <c r="D126" s="144" t="n"/>
      <c r="E126" s="144" t="n"/>
      <c r="F126" s="144" t="n"/>
      <c r="G126" s="144" t="n"/>
      <c r="H126" s="141">
        <f>IF(K126&lt;&gt;"", HYPERLINK("https://chatgpt.com/?prompt=" &amp; SUBSTITUTE(SUBSTITUTE(K126, " ", "+"), "&amp;", "dan") &amp; "&amp;force-refresh=true&amp;timestamp=" &amp; TEXT(NOW(), "yyyymmddhhmmss"), "👉 Klik untuk Generate Script! 🔥"), "")</f>
        <v/>
      </c>
      <c r="I126" s="144" t="n"/>
      <c r="J126" s="148" t="n"/>
      <c r="K126" s="140">
        <f>IF(AND(B126&lt;&gt;"", C126&lt;&gt;"", D126&lt;&gt;"", E126&lt;&gt;"", F126&lt;&gt;"", G126&lt;&gt;"", J126&lt;&gt;"", 'CONTENT PILLAR MAPPING'!C28&lt;&gt;"", 'CONTENT PILLAR MAPPING'!E28&lt;&gt;"", 'CONTENT PILLAR MAPPING'!F28&lt;&gt;"", 'CONTENT PILLAR MAPPING'!C31&lt;&gt;"", 'CONTENT PILLAR MAPPING'!C36&lt;&gt;"", 'CONTENT PILLAR MAPPING'!D36&lt;&gt;"", 'CONTENT PILLAR MAPPING'!E36&lt;&gt;"", 'CONTENT PILLAR MAPPING'!D44&lt;&gt;"", 'CONTENT PILLAR MAPPING'!D45&lt;&gt;""),
CONCATENATE(
"Sebagai seorang top konten kreator dengan niche utama '", 'CONTENT PILLAR MAPPING'!C28, "', spesifik kategori '", 'CONTENT PILLAR MAPPING'!E28, "', dan super spesifik '", 'CONTENT PILLAR MAPPING'!F28, "', yang dikenal sebagai '", 'CONTENT PILLAR MAPPING'!C31, "'.", CHAR(10),
"Saya memiliki Tone of Voice: '", 'CONTENT PILLAR MAPPING'!C36, "', Brand Archetype: '", 'CONTENT PILLAR MAPPING'!D36, "', dan Deskripsi Gaya Komunikasi: '", 'CONTENT PILLAR MAPPING'!E36, "'.", CHAR(10),
"Target audiens saya adalah: '", 'CONTENT PILLAR MAPPING'!D44, "', dengan segmentasi audiens: '", 'CONTENT PILLAR MAPPING'!D45, "'.", CHAR(10), CHAR(10),
"Mohon buatkan script konten yang **sangat powerful, menarik, inovatif, dan siap pakai** dengan judul ide '", B126, "'.", CHAR(10),
"Konten ini memiliki pilar '", C126, "', nilai tambah utama '", F126, "', dan akan menggunakan storytelling framework '", G126, "'.", CHAR(10),
"Gambaran singkat ide kontennya adalah: '", J126, "'.", CHAR(10),
"Konten ini akan diunggah di platform '", E126, "' dengan format '", D126,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 "'.** Sesuaikan dengan gaya komunikasi saya, dengan fokus pada nilai tambah '", F126,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 ", khusus ", 'CONTENT PILLAR MAPPING'!D45, ") dan membantu mereka menyelesaikan masalah atau mencapai tujuan mereka.", CHAR(10),
"✔ Membantuku membangun personal branding yang kuat dan sustainable, sesuai dengan Positioning saya sebagai '", 'CONTENT PILLAR MAPPING'!C31, "' dan Brand Archetype '", 'CONTENT PILLAR MAPPING'!D36, "'.", CHAR(10),
"✔ Kemas dalam bentuk tabel agar rapi, mudah di baca dan dipahami, dengan kolom 'Judul Konten', 'Pilar', 'Format', 'Draft Script', 'CTA', 'Saran Visual', dan 'Full Caption'. (Kosongkan kolom Link Prompt jika ada)."
),
"")</f>
        <v/>
      </c>
      <c r="L126" s="199" t="n"/>
      <c r="M126" s="199" t="n"/>
      <c r="N126" s="102" t="n"/>
      <c r="O126" s="102" t="n"/>
      <c r="P126" s="102" t="n"/>
      <c r="Q126" s="102" t="n"/>
      <c r="R126" s="102" t="n"/>
      <c r="S126" s="102" t="n"/>
      <c r="T126" s="102" t="n"/>
      <c r="U126" s="102" t="n"/>
      <c r="V126" s="102" t="n"/>
      <c r="W126" s="102" t="n"/>
      <c r="X126" s="102" t="n"/>
      <c r="Y126" s="102" t="n"/>
      <c r="Z126" s="102" t="n"/>
      <c r="AA126" s="102" t="n"/>
      <c r="AB126" s="102" t="n"/>
      <c r="AC126" s="102" t="n"/>
      <c r="AD126" s="102" t="n"/>
    </row>
    <row r="127" ht="15.75" customHeight="1" s="205">
      <c r="A127" s="102" t="n"/>
      <c r="B127" s="142" t="n"/>
      <c r="C127" s="143" t="n"/>
      <c r="D127" s="143" t="n"/>
      <c r="E127" s="143" t="n"/>
      <c r="F127" s="143" t="n"/>
      <c r="G127" s="144" t="n"/>
      <c r="H127" s="145">
        <f>IF(K127&lt;&gt;"", HYPERLINK("https://chatgpt.com/?prompt=" &amp; SUBSTITUTE(SUBSTITUTE(K127, " ", "+"), "&amp;", "dan") &amp; "&amp;force-refresh=true&amp;timestamp=" &amp; TEXT(NOW(), "yyyymmddhhmmss"), "👉 Klik untuk Generate Script! 🔥"), "")</f>
        <v/>
      </c>
      <c r="I127" s="143" t="n"/>
      <c r="J127" s="146" t="n"/>
      <c r="K127" s="130">
        <f>IF(AND(B127&lt;&gt;"", C127&lt;&gt;"", D127&lt;&gt;"", E127&lt;&gt;"", F127&lt;&gt;"", G127&lt;&gt;"", J127&lt;&gt;"", 'CONTENT PILLAR MAPPING'!C30&lt;&gt;"", 'CONTENT PILLAR MAPPING'!E30&lt;&gt;"", 'CONTENT PILLAR MAPPING'!F30&lt;&gt;"", 'CONTENT PILLAR MAPPING'!C33&lt;&gt;"", 'CONTENT PILLAR MAPPING'!C38&lt;&gt;"", 'CONTENT PILLAR MAPPING'!D38&lt;&gt;"", 'CONTENT PILLAR MAPPING'!E38&lt;&gt;"", 'CONTENT PILLAR MAPPING'!D46&lt;&gt;"", 'CONTENT PILLAR MAPPING'!D47&lt;&gt;""),
CONCATENATE(
"Sebagai seorang top konten kreator dengan niche utama '", 'CONTENT PILLAR MAPPING'!C30, "', spesifik kategori '", 'CONTENT PILLAR MAPPING'!E30, "', dan super spesifik '", 'CONTENT PILLAR MAPPING'!F30, "', yang dikenal sebagai '", 'CONTENT PILLAR MAPPING'!C33, "'.", CHAR(10),
"Saya memiliki Tone of Voice: '", 'CONTENT PILLAR MAPPING'!C38, "', Brand Archetype: '", 'CONTENT PILLAR MAPPING'!D38, "', dan Deskripsi Gaya Komunikasi: '", 'CONTENT PILLAR MAPPING'!E38, "'.", CHAR(10),
"Target audiens saya adalah: '", 'CONTENT PILLAR MAPPING'!D46, "', dengan segmentasi audiens: '", 'CONTENT PILLAR MAPPING'!D47, "'.", CHAR(10), CHAR(10),
"Mohon buatkan script konten yang **sangat powerful, menarik, inovatif, dan siap pakai** dengan judul ide '", B127, "'.", CHAR(10),
"Konten ini memiliki pilar '", C127, "', nilai tambah utama '", F127, "', dan akan menggunakan storytelling framework '", G127, "'.", CHAR(10),
"Gambaran singkat ide kontennya adalah: '", J127, "'.", CHAR(10),
"Konten ini akan diunggah di platform '", E127, "' dengan format '", D127,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 "'.** Sesuaikan dengan gaya komunikasi saya, dengan fokus pada nilai tambah '", F127,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 ", khusus ", 'CONTENT PILLAR MAPPING'!D47, ") dan membantu mereka menyelesaikan masalah atau mencapai tujuan mereka.", CHAR(10),
"✔ Membantuku membangun personal branding yang kuat dan sustainable, sesuai dengan Positioning saya sebagai '", 'CONTENT PILLAR MAPPING'!C33, "' dan Brand Archetype '", 'CONTENT PILLAR MAPPING'!D38, "'.", CHAR(10),
"✔ Kemas dalam bentuk tabel agar rapi, mudah di baca dan dipahami, dengan kolom 'Judul Konten', 'Pilar', 'Format', 'Draft Script', 'CTA', 'Saran Visual', dan 'Full Caption'. (Kosongkan kolom Link Prompt jika ada)."
),
"")</f>
        <v/>
      </c>
      <c r="L127" s="91" t="n"/>
      <c r="M127" s="91" t="n"/>
      <c r="N127" s="102" t="n"/>
      <c r="O127" s="102" t="n"/>
      <c r="P127" s="102" t="n"/>
      <c r="Q127" s="102" t="n"/>
      <c r="R127" s="102" t="n"/>
      <c r="S127" s="102" t="n"/>
      <c r="T127" s="102" t="n"/>
      <c r="U127" s="102" t="n"/>
      <c r="V127" s="102" t="n"/>
      <c r="W127" s="102" t="n"/>
      <c r="X127" s="102" t="n"/>
      <c r="Y127" s="102" t="n"/>
      <c r="Z127" s="102" t="n"/>
      <c r="AA127" s="102" t="n"/>
      <c r="AB127" s="102" t="n"/>
      <c r="AC127" s="102" t="n"/>
      <c r="AD127" s="102" t="n"/>
    </row>
    <row r="128" ht="15.75" customHeight="1" s="205">
      <c r="A128" s="102" t="n"/>
      <c r="B128" s="147" t="n"/>
      <c r="C128" s="144" t="n"/>
      <c r="D128" s="144" t="n"/>
      <c r="E128" s="144" t="n"/>
      <c r="F128" s="144" t="n"/>
      <c r="G128" s="144" t="n"/>
      <c r="H128" s="141">
        <f>IF(K128&lt;&gt;"", HYPERLINK("https://chatgpt.com/?prompt=" &amp; SUBSTITUTE(SUBSTITUTE(K128, " ", "+"), "&amp;", "dan") &amp; "&amp;force-refresh=true&amp;timestamp=" &amp; TEXT(NOW(), "yyyymmddhhmmss"), "👉 Klik untuk Generate Script! 🔥"), "")</f>
        <v/>
      </c>
      <c r="I128" s="144" t="n"/>
      <c r="J128" s="148" t="n"/>
      <c r="K128" s="140">
        <f>IF(AND(B128&lt;&gt;"", C128&lt;&gt;"", D128&lt;&gt;"", E128&lt;&gt;"", F128&lt;&gt;"", G128&lt;&gt;"", J128&lt;&gt;"", 'CONTENT PILLAR MAPPING'!C30&lt;&gt;"", 'CONTENT PILLAR MAPPING'!E30&lt;&gt;"", 'CONTENT PILLAR MAPPING'!F30&lt;&gt;"", 'CONTENT PILLAR MAPPING'!C33&lt;&gt;"", 'CONTENT PILLAR MAPPING'!C38&lt;&gt;"", 'CONTENT PILLAR MAPPING'!D38&lt;&gt;"", 'CONTENT PILLAR MAPPING'!E38&lt;&gt;"", 'CONTENT PILLAR MAPPING'!D46&lt;&gt;"", 'CONTENT PILLAR MAPPING'!D47&lt;&gt;""),
CONCATENATE(
"Sebagai seorang top konten kreator dengan niche utama '", 'CONTENT PILLAR MAPPING'!C30, "', spesifik kategori '", 'CONTENT PILLAR MAPPING'!E30, "', dan super spesifik '", 'CONTENT PILLAR MAPPING'!F30, "', yang dikenal sebagai '", 'CONTENT PILLAR MAPPING'!C33, "'.", CHAR(10),
"Saya memiliki Tone of Voice: '", 'CONTENT PILLAR MAPPING'!C38, "', Brand Archetype: '", 'CONTENT PILLAR MAPPING'!D38, "', dan Deskripsi Gaya Komunikasi: '", 'CONTENT PILLAR MAPPING'!E38, "'.", CHAR(10),
"Target audiens saya adalah: '", 'CONTENT PILLAR MAPPING'!D46, "', dengan segmentasi audiens: '", 'CONTENT PILLAR MAPPING'!D47, "'.", CHAR(10), CHAR(10),
"Mohon buatkan script konten yang **sangat powerful, menarik, inovatif, dan siap pakai** dengan judul ide '", B128, "'.", CHAR(10),
"Konten ini memiliki pilar '", C128, "', nilai tambah utama '", F128, "', dan akan menggunakan storytelling framework '", G128, "'.", CHAR(10),
"Gambaran singkat ide kontennya adalah: '", J128, "'.", CHAR(10),
"Konten ini akan diunggah di platform '", E128, "' dengan format '", D128,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 "'.** Sesuaikan dengan gaya komunikasi saya, dengan fokus pada nilai tambah '", F128,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 ", khusus ", 'CONTENT PILLAR MAPPING'!D47, ") dan membantu mereka menyelesaikan masalah atau mencapai tujuan mereka.", CHAR(10),
"✔ Membantuku membangun personal branding yang kuat dan sustainable, sesuai dengan Positioning saya sebagai '", 'CONTENT PILLAR MAPPING'!C33, "' dan Brand Archetype '", 'CONTENT PILLAR MAPPING'!D38, "'.", CHAR(10),
"✔ Kemas dalam bentuk tabel agar rapi, mudah di baca dan dipahami, dengan kolom 'Judul Konten', 'Pilar', 'Format', 'Draft Script', 'CTA', 'Saran Visual', dan 'Full Caption'. (Kosongkan kolom Link Prompt jika ada)."
),
"")</f>
        <v/>
      </c>
      <c r="L128" s="199" t="n"/>
      <c r="M128" s="199" t="n"/>
      <c r="N128" s="102" t="n"/>
      <c r="O128" s="102" t="n"/>
      <c r="P128" s="102" t="n"/>
      <c r="Q128" s="102" t="n"/>
      <c r="R128" s="102" t="n"/>
      <c r="S128" s="102" t="n"/>
      <c r="T128" s="102" t="n"/>
      <c r="U128" s="102" t="n"/>
      <c r="V128" s="102" t="n"/>
      <c r="W128" s="102" t="n"/>
      <c r="X128" s="102" t="n"/>
      <c r="Y128" s="102" t="n"/>
      <c r="Z128" s="102" t="n"/>
      <c r="AA128" s="102" t="n"/>
      <c r="AB128" s="102" t="n"/>
      <c r="AC128" s="102" t="n"/>
      <c r="AD128" s="102" t="n"/>
    </row>
    <row r="129" ht="15.75" customHeight="1" s="205">
      <c r="A129" s="102" t="n"/>
      <c r="B129" s="142" t="n"/>
      <c r="C129" s="143" t="n"/>
      <c r="D129" s="143" t="n"/>
      <c r="E129" s="143" t="n"/>
      <c r="F129" s="143" t="n"/>
      <c r="G129" s="144" t="n"/>
      <c r="H129" s="145">
        <f>IF(K129&lt;&gt;"", HYPERLINK("https://chatgpt.com/?prompt=" &amp; SUBSTITUTE(SUBSTITUTE(K129, " ", "+"), "&amp;", "dan") &amp; "&amp;force-refresh=true&amp;timestamp=" &amp; TEXT(NOW(), "yyyymmddhhmmss"), "👉 Klik untuk Generate Script! 🔥"), "")</f>
        <v/>
      </c>
      <c r="I129" s="143" t="n"/>
      <c r="J129" s="146" t="n"/>
      <c r="K129" s="130">
        <f>IF(AND(B129&lt;&gt;"", C129&lt;&gt;"", D129&lt;&gt;"", E129&lt;&gt;"", F129&lt;&gt;"", G129&lt;&gt;"", J129&lt;&gt;"", 'CONTENT PILLAR MAPPING'!C32&lt;&gt;"", 'CONTENT PILLAR MAPPING'!E32&lt;&gt;"", 'CONTENT PILLAR MAPPING'!F32&lt;&gt;"", 'CONTENT PILLAR MAPPING'!C35&lt;&gt;"", 'CONTENT PILLAR MAPPING'!C40&lt;&gt;"", 'CONTENT PILLAR MAPPING'!D40&lt;&gt;"", 'CONTENT PILLAR MAPPING'!E40&lt;&gt;"", 'CONTENT PILLAR MAPPING'!D48&lt;&gt;"", 'CONTENT PILLAR MAPPING'!D49&lt;&gt;""),
CONCATENATE(
"Sebagai seorang top konten kreator dengan niche utama '", 'CONTENT PILLAR MAPPING'!C32, "', spesifik kategori '", 'CONTENT PILLAR MAPPING'!E32, "', dan super spesifik '", 'CONTENT PILLAR MAPPING'!F32, "', yang dikenal sebagai '", 'CONTENT PILLAR MAPPING'!C35, "'.", CHAR(10),
"Saya memiliki Tone of Voice: '", 'CONTENT PILLAR MAPPING'!C40, "', Brand Archetype: '", 'CONTENT PILLAR MAPPING'!D40, "', dan Deskripsi Gaya Komunikasi: '", 'CONTENT PILLAR MAPPING'!E40, "'.", CHAR(10),
"Target audiens saya adalah: '", 'CONTENT PILLAR MAPPING'!D48, "', dengan segmentasi audiens: '", 'CONTENT PILLAR MAPPING'!D49, "'.", CHAR(10), CHAR(10),
"Mohon buatkan script konten yang **sangat powerful, menarik, inovatif, dan siap pakai** dengan judul ide '", B129, "'.", CHAR(10),
"Konten ini memiliki pilar '", C129, "', nilai tambah utama '", F129, "', dan akan menggunakan storytelling framework '", G129, "'.", CHAR(10),
"Gambaran singkat ide kontennya adalah: '", J129, "'.", CHAR(10),
"Konten ini akan diunggah di platform '", E129, "' dengan format '", D129,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 "'.** Sesuaikan dengan gaya komunikasi saya, dengan fokus pada nilai tambah '", F129,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 ", khusus ", 'CONTENT PILLAR MAPPING'!D49, ") dan membantu mereka menyelesaikan masalah atau mencapai tujuan mereka.", CHAR(10),
"✔ Membantuku membangun personal branding yang kuat dan sustainable, sesuai dengan Positioning saya sebagai '", 'CONTENT PILLAR MAPPING'!C35, "' dan Brand Archetype '", 'CONTENT PILLAR MAPPING'!D40, "'.", CHAR(10),
"✔ Kemas dalam bentuk tabel agar rapi, mudah di baca dan dipahami, dengan kolom 'Judul Konten', 'Pilar', 'Format', 'Draft Script', 'CTA', 'Saran Visual', dan 'Full Caption'. (Kosongkan kolom Link Prompt jika ada)."
),
"")</f>
        <v/>
      </c>
      <c r="L129" s="91" t="n"/>
      <c r="M129" s="91" t="n"/>
      <c r="N129" s="102" t="n"/>
      <c r="O129" s="102" t="n"/>
      <c r="P129" s="102" t="n"/>
      <c r="Q129" s="102" t="n"/>
      <c r="R129" s="102" t="n"/>
      <c r="S129" s="102" t="n"/>
      <c r="T129" s="102" t="n"/>
      <c r="U129" s="102" t="n"/>
      <c r="V129" s="102" t="n"/>
      <c r="W129" s="102" t="n"/>
      <c r="X129" s="102" t="n"/>
      <c r="Y129" s="102" t="n"/>
      <c r="Z129" s="102" t="n"/>
      <c r="AA129" s="102" t="n"/>
      <c r="AB129" s="102" t="n"/>
      <c r="AC129" s="102" t="n"/>
      <c r="AD129" s="102" t="n"/>
    </row>
    <row r="130" ht="15.75" customHeight="1" s="205">
      <c r="A130" s="102" t="n"/>
      <c r="B130" s="147" t="n"/>
      <c r="C130" s="144" t="n"/>
      <c r="D130" s="144" t="n"/>
      <c r="E130" s="144" t="n"/>
      <c r="F130" s="144" t="n"/>
      <c r="G130" s="144" t="n"/>
      <c r="H130" s="141">
        <f>IF(K130&lt;&gt;"", HYPERLINK("https://chatgpt.com/?prompt=" &amp; SUBSTITUTE(SUBSTITUTE(K130, " ", "+"), "&amp;", "dan") &amp; "&amp;force-refresh=true&amp;timestamp=" &amp; TEXT(NOW(), "yyyymmddhhmmss"), "👉 Klik untuk Generate Script! 🔥"), "")</f>
        <v/>
      </c>
      <c r="I130" s="144" t="n"/>
      <c r="J130" s="148" t="n"/>
      <c r="K130" s="140">
        <f>IF(AND(B130&lt;&gt;"", C130&lt;&gt;"", D130&lt;&gt;"", E130&lt;&gt;"", F130&lt;&gt;"", G130&lt;&gt;"", J130&lt;&gt;"", 'CONTENT PILLAR MAPPING'!C32&lt;&gt;"", 'CONTENT PILLAR MAPPING'!E32&lt;&gt;"", 'CONTENT PILLAR MAPPING'!F32&lt;&gt;"", 'CONTENT PILLAR MAPPING'!C35&lt;&gt;"", 'CONTENT PILLAR MAPPING'!C40&lt;&gt;"", 'CONTENT PILLAR MAPPING'!D40&lt;&gt;"", 'CONTENT PILLAR MAPPING'!E40&lt;&gt;"", 'CONTENT PILLAR MAPPING'!D48&lt;&gt;"", 'CONTENT PILLAR MAPPING'!D49&lt;&gt;""),
CONCATENATE(
"Sebagai seorang top konten kreator dengan niche utama '", 'CONTENT PILLAR MAPPING'!C32, "', spesifik kategori '", 'CONTENT PILLAR MAPPING'!E32, "', dan super spesifik '", 'CONTENT PILLAR MAPPING'!F32, "', yang dikenal sebagai '", 'CONTENT PILLAR MAPPING'!C35, "'.", CHAR(10),
"Saya memiliki Tone of Voice: '", 'CONTENT PILLAR MAPPING'!C40, "', Brand Archetype: '", 'CONTENT PILLAR MAPPING'!D40, "', dan Deskripsi Gaya Komunikasi: '", 'CONTENT PILLAR MAPPING'!E40, "'.", CHAR(10),
"Target audiens saya adalah: '", 'CONTENT PILLAR MAPPING'!D48, "', dengan segmentasi audiens: '", 'CONTENT PILLAR MAPPING'!D49, "'.", CHAR(10), CHAR(10),
"Mohon buatkan script konten yang **sangat powerful, menarik, inovatif, dan siap pakai** dengan judul ide '", B130, "'.", CHAR(10),
"Konten ini memiliki pilar '", C130, "', nilai tambah utama '", F130, "', dan akan menggunakan storytelling framework '", G130, "'.", CHAR(10),
"Gambaran singkat ide kontennya adalah: '", J130, "'.", CHAR(10),
"Konten ini akan diunggah di platform '", E130, "' dengan format '", D130,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 "'.** Sesuaikan dengan gaya komunikasi saya, dengan fokus pada nilai tambah '", F130,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 ", khusus ", 'CONTENT PILLAR MAPPING'!D49, ") dan membantu mereka menyelesaikan masalah atau mencapai tujuan mereka.", CHAR(10),
"✔ Membantuku membangun personal branding yang kuat dan sustainable, sesuai dengan Positioning saya sebagai '", 'CONTENT PILLAR MAPPING'!C35, "' dan Brand Archetype '", 'CONTENT PILLAR MAPPING'!D40, "'.", CHAR(10),
"✔ Kemas dalam bentuk tabel agar rapi, mudah di baca dan dipahami, dengan kolom 'Judul Konten', 'Pilar', 'Format', 'Draft Script', 'CTA', 'Saran Visual', dan 'Full Caption'. (Kosongkan kolom Link Prompt jika ada)."
),
"")</f>
        <v/>
      </c>
      <c r="L130" s="199" t="n"/>
      <c r="M130" s="199" t="n"/>
      <c r="N130" s="102" t="n"/>
      <c r="O130" s="102" t="n"/>
      <c r="P130" s="102" t="n"/>
      <c r="Q130" s="102" t="n"/>
      <c r="R130" s="102" t="n"/>
      <c r="S130" s="102" t="n"/>
      <c r="T130" s="102" t="n"/>
      <c r="U130" s="102" t="n"/>
      <c r="V130" s="102" t="n"/>
      <c r="W130" s="102" t="n"/>
      <c r="X130" s="102" t="n"/>
      <c r="Y130" s="102" t="n"/>
      <c r="Z130" s="102" t="n"/>
      <c r="AA130" s="102" t="n"/>
      <c r="AB130" s="102" t="n"/>
      <c r="AC130" s="102" t="n"/>
      <c r="AD130" s="102" t="n"/>
    </row>
    <row r="131" ht="15.75" customHeight="1" s="205">
      <c r="A131" s="102" t="n"/>
      <c r="B131" s="142" t="n"/>
      <c r="C131" s="143" t="n"/>
      <c r="D131" s="143" t="n"/>
      <c r="E131" s="143" t="n"/>
      <c r="F131" s="143" t="n"/>
      <c r="G131" s="144" t="n"/>
      <c r="H131" s="145">
        <f>IF(K131&lt;&gt;"", HYPERLINK("https://chatgpt.com/?prompt=" &amp; SUBSTITUTE(SUBSTITUTE(K131, " ", "+"), "&amp;", "dan") &amp; "&amp;force-refresh=true&amp;timestamp=" &amp; TEXT(NOW(), "yyyymmddhhmmss"), "👉 Klik untuk Generate Script! 🔥"), "")</f>
        <v/>
      </c>
      <c r="I131" s="143" t="n"/>
      <c r="J131" s="146" t="n"/>
      <c r="K131" s="130">
        <f>IF(AND(B131&lt;&gt;"", C131&lt;&gt;"", D131&lt;&gt;"", E131&lt;&gt;"", F131&lt;&gt;"", G131&lt;&gt;"", J131&lt;&gt;"", 'CONTENT PILLAR MAPPING'!C34&lt;&gt;"", 'CONTENT PILLAR MAPPING'!E34&lt;&gt;"", 'CONTENT PILLAR MAPPING'!F34&lt;&gt;"", 'CONTENT PILLAR MAPPING'!C37&lt;&gt;"", 'CONTENT PILLAR MAPPING'!C42&lt;&gt;"", 'CONTENT PILLAR MAPPING'!D42&lt;&gt;"", 'CONTENT PILLAR MAPPING'!E42&lt;&gt;"", 'CONTENT PILLAR MAPPING'!D50&lt;&gt;"", 'CONTENT PILLAR MAPPING'!D51&lt;&gt;""),
CONCATENATE(
"Sebagai seorang top konten kreator dengan niche utama '", 'CONTENT PILLAR MAPPING'!C34, "', spesifik kategori '", 'CONTENT PILLAR MAPPING'!E34, "', dan super spesifik '", 'CONTENT PILLAR MAPPING'!F34, "', yang dikenal sebagai '", 'CONTENT PILLAR MAPPING'!C37, "'.", CHAR(10),
"Saya memiliki Tone of Voice: '", 'CONTENT PILLAR MAPPING'!C42, "', Brand Archetype: '", 'CONTENT PILLAR MAPPING'!D42, "', dan Deskripsi Gaya Komunikasi: '", 'CONTENT PILLAR MAPPING'!E42, "'.", CHAR(10),
"Target audiens saya adalah: '", 'CONTENT PILLAR MAPPING'!D50, "', dengan segmentasi audiens: '", 'CONTENT PILLAR MAPPING'!D51, "'.", CHAR(10), CHAR(10),
"Mohon buatkan script konten yang **sangat powerful, menarik, inovatif, dan siap pakai** dengan judul ide '", B131, "'.", CHAR(10),
"Konten ini memiliki pilar '", C131, "', nilai tambah utama '", F131, "', dan akan menggunakan storytelling framework '", G131, "'.", CHAR(10),
"Gambaran singkat ide kontennya adalah: '", J131, "'.", CHAR(10),
"Konten ini akan diunggah di platform '", E131, "' dengan format '", D131,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 "'.** Sesuaikan dengan gaya komunikasi saya, dengan fokus pada nilai tambah '", F131,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 ", khusus ", 'CONTENT PILLAR MAPPING'!D51, ") dan membantu mereka menyelesaikan masalah atau mencapai tujuan mereka.", CHAR(10),
"✔ Membantuku membangun personal branding yang kuat dan sustainable, sesuai dengan Positioning saya sebagai '", 'CONTENT PILLAR MAPPING'!C37, "' dan Brand Archetype '", 'CONTENT PILLAR MAPPING'!D42, "'.", CHAR(10),
"✔ Kemas dalam bentuk tabel agar rapi, mudah di baca dan dipahami, dengan kolom 'Judul Konten', 'Pilar', 'Format', 'Draft Script', 'CTA', 'Saran Visual', dan 'Full Caption'. (Kosongkan kolom Link Prompt jika ada)."
),
"")</f>
        <v/>
      </c>
      <c r="L131" s="91" t="n"/>
      <c r="M131" s="91" t="n"/>
      <c r="N131" s="102" t="n"/>
      <c r="O131" s="102" t="n"/>
      <c r="P131" s="102" t="n"/>
      <c r="Q131" s="102" t="n"/>
      <c r="R131" s="102" t="n"/>
      <c r="S131" s="102" t="n"/>
      <c r="T131" s="102" t="n"/>
      <c r="U131" s="102" t="n"/>
      <c r="V131" s="102" t="n"/>
      <c r="W131" s="102" t="n"/>
      <c r="X131" s="102" t="n"/>
      <c r="Y131" s="102" t="n"/>
      <c r="Z131" s="102" t="n"/>
      <c r="AA131" s="102" t="n"/>
      <c r="AB131" s="102" t="n"/>
      <c r="AC131" s="102" t="n"/>
      <c r="AD131" s="102" t="n"/>
    </row>
    <row r="132" ht="15.75" customHeight="1" s="205">
      <c r="A132" s="102" t="n"/>
      <c r="B132" s="147" t="n"/>
      <c r="C132" s="144" t="n"/>
      <c r="D132" s="144" t="n"/>
      <c r="E132" s="144" t="n"/>
      <c r="F132" s="144" t="n"/>
      <c r="G132" s="144" t="n"/>
      <c r="H132" s="141">
        <f>IF(K132&lt;&gt;"", HYPERLINK("https://chatgpt.com/?prompt=" &amp; SUBSTITUTE(SUBSTITUTE(K132, " ", "+"), "&amp;", "dan") &amp; "&amp;force-refresh=true&amp;timestamp=" &amp; TEXT(NOW(), "yyyymmddhhmmss"), "👉 Klik untuk Generate Script! 🔥"), "")</f>
        <v/>
      </c>
      <c r="I132" s="144" t="n"/>
      <c r="J132" s="148" t="n"/>
      <c r="K132" s="140">
        <f>IF(AND(B132&lt;&gt;"", C132&lt;&gt;"", D132&lt;&gt;"", E132&lt;&gt;"", F132&lt;&gt;"", G132&lt;&gt;"", J132&lt;&gt;"", 'CONTENT PILLAR MAPPING'!C34&lt;&gt;"", 'CONTENT PILLAR MAPPING'!E34&lt;&gt;"", 'CONTENT PILLAR MAPPING'!F34&lt;&gt;"", 'CONTENT PILLAR MAPPING'!C37&lt;&gt;"", 'CONTENT PILLAR MAPPING'!C42&lt;&gt;"", 'CONTENT PILLAR MAPPING'!D42&lt;&gt;"", 'CONTENT PILLAR MAPPING'!E42&lt;&gt;"", 'CONTENT PILLAR MAPPING'!D50&lt;&gt;"", 'CONTENT PILLAR MAPPING'!D51&lt;&gt;""),
CONCATENATE(
"Sebagai seorang top konten kreator dengan niche utama '", 'CONTENT PILLAR MAPPING'!C34, "', spesifik kategori '", 'CONTENT PILLAR MAPPING'!E34, "', dan super spesifik '", 'CONTENT PILLAR MAPPING'!F34, "', yang dikenal sebagai '", 'CONTENT PILLAR MAPPING'!C37, "'.", CHAR(10),
"Saya memiliki Tone of Voice: '", 'CONTENT PILLAR MAPPING'!C42, "', Brand Archetype: '", 'CONTENT PILLAR MAPPING'!D42, "', dan Deskripsi Gaya Komunikasi: '", 'CONTENT PILLAR MAPPING'!E42, "'.", CHAR(10),
"Target audiens saya adalah: '", 'CONTENT PILLAR MAPPING'!D50, "', dengan segmentasi audiens: '", 'CONTENT PILLAR MAPPING'!D51, "'.", CHAR(10), CHAR(10),
"Mohon buatkan script konten yang **sangat powerful, menarik, inovatif, dan siap pakai** dengan judul ide '", B132, "'.", CHAR(10),
"Konten ini memiliki pilar '", C132, "', nilai tambah utama '", F132, "', dan akan menggunakan storytelling framework '", G132, "'.", CHAR(10),
"Gambaran singkat ide kontennya adalah: '", J132, "'.", CHAR(10),
"Konten ini akan diunggah di platform '", E132, "' dengan format '", D132,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 "'.** Sesuaikan dengan gaya komunikasi saya, dengan fokus pada nilai tambah '", F132,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 ", khusus ", 'CONTENT PILLAR MAPPING'!D51, ") dan membantu mereka menyelesaikan masalah atau mencapai tujuan mereka.", CHAR(10),
"✔ Membantuku membangun personal branding yang kuat dan sustainable, sesuai dengan Positioning saya sebagai '", 'CONTENT PILLAR MAPPING'!C37, "' dan Brand Archetype '", 'CONTENT PILLAR MAPPING'!D42, "'.", CHAR(10),
"✔ Kemas dalam bentuk tabel agar rapi, mudah di baca dan dipahami, dengan kolom 'Judul Konten', 'Pilar', 'Format', 'Draft Script', 'CTA', 'Saran Visual', dan 'Full Caption'. (Kosongkan kolom Link Prompt jika ada)."
),
"")</f>
        <v/>
      </c>
      <c r="L132" s="199" t="n"/>
      <c r="M132" s="199" t="n"/>
      <c r="N132" s="102" t="n"/>
      <c r="O132" s="102" t="n"/>
      <c r="P132" s="102" t="n"/>
      <c r="Q132" s="102" t="n"/>
      <c r="R132" s="102" t="n"/>
      <c r="S132" s="102" t="n"/>
      <c r="T132" s="102" t="n"/>
      <c r="U132" s="102" t="n"/>
      <c r="V132" s="102" t="n"/>
      <c r="W132" s="102" t="n"/>
      <c r="X132" s="102" t="n"/>
      <c r="Y132" s="102" t="n"/>
      <c r="Z132" s="102" t="n"/>
      <c r="AA132" s="102" t="n"/>
      <c r="AB132" s="102" t="n"/>
      <c r="AC132" s="102" t="n"/>
      <c r="AD132" s="102" t="n"/>
    </row>
    <row r="133" ht="15.75" customHeight="1" s="205">
      <c r="A133" s="102" t="n"/>
      <c r="B133" s="142" t="n"/>
      <c r="C133" s="143" t="n"/>
      <c r="D133" s="143" t="n"/>
      <c r="E133" s="143" t="n"/>
      <c r="F133" s="143" t="n"/>
      <c r="G133" s="144" t="n"/>
      <c r="H133" s="145">
        <f>IF(K133&lt;&gt;"", HYPERLINK("https://chatgpt.com/?prompt=" &amp; SUBSTITUTE(SUBSTITUTE(K133, " ", "+"), "&amp;", "dan") &amp; "&amp;force-refresh=true&amp;timestamp=" &amp; TEXT(NOW(), "yyyymmddhhmmss"), "👉 Klik untuk Generate Script! 🔥"), "")</f>
        <v/>
      </c>
      <c r="I133" s="143" t="n"/>
      <c r="J133" s="146" t="n"/>
      <c r="K133" s="130">
        <f>IF(AND(B133&lt;&gt;"", C133&lt;&gt;"", D133&lt;&gt;"", E133&lt;&gt;"", F133&lt;&gt;"", G133&lt;&gt;"", J133&lt;&gt;"", 'CONTENT PILLAR MAPPING'!C36&lt;&gt;"", 'CONTENT PILLAR MAPPING'!E36&lt;&gt;"", 'CONTENT PILLAR MAPPING'!F36&lt;&gt;"", 'CONTENT PILLAR MAPPING'!C39&lt;&gt;"", 'CONTENT PILLAR MAPPING'!C44&lt;&gt;"", 'CONTENT PILLAR MAPPING'!D44&lt;&gt;"", 'CONTENT PILLAR MAPPING'!E44&lt;&gt;"", 'CONTENT PILLAR MAPPING'!D52&lt;&gt;"", 'CONTENT PILLAR MAPPING'!D53&lt;&gt;""),
CONCATENATE(
"Sebagai seorang top konten kreator dengan niche utama '", 'CONTENT PILLAR MAPPING'!C36, "', spesifik kategori '", 'CONTENT PILLAR MAPPING'!E36, "', dan super spesifik '", 'CONTENT PILLAR MAPPING'!F36, "', yang dikenal sebagai '", 'CONTENT PILLAR MAPPING'!C39, "'.", CHAR(10),
"Saya memiliki Tone of Voice: '", 'CONTENT PILLAR MAPPING'!C44, "', Brand Archetype: '", 'CONTENT PILLAR MAPPING'!D44, "', dan Deskripsi Gaya Komunikasi: '", 'CONTENT PILLAR MAPPING'!E44, "'.", CHAR(10),
"Target audiens saya adalah: '", 'CONTENT PILLAR MAPPING'!D52, "', dengan segmentasi audiens: '", 'CONTENT PILLAR MAPPING'!D53, "'.", CHAR(10), CHAR(10),
"Mohon buatkan script konten yang **sangat powerful, menarik, inovatif, dan siap pakai** dengan judul ide '", B133, "'.", CHAR(10),
"Konten ini memiliki pilar '", C133, "', nilai tambah utama '", F133, "', dan akan menggunakan storytelling framework '", G133, "'.", CHAR(10),
"Gambaran singkat ide kontennya adalah: '", J133, "'.", CHAR(10),
"Konten ini akan diunggah di platform '", E133, "' dengan format '", D133,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 "'.** Sesuaikan dengan gaya komunikasi saya, dengan fokus pada nilai tambah '", F133,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 ", khusus ", 'CONTENT PILLAR MAPPING'!D53, ") dan membantu mereka menyelesaikan masalah atau mencapai tujuan mereka.", CHAR(10),
"✔ Membantuku membangun personal branding yang kuat dan sustainable, sesuai dengan Positioning saya sebagai '", 'CONTENT PILLAR MAPPING'!C39, "' dan Brand Archetype '", 'CONTENT PILLAR MAPPING'!D44, "'.", CHAR(10),
"✔ Kemas dalam bentuk tabel agar rapi, mudah di baca dan dipahami, dengan kolom 'Judul Konten', 'Pilar', 'Format', 'Draft Script', 'CTA', 'Saran Visual', dan 'Full Caption'. (Kosongkan kolom Link Prompt jika ada)."
),
"")</f>
        <v/>
      </c>
      <c r="L133" s="91" t="n"/>
      <c r="M133" s="91" t="n"/>
      <c r="N133" s="102" t="n"/>
      <c r="O133" s="102" t="n"/>
      <c r="P133" s="102" t="n"/>
      <c r="Q133" s="102" t="n"/>
      <c r="R133" s="102" t="n"/>
      <c r="S133" s="102" t="n"/>
      <c r="T133" s="102" t="n"/>
      <c r="U133" s="102" t="n"/>
      <c r="V133" s="102" t="n"/>
      <c r="W133" s="102" t="n"/>
      <c r="X133" s="102" t="n"/>
      <c r="Y133" s="102" t="n"/>
      <c r="Z133" s="102" t="n"/>
      <c r="AA133" s="102" t="n"/>
      <c r="AB133" s="102" t="n"/>
      <c r="AC133" s="102" t="n"/>
      <c r="AD133" s="102" t="n"/>
    </row>
    <row r="134" ht="15.75" customHeight="1" s="205">
      <c r="A134" s="102" t="n"/>
      <c r="B134" s="147" t="n"/>
      <c r="C134" s="144" t="n"/>
      <c r="D134" s="144" t="n"/>
      <c r="E134" s="144" t="n"/>
      <c r="F134" s="144" t="n"/>
      <c r="G134" s="144" t="n"/>
      <c r="H134" s="141">
        <f>IF(K134&lt;&gt;"", HYPERLINK("https://chatgpt.com/?prompt=" &amp; SUBSTITUTE(SUBSTITUTE(K134, " ", "+"), "&amp;", "dan") &amp; "&amp;force-refresh=true&amp;timestamp=" &amp; TEXT(NOW(), "yyyymmddhhmmss"), "👉 Klik untuk Generate Script! 🔥"), "")</f>
        <v/>
      </c>
      <c r="I134" s="144" t="n"/>
      <c r="J134" s="148" t="n"/>
      <c r="K134" s="140">
        <f>IF(AND(B134&lt;&gt;"", C134&lt;&gt;"", D134&lt;&gt;"", E134&lt;&gt;"", F134&lt;&gt;"", G134&lt;&gt;"", J134&lt;&gt;"", 'CONTENT PILLAR MAPPING'!C36&lt;&gt;"", 'CONTENT PILLAR MAPPING'!E36&lt;&gt;"", 'CONTENT PILLAR MAPPING'!F36&lt;&gt;"", 'CONTENT PILLAR MAPPING'!C39&lt;&gt;"", 'CONTENT PILLAR MAPPING'!C44&lt;&gt;"", 'CONTENT PILLAR MAPPING'!D44&lt;&gt;"", 'CONTENT PILLAR MAPPING'!E44&lt;&gt;"", 'CONTENT PILLAR MAPPING'!D52&lt;&gt;"", 'CONTENT PILLAR MAPPING'!D53&lt;&gt;""),
CONCATENATE(
"Sebagai seorang top konten kreator dengan niche utama '", 'CONTENT PILLAR MAPPING'!C36, "', spesifik kategori '", 'CONTENT PILLAR MAPPING'!E36, "', dan super spesifik '", 'CONTENT PILLAR MAPPING'!F36, "', yang dikenal sebagai '", 'CONTENT PILLAR MAPPING'!C39, "'.", CHAR(10),
"Saya memiliki Tone of Voice: '", 'CONTENT PILLAR MAPPING'!C44, "', Brand Archetype: '", 'CONTENT PILLAR MAPPING'!D44, "', dan Deskripsi Gaya Komunikasi: '", 'CONTENT PILLAR MAPPING'!E44, "'.", CHAR(10),
"Target audiens saya adalah: '", 'CONTENT PILLAR MAPPING'!D52, "', dengan segmentasi audiens: '", 'CONTENT PILLAR MAPPING'!D53, "'.", CHAR(10), CHAR(10),
"Mohon buatkan script konten yang **sangat powerful, menarik, inovatif, dan siap pakai** dengan judul ide '", B134, "'.", CHAR(10),
"Konten ini memiliki pilar '", C134, "', nilai tambah utama '", F134, "', dan akan menggunakan storytelling framework '", G134, "'.", CHAR(10),
"Gambaran singkat ide kontennya adalah: '", J134, "'.", CHAR(10),
"Konten ini akan diunggah di platform '", E134, "' dengan format '", D134,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 "'.** Sesuaikan dengan gaya komunikasi saya, dengan fokus pada nilai tambah '", F134,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 ", khusus ", 'CONTENT PILLAR MAPPING'!D53, ") dan membantu mereka menyelesaikan masalah atau mencapai tujuan mereka.", CHAR(10),
"✔ Membantuku membangun personal branding yang kuat dan sustainable, sesuai dengan Positioning saya sebagai '", 'CONTENT PILLAR MAPPING'!C39, "' dan Brand Archetype '", 'CONTENT PILLAR MAPPING'!D44, "'.", CHAR(10),
"✔ Kemas dalam bentuk tabel agar rapi, mudah di baca dan dipahami, dengan kolom 'Judul Konten', 'Pilar', 'Format', 'Draft Script', 'CTA', 'Saran Visual', dan 'Full Caption'. (Kosongkan kolom Link Prompt jika ada)."
),
"")</f>
        <v/>
      </c>
      <c r="L134" s="199" t="n"/>
      <c r="M134" s="199" t="n"/>
      <c r="N134" s="102" t="n"/>
      <c r="O134" s="102" t="n"/>
      <c r="P134" s="102" t="n"/>
      <c r="Q134" s="102" t="n"/>
      <c r="R134" s="102" t="n"/>
      <c r="S134" s="102" t="n"/>
      <c r="T134" s="102" t="n"/>
      <c r="U134" s="102" t="n"/>
      <c r="V134" s="102" t="n"/>
      <c r="W134" s="102" t="n"/>
      <c r="X134" s="102" t="n"/>
      <c r="Y134" s="102" t="n"/>
      <c r="Z134" s="102" t="n"/>
      <c r="AA134" s="102" t="n"/>
      <c r="AB134" s="102" t="n"/>
      <c r="AC134" s="102" t="n"/>
      <c r="AD134" s="102" t="n"/>
    </row>
    <row r="135" ht="15.75" customHeight="1" s="205">
      <c r="A135" s="102" t="n"/>
      <c r="B135" s="142" t="n"/>
      <c r="C135" s="143" t="n"/>
      <c r="D135" s="143" t="n"/>
      <c r="E135" s="143" t="n"/>
      <c r="F135" s="143" t="n"/>
      <c r="G135" s="144" t="n"/>
      <c r="H135" s="145">
        <f>IF(K135&lt;&gt;"", HYPERLINK("https://chatgpt.com/?prompt=" &amp; SUBSTITUTE(SUBSTITUTE(K135, " ", "+"), "&amp;", "dan") &amp; "&amp;force-refresh=true&amp;timestamp=" &amp; TEXT(NOW(), "yyyymmddhhmmss"), "👉 Klik untuk Generate Script! 🔥"), "")</f>
        <v/>
      </c>
      <c r="I135" s="143" t="n"/>
      <c r="J135" s="146" t="n"/>
      <c r="K135" s="130">
        <f>IF(AND(B135&lt;&gt;"", C135&lt;&gt;"", D135&lt;&gt;"", E135&lt;&gt;"", F135&lt;&gt;"", G135&lt;&gt;"", J135&lt;&gt;"", 'CONTENT PILLAR MAPPING'!C38&lt;&gt;"", 'CONTENT PILLAR MAPPING'!E38&lt;&gt;"", 'CONTENT PILLAR MAPPING'!F38&lt;&gt;"", 'CONTENT PILLAR MAPPING'!C41&lt;&gt;"", 'CONTENT PILLAR MAPPING'!C46&lt;&gt;"", 'CONTENT PILLAR MAPPING'!D46&lt;&gt;"", 'CONTENT PILLAR MAPPING'!E46&lt;&gt;"", 'CONTENT PILLAR MAPPING'!D54&lt;&gt;"", 'CONTENT PILLAR MAPPING'!D55&lt;&gt;""),
CONCATENATE(
"Sebagai seorang top konten kreator dengan niche utama '", 'CONTENT PILLAR MAPPING'!C38, "', spesifik kategori '", 'CONTENT PILLAR MAPPING'!E38, "', dan super spesifik '", 'CONTENT PILLAR MAPPING'!F38, "', yang dikenal sebagai '", 'CONTENT PILLAR MAPPING'!C41, "'.", CHAR(10),
"Saya memiliki Tone of Voice: '", 'CONTENT PILLAR MAPPING'!C46, "', Brand Archetype: '", 'CONTENT PILLAR MAPPING'!D46, "', dan Deskripsi Gaya Komunikasi: '", 'CONTENT PILLAR MAPPING'!E46, "'.", CHAR(10),
"Target audiens saya adalah: '", 'CONTENT PILLAR MAPPING'!D54, "', dengan segmentasi audiens: '", 'CONTENT PILLAR MAPPING'!D55, "'.", CHAR(10), CHAR(10),
"Mohon buatkan script konten yang **sangat powerful, menarik, inovatif, dan siap pakai** dengan judul ide '", B135, "'.", CHAR(10),
"Konten ini memiliki pilar '", C135, "', nilai tambah utama '", F135, "', dan akan menggunakan storytelling framework '", G135, "'.", CHAR(10),
"Gambaran singkat ide kontennya adalah: '", J135, "'.", CHAR(10),
"Konten ini akan diunggah di platform '", E135, "' dengan format '", D135,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 "'.** Sesuaikan dengan gaya komunikasi saya, dengan fokus pada nilai tambah '", F135,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 ", khusus ", 'CONTENT PILLAR MAPPING'!D55, ") dan membantu mereka menyelesaikan masalah atau mencapai tujuan mereka.", CHAR(10),
"✔ Membantuku membangun personal branding yang kuat dan sustainable, sesuai dengan Positioning saya sebagai '", 'CONTENT PILLAR MAPPING'!C41, "' dan Brand Archetype '", 'CONTENT PILLAR MAPPING'!D46, "'.", CHAR(10),
"✔ Kemas dalam bentuk tabel agar rapi, mudah di baca dan dipahami, dengan kolom 'Judul Konten', 'Pilar', 'Format', 'Draft Script', 'CTA', 'Saran Visual', dan 'Full Caption'. (Kosongkan kolom Link Prompt jika ada)."
),
"")</f>
        <v/>
      </c>
      <c r="L135" s="91" t="n"/>
      <c r="M135" s="91" t="n"/>
      <c r="N135" s="102" t="n"/>
      <c r="O135" s="102" t="n"/>
      <c r="P135" s="102" t="n"/>
      <c r="Q135" s="102" t="n"/>
      <c r="R135" s="102" t="n"/>
      <c r="S135" s="102" t="n"/>
      <c r="T135" s="102" t="n"/>
      <c r="U135" s="102" t="n"/>
      <c r="V135" s="102" t="n"/>
      <c r="W135" s="102" t="n"/>
      <c r="X135" s="102" t="n"/>
      <c r="Y135" s="102" t="n"/>
      <c r="Z135" s="102" t="n"/>
      <c r="AA135" s="102" t="n"/>
      <c r="AB135" s="102" t="n"/>
      <c r="AC135" s="102" t="n"/>
      <c r="AD135" s="102" t="n"/>
    </row>
    <row r="136" ht="15.75" customHeight="1" s="205">
      <c r="A136" s="102" t="n"/>
      <c r="B136" s="147" t="n"/>
      <c r="C136" s="144" t="n"/>
      <c r="D136" s="144" t="n"/>
      <c r="E136" s="144" t="n"/>
      <c r="F136" s="144" t="n"/>
      <c r="G136" s="144" t="n"/>
      <c r="H136" s="141">
        <f>IF(K136&lt;&gt;"", HYPERLINK("https://chatgpt.com/?prompt=" &amp; SUBSTITUTE(SUBSTITUTE(K136, " ", "+"), "&amp;", "dan") &amp; "&amp;force-refresh=true&amp;timestamp=" &amp; TEXT(NOW(), "yyyymmddhhmmss"), "👉 Klik untuk Generate Script! 🔥"), "")</f>
        <v/>
      </c>
      <c r="I136" s="144" t="n"/>
      <c r="J136" s="148" t="n"/>
      <c r="K136" s="140">
        <f>IF(AND(B136&lt;&gt;"", C136&lt;&gt;"", D136&lt;&gt;"", E136&lt;&gt;"", F136&lt;&gt;"", G136&lt;&gt;"", J136&lt;&gt;"", 'CONTENT PILLAR MAPPING'!C38&lt;&gt;"", 'CONTENT PILLAR MAPPING'!E38&lt;&gt;"", 'CONTENT PILLAR MAPPING'!F38&lt;&gt;"", 'CONTENT PILLAR MAPPING'!C41&lt;&gt;"", 'CONTENT PILLAR MAPPING'!C46&lt;&gt;"", 'CONTENT PILLAR MAPPING'!D46&lt;&gt;"", 'CONTENT PILLAR MAPPING'!E46&lt;&gt;"", 'CONTENT PILLAR MAPPING'!D54&lt;&gt;"", 'CONTENT PILLAR MAPPING'!D55&lt;&gt;""),
CONCATENATE(
"Sebagai seorang top konten kreator dengan niche utama '", 'CONTENT PILLAR MAPPING'!C38, "', spesifik kategori '", 'CONTENT PILLAR MAPPING'!E38, "', dan super spesifik '", 'CONTENT PILLAR MAPPING'!F38, "', yang dikenal sebagai '", 'CONTENT PILLAR MAPPING'!C41, "'.", CHAR(10),
"Saya memiliki Tone of Voice: '", 'CONTENT PILLAR MAPPING'!C46, "', Brand Archetype: '", 'CONTENT PILLAR MAPPING'!D46, "', dan Deskripsi Gaya Komunikasi: '", 'CONTENT PILLAR MAPPING'!E46, "'.", CHAR(10),
"Target audiens saya adalah: '", 'CONTENT PILLAR MAPPING'!D54, "', dengan segmentasi audiens: '", 'CONTENT PILLAR MAPPING'!D55, "'.", CHAR(10), CHAR(10),
"Mohon buatkan script konten yang **sangat powerful, menarik, inovatif, dan siap pakai** dengan judul ide '", B136, "'.", CHAR(10),
"Konten ini memiliki pilar '", C136, "', nilai tambah utama '", F136, "', dan akan menggunakan storytelling framework '", G136, "'.", CHAR(10),
"Gambaran singkat ide kontennya adalah: '", J136, "'.", CHAR(10),
"Konten ini akan diunggah di platform '", E136, "' dengan format '", D136,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 "'.** Sesuaikan dengan gaya komunikasi saya, dengan fokus pada nilai tambah '", F136,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 ", khusus ", 'CONTENT PILLAR MAPPING'!D55, ") dan membantu mereka menyelesaikan masalah atau mencapai tujuan mereka.", CHAR(10),
"✔ Membantuku membangun personal branding yang kuat dan sustainable, sesuai dengan Positioning saya sebagai '", 'CONTENT PILLAR MAPPING'!C41, "' dan Brand Archetype '", 'CONTENT PILLAR MAPPING'!D46, "'.", CHAR(10),
"✔ Kemas dalam bentuk tabel agar rapi, mudah di baca dan dipahami, dengan kolom 'Judul Konten', 'Pilar', 'Format', 'Draft Script', 'CTA', 'Saran Visual', dan 'Full Caption'. (Kosongkan kolom Link Prompt jika ada)."
),
"")</f>
        <v/>
      </c>
      <c r="L136" s="199" t="n"/>
      <c r="M136" s="199" t="n"/>
      <c r="N136" s="102" t="n"/>
      <c r="O136" s="102" t="n"/>
      <c r="P136" s="102" t="n"/>
      <c r="Q136" s="102" t="n"/>
      <c r="R136" s="102" t="n"/>
      <c r="S136" s="102" t="n"/>
      <c r="T136" s="102" t="n"/>
      <c r="U136" s="102" t="n"/>
      <c r="V136" s="102" t="n"/>
      <c r="W136" s="102" t="n"/>
      <c r="X136" s="102" t="n"/>
      <c r="Y136" s="102" t="n"/>
      <c r="Z136" s="102" t="n"/>
      <c r="AA136" s="102" t="n"/>
      <c r="AB136" s="102" t="n"/>
      <c r="AC136" s="102" t="n"/>
      <c r="AD136" s="102" t="n"/>
    </row>
    <row r="137" ht="15.75" customHeight="1" s="205">
      <c r="A137" s="102" t="n"/>
      <c r="B137" s="142" t="n"/>
      <c r="C137" s="143" t="n"/>
      <c r="D137" s="143" t="n"/>
      <c r="E137" s="143" t="n"/>
      <c r="F137" s="143" t="n"/>
      <c r="G137" s="144" t="n"/>
      <c r="H137" s="145">
        <f>IF(K137&lt;&gt;"", HYPERLINK("https://chatgpt.com/?prompt=" &amp; SUBSTITUTE(SUBSTITUTE(K137, " ", "+"), "&amp;", "dan") &amp; "&amp;force-refresh=true&amp;timestamp=" &amp; TEXT(NOW(), "yyyymmddhhmmss"), "👉 Klik untuk Generate Script! 🔥"), "")</f>
        <v/>
      </c>
      <c r="I137" s="143" t="n"/>
      <c r="J137" s="146" t="n"/>
      <c r="K137" s="130">
        <f>IF(AND(B137&lt;&gt;"", C137&lt;&gt;"", D137&lt;&gt;"", E137&lt;&gt;"", F137&lt;&gt;"", G137&lt;&gt;"", J137&lt;&gt;"", 'CONTENT PILLAR MAPPING'!C40&lt;&gt;"", 'CONTENT PILLAR MAPPING'!E40&lt;&gt;"", 'CONTENT PILLAR MAPPING'!F40&lt;&gt;"", 'CONTENT PILLAR MAPPING'!C43&lt;&gt;"", 'CONTENT PILLAR MAPPING'!C48&lt;&gt;"", 'CONTENT PILLAR MAPPING'!D48&lt;&gt;"", 'CONTENT PILLAR MAPPING'!E48&lt;&gt;"", 'CONTENT PILLAR MAPPING'!D56&lt;&gt;"", 'CONTENT PILLAR MAPPING'!D57&lt;&gt;""),
CONCATENATE(
"Sebagai seorang top konten kreator dengan niche utama '", 'CONTENT PILLAR MAPPING'!C40, "', spesifik kategori '", 'CONTENT PILLAR MAPPING'!E40, "', dan super spesifik '", 'CONTENT PILLAR MAPPING'!F40, "', yang dikenal sebagai '", 'CONTENT PILLAR MAPPING'!C43, "'.", CHAR(10),
"Saya memiliki Tone of Voice: '", 'CONTENT PILLAR MAPPING'!C48, "', Brand Archetype: '", 'CONTENT PILLAR MAPPING'!D48, "', dan Deskripsi Gaya Komunikasi: '", 'CONTENT PILLAR MAPPING'!E48, "'.", CHAR(10),
"Target audiens saya adalah: '", 'CONTENT PILLAR MAPPING'!D56, "', dengan segmentasi audiens: '", 'CONTENT PILLAR MAPPING'!D57, "'.", CHAR(10), CHAR(10),
"Mohon buatkan script konten yang **sangat powerful, menarik, inovatif, dan siap pakai** dengan judul ide '", B137, "'.", CHAR(10),
"Konten ini memiliki pilar '", C137, "', nilai tambah utama '", F137, "', dan akan menggunakan storytelling framework '", G137, "'.", CHAR(10),
"Gambaran singkat ide kontennya adalah: '", J137, "'.", CHAR(10),
"Konten ini akan diunggah di platform '", E137, "' dengan format '", D137,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 "'.** Sesuaikan dengan gaya komunikasi saya, dengan fokus pada nilai tambah '", F137,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 ", khusus ", 'CONTENT PILLAR MAPPING'!D57, ") dan membantu mereka menyelesaikan masalah atau mencapai tujuan mereka.", CHAR(10),
"✔ Membantuku membangun personal branding yang kuat dan sustainable, sesuai dengan Positioning saya sebagai '", 'CONTENT PILLAR MAPPING'!C43, "' dan Brand Archetype '", 'CONTENT PILLAR MAPPING'!D48, "'.", CHAR(10),
"✔ Kemas dalam bentuk tabel agar rapi, mudah di baca dan dipahami, dengan kolom 'Judul Konten', 'Pilar', 'Format', 'Draft Script', 'CTA', 'Saran Visual', dan 'Full Caption'. (Kosongkan kolom Link Prompt jika ada)."
),
"")</f>
        <v/>
      </c>
      <c r="L137" s="91" t="n"/>
      <c r="M137" s="91" t="n"/>
      <c r="N137" s="102" t="n"/>
      <c r="O137" s="102" t="n"/>
      <c r="P137" s="102" t="n"/>
      <c r="Q137" s="102" t="n"/>
      <c r="R137" s="102" t="n"/>
      <c r="S137" s="102" t="n"/>
      <c r="T137" s="102" t="n"/>
      <c r="U137" s="102" t="n"/>
      <c r="V137" s="102" t="n"/>
      <c r="W137" s="102" t="n"/>
      <c r="X137" s="102" t="n"/>
      <c r="Y137" s="102" t="n"/>
      <c r="Z137" s="102" t="n"/>
      <c r="AA137" s="102" t="n"/>
      <c r="AB137" s="102" t="n"/>
      <c r="AC137" s="102" t="n"/>
      <c r="AD137" s="102" t="n"/>
    </row>
    <row r="138" ht="15.75" customHeight="1" s="205">
      <c r="A138" s="102" t="n"/>
      <c r="B138" s="147" t="n"/>
      <c r="C138" s="144" t="n"/>
      <c r="D138" s="144" t="n"/>
      <c r="E138" s="144" t="n"/>
      <c r="F138" s="144" t="n"/>
      <c r="G138" s="144" t="n"/>
      <c r="H138" s="141">
        <f>IF(K138&lt;&gt;"", HYPERLINK("https://chatgpt.com/?prompt=" &amp; SUBSTITUTE(SUBSTITUTE(K138, " ", "+"), "&amp;", "dan") &amp; "&amp;force-refresh=true&amp;timestamp=" &amp; TEXT(NOW(), "yyyymmddhhmmss"), "👉 Klik untuk Generate Script! 🔥"), "")</f>
        <v/>
      </c>
      <c r="I138" s="144" t="n"/>
      <c r="J138" s="148" t="n"/>
      <c r="K138" s="140">
        <f>IF(AND(B138&lt;&gt;"", C138&lt;&gt;"", D138&lt;&gt;"", E138&lt;&gt;"", F138&lt;&gt;"", G138&lt;&gt;"", J138&lt;&gt;"", 'CONTENT PILLAR MAPPING'!C40&lt;&gt;"", 'CONTENT PILLAR MAPPING'!E40&lt;&gt;"", 'CONTENT PILLAR MAPPING'!F40&lt;&gt;"", 'CONTENT PILLAR MAPPING'!C43&lt;&gt;"", 'CONTENT PILLAR MAPPING'!C48&lt;&gt;"", 'CONTENT PILLAR MAPPING'!D48&lt;&gt;"", 'CONTENT PILLAR MAPPING'!E48&lt;&gt;"", 'CONTENT PILLAR MAPPING'!D56&lt;&gt;"", 'CONTENT PILLAR MAPPING'!D57&lt;&gt;""),
CONCATENATE(
"Sebagai seorang top konten kreator dengan niche utama '", 'CONTENT PILLAR MAPPING'!C40, "', spesifik kategori '", 'CONTENT PILLAR MAPPING'!E40, "', dan super spesifik '", 'CONTENT PILLAR MAPPING'!F40, "', yang dikenal sebagai '", 'CONTENT PILLAR MAPPING'!C43, "'.", CHAR(10),
"Saya memiliki Tone of Voice: '", 'CONTENT PILLAR MAPPING'!C48, "', Brand Archetype: '", 'CONTENT PILLAR MAPPING'!D48, "', dan Deskripsi Gaya Komunikasi: '", 'CONTENT PILLAR MAPPING'!E48, "'.", CHAR(10),
"Target audiens saya adalah: '", 'CONTENT PILLAR MAPPING'!D56, "', dengan segmentasi audiens: '", 'CONTENT PILLAR MAPPING'!D57, "'.", CHAR(10), CHAR(10),
"Mohon buatkan script konten yang **sangat powerful, menarik, inovatif, dan siap pakai** dengan judul ide '", B138, "'.", CHAR(10),
"Konten ini memiliki pilar '", C138, "', nilai tambah utama '", F138, "', dan akan menggunakan storytelling framework '", G138, "'.", CHAR(10),
"Gambaran singkat ide kontennya adalah: '", J138, "'.", CHAR(10),
"Konten ini akan diunggah di platform '", E138, "' dengan format '", D138,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 "'.** Sesuaikan dengan gaya komunikasi saya, dengan fokus pada nilai tambah '", F138,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 ", khusus ", 'CONTENT PILLAR MAPPING'!D57, ") dan membantu mereka menyelesaikan masalah atau mencapai tujuan mereka.", CHAR(10),
"✔ Membantuku membangun personal branding yang kuat dan sustainable, sesuai dengan Positioning saya sebagai '", 'CONTENT PILLAR MAPPING'!C43, "' dan Brand Archetype '", 'CONTENT PILLAR MAPPING'!D48, "'.", CHAR(10),
"✔ Kemas dalam bentuk tabel agar rapi, mudah di baca dan dipahami, dengan kolom 'Judul Konten', 'Pilar', 'Format', 'Draft Script', 'CTA', 'Saran Visual', dan 'Full Caption'. (Kosongkan kolom Link Prompt jika ada)."
),
"")</f>
        <v/>
      </c>
      <c r="L138" s="199" t="n"/>
      <c r="M138" s="199" t="n"/>
      <c r="N138" s="102" t="n"/>
      <c r="O138" s="102" t="n"/>
      <c r="P138" s="102" t="n"/>
      <c r="Q138" s="102" t="n"/>
      <c r="R138" s="102" t="n"/>
      <c r="S138" s="102" t="n"/>
      <c r="T138" s="102" t="n"/>
      <c r="U138" s="102" t="n"/>
      <c r="V138" s="102" t="n"/>
      <c r="W138" s="102" t="n"/>
      <c r="X138" s="102" t="n"/>
      <c r="Y138" s="102" t="n"/>
      <c r="Z138" s="102" t="n"/>
      <c r="AA138" s="102" t="n"/>
      <c r="AB138" s="102" t="n"/>
      <c r="AC138" s="102" t="n"/>
      <c r="AD138" s="102" t="n"/>
    </row>
    <row r="139" ht="15.75" customHeight="1" s="205">
      <c r="A139" s="102" t="n"/>
      <c r="B139" s="142" t="n"/>
      <c r="C139" s="143" t="n"/>
      <c r="D139" s="143" t="n"/>
      <c r="E139" s="143" t="n"/>
      <c r="F139" s="143" t="n"/>
      <c r="G139" s="144" t="n"/>
      <c r="H139" s="145">
        <f>IF(K139&lt;&gt;"", HYPERLINK("https://chatgpt.com/?prompt=" &amp; SUBSTITUTE(SUBSTITUTE(K139, " ", "+"), "&amp;", "dan") &amp; "&amp;force-refresh=true&amp;timestamp=" &amp; TEXT(NOW(), "yyyymmddhhmmss"), "👉 Klik untuk Generate Script! 🔥"), "")</f>
        <v/>
      </c>
      <c r="I139" s="143" t="n"/>
      <c r="J139" s="146" t="n"/>
      <c r="K139" s="130">
        <f>IF(AND(B139&lt;&gt;"", C139&lt;&gt;"", D139&lt;&gt;"", E139&lt;&gt;"", F139&lt;&gt;"", G139&lt;&gt;"", J139&lt;&gt;"", 'CONTENT PILLAR MAPPING'!C42&lt;&gt;"", 'CONTENT PILLAR MAPPING'!E42&lt;&gt;"", 'CONTENT PILLAR MAPPING'!F42&lt;&gt;"", 'CONTENT PILLAR MAPPING'!C45&lt;&gt;"", 'CONTENT PILLAR MAPPING'!C50&lt;&gt;"", 'CONTENT PILLAR MAPPING'!D50&lt;&gt;"", 'CONTENT PILLAR MAPPING'!E50&lt;&gt;"", 'CONTENT PILLAR MAPPING'!D58&lt;&gt;"", 'CONTENT PILLAR MAPPING'!D59&lt;&gt;""),
CONCATENATE(
"Sebagai seorang top konten kreator dengan niche utama '", 'CONTENT PILLAR MAPPING'!C42, "', spesifik kategori '", 'CONTENT PILLAR MAPPING'!E42, "', dan super spesifik '", 'CONTENT PILLAR MAPPING'!F42, "', yang dikenal sebagai '", 'CONTENT PILLAR MAPPING'!C45, "'.", CHAR(10),
"Saya memiliki Tone of Voice: '", 'CONTENT PILLAR MAPPING'!C50, "', Brand Archetype: '", 'CONTENT PILLAR MAPPING'!D50, "', dan Deskripsi Gaya Komunikasi: '", 'CONTENT PILLAR MAPPING'!E50, "'.", CHAR(10),
"Target audiens saya adalah: '", 'CONTENT PILLAR MAPPING'!D58, "', dengan segmentasi audiens: '", 'CONTENT PILLAR MAPPING'!D59, "'.", CHAR(10), CHAR(10),
"Mohon buatkan script konten yang **sangat powerful, menarik, inovatif, dan siap pakai** dengan judul ide '", B139, "'.", CHAR(10),
"Konten ini memiliki pilar '", C139, "', nilai tambah utama '", F139, "', dan akan menggunakan storytelling framework '", G139, "'.", CHAR(10),
"Gambaran singkat ide kontennya adalah: '", J139, "'.", CHAR(10),
"Konten ini akan diunggah di platform '", E139, "' dengan format '", D139,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 "'.** Sesuaikan dengan gaya komunikasi saya, dengan fokus pada nilai tambah '", F139,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 ", khusus ", 'CONTENT PILLAR MAPPING'!D59, ") dan membantu mereka menyelesaikan masalah atau mencapai tujuan mereka.", CHAR(10),
"✔ Membantuku membangun personal branding yang kuat dan sustainable, sesuai dengan Positioning saya sebagai '", 'CONTENT PILLAR MAPPING'!C45, "' dan Brand Archetype '", 'CONTENT PILLAR MAPPING'!D50, "'.", CHAR(10),
"✔ Kemas dalam bentuk tabel agar rapi, mudah di baca dan dipahami, dengan kolom 'Judul Konten', 'Pilar', 'Format', 'Draft Script', 'CTA', 'Saran Visual', dan 'Full Caption'. (Kosongkan kolom Link Prompt jika ada)."
),
"")</f>
        <v/>
      </c>
      <c r="L139" s="91" t="n"/>
      <c r="M139" s="91" t="n"/>
      <c r="N139" s="102" t="n"/>
      <c r="O139" s="102" t="n"/>
      <c r="P139" s="102" t="n"/>
      <c r="Q139" s="102" t="n"/>
      <c r="R139" s="102" t="n"/>
      <c r="S139" s="102" t="n"/>
      <c r="T139" s="102" t="n"/>
      <c r="U139" s="102" t="n"/>
      <c r="V139" s="102" t="n"/>
      <c r="W139" s="102" t="n"/>
      <c r="X139" s="102" t="n"/>
      <c r="Y139" s="102" t="n"/>
      <c r="Z139" s="102" t="n"/>
      <c r="AA139" s="102" t="n"/>
      <c r="AB139" s="102" t="n"/>
      <c r="AC139" s="102" t="n"/>
      <c r="AD139" s="102" t="n"/>
    </row>
    <row r="140" ht="15.75" customHeight="1" s="205">
      <c r="A140" s="102" t="n"/>
      <c r="B140" s="147" t="n"/>
      <c r="C140" s="144" t="n"/>
      <c r="D140" s="144" t="n"/>
      <c r="E140" s="144" t="n"/>
      <c r="F140" s="144" t="n"/>
      <c r="G140" s="144" t="n"/>
      <c r="H140" s="141">
        <f>IF(K140&lt;&gt;"", HYPERLINK("https://chatgpt.com/?prompt=" &amp; SUBSTITUTE(SUBSTITUTE(K140, " ", "+"), "&amp;", "dan") &amp; "&amp;force-refresh=true&amp;timestamp=" &amp; TEXT(NOW(), "yyyymmddhhmmss"), "👉 Klik untuk Generate Script! 🔥"), "")</f>
        <v/>
      </c>
      <c r="I140" s="144" t="n"/>
      <c r="J140" s="148" t="n"/>
      <c r="K140" s="140">
        <f>IF(AND(B140&lt;&gt;"", C140&lt;&gt;"", D140&lt;&gt;"", E140&lt;&gt;"", F140&lt;&gt;"", G140&lt;&gt;"", J140&lt;&gt;"", 'CONTENT PILLAR MAPPING'!C42&lt;&gt;"", 'CONTENT PILLAR MAPPING'!E42&lt;&gt;"", 'CONTENT PILLAR MAPPING'!F42&lt;&gt;"", 'CONTENT PILLAR MAPPING'!C45&lt;&gt;"", 'CONTENT PILLAR MAPPING'!C50&lt;&gt;"", 'CONTENT PILLAR MAPPING'!D50&lt;&gt;"", 'CONTENT PILLAR MAPPING'!E50&lt;&gt;"", 'CONTENT PILLAR MAPPING'!D58&lt;&gt;"", 'CONTENT PILLAR MAPPING'!D59&lt;&gt;""),
CONCATENATE(
"Sebagai seorang top konten kreator dengan niche utama '", 'CONTENT PILLAR MAPPING'!C42, "', spesifik kategori '", 'CONTENT PILLAR MAPPING'!E42, "', dan super spesifik '", 'CONTENT PILLAR MAPPING'!F42, "', yang dikenal sebagai '", 'CONTENT PILLAR MAPPING'!C45, "'.", CHAR(10),
"Saya memiliki Tone of Voice: '", 'CONTENT PILLAR MAPPING'!C50, "', Brand Archetype: '", 'CONTENT PILLAR MAPPING'!D50, "', dan Deskripsi Gaya Komunikasi: '", 'CONTENT PILLAR MAPPING'!E50, "'.", CHAR(10),
"Target audiens saya adalah: '", 'CONTENT PILLAR MAPPING'!D58, "', dengan segmentasi audiens: '", 'CONTENT PILLAR MAPPING'!D59, "'.", CHAR(10), CHAR(10),
"Mohon buatkan script konten yang **sangat powerful, menarik, inovatif, dan siap pakai** dengan judul ide '", B140, "'.", CHAR(10),
"Konten ini memiliki pilar '", C140, "', nilai tambah utama '", F140, "', dan akan menggunakan storytelling framework '", G140, "'.", CHAR(10),
"Gambaran singkat ide kontennya adalah: '", J140, "'.", CHAR(10),
"Konten ini akan diunggah di platform '", E140, "' dengan format '", D140,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 "'.** Sesuaikan dengan gaya komunikasi saya, dengan fokus pada nilai tambah '", F140,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 ", khusus ", 'CONTENT PILLAR MAPPING'!D59, ") dan membantu mereka menyelesaikan masalah atau mencapai tujuan mereka.", CHAR(10),
"✔ Membantuku membangun personal branding yang kuat dan sustainable, sesuai dengan Positioning saya sebagai '", 'CONTENT PILLAR MAPPING'!C45, "' dan Brand Archetype '", 'CONTENT PILLAR MAPPING'!D50, "'.", CHAR(10),
"✔ Kemas dalam bentuk tabel agar rapi, mudah di baca dan dipahami, dengan kolom 'Judul Konten', 'Pilar', 'Format', 'Draft Script', 'CTA', 'Saran Visual', dan 'Full Caption'. (Kosongkan kolom Link Prompt jika ada)."
),
"")</f>
        <v/>
      </c>
      <c r="L140" s="199" t="n"/>
      <c r="M140" s="199" t="n"/>
      <c r="N140" s="102" t="n"/>
      <c r="O140" s="102" t="n"/>
      <c r="P140" s="102" t="n"/>
      <c r="Q140" s="102" t="n"/>
      <c r="R140" s="102" t="n"/>
      <c r="S140" s="102" t="n"/>
      <c r="T140" s="102" t="n"/>
      <c r="U140" s="102" t="n"/>
      <c r="V140" s="102" t="n"/>
      <c r="W140" s="102" t="n"/>
      <c r="X140" s="102" t="n"/>
      <c r="Y140" s="102" t="n"/>
      <c r="Z140" s="102" t="n"/>
      <c r="AA140" s="102" t="n"/>
      <c r="AB140" s="102" t="n"/>
      <c r="AC140" s="102" t="n"/>
      <c r="AD140" s="102" t="n"/>
    </row>
    <row r="141" ht="15.75" customHeight="1" s="205">
      <c r="A141" s="102" t="n"/>
      <c r="B141" s="142" t="n"/>
      <c r="C141" s="143" t="n"/>
      <c r="D141" s="143" t="n"/>
      <c r="E141" s="143" t="n"/>
      <c r="F141" s="143" t="n"/>
      <c r="G141" s="144" t="n"/>
      <c r="H141" s="145">
        <f>IF(K141&lt;&gt;"", HYPERLINK("https://chatgpt.com/?prompt=" &amp; SUBSTITUTE(SUBSTITUTE(K141, " ", "+"), "&amp;", "dan") &amp; "&amp;force-refresh=true&amp;timestamp=" &amp; TEXT(NOW(), "yyyymmddhhmmss"), "👉 Klik untuk Generate Script! 🔥"), "")</f>
        <v/>
      </c>
      <c r="I141" s="143" t="n"/>
      <c r="J141" s="146" t="n"/>
      <c r="K141" s="130">
        <f>IF(AND(B141&lt;&gt;"", C141&lt;&gt;"", D141&lt;&gt;"", E141&lt;&gt;"", F141&lt;&gt;"", G141&lt;&gt;"", J141&lt;&gt;"", 'CONTENT PILLAR MAPPING'!C44&lt;&gt;"", 'CONTENT PILLAR MAPPING'!E44&lt;&gt;"", 'CONTENT PILLAR MAPPING'!F44&lt;&gt;"", 'CONTENT PILLAR MAPPING'!C47&lt;&gt;"", 'CONTENT PILLAR MAPPING'!C52&lt;&gt;"", 'CONTENT PILLAR MAPPING'!D52&lt;&gt;"", 'CONTENT PILLAR MAPPING'!E52&lt;&gt;"", 'CONTENT PILLAR MAPPING'!D60&lt;&gt;"", 'CONTENT PILLAR MAPPING'!D61&lt;&gt;""),
CONCATENATE(
"Sebagai seorang top konten kreator dengan niche utama '", 'CONTENT PILLAR MAPPING'!C44, "', spesifik kategori '", 'CONTENT PILLAR MAPPING'!E44, "', dan super spesifik '", 'CONTENT PILLAR MAPPING'!F44, "', yang dikenal sebagai '", 'CONTENT PILLAR MAPPING'!C47, "'.", CHAR(10),
"Saya memiliki Tone of Voice: '", 'CONTENT PILLAR MAPPING'!C52, "', Brand Archetype: '", 'CONTENT PILLAR MAPPING'!D52, "', dan Deskripsi Gaya Komunikasi: '", 'CONTENT PILLAR MAPPING'!E52, "'.", CHAR(10),
"Target audiens saya adalah: '", 'CONTENT PILLAR MAPPING'!D60, "', dengan segmentasi audiens: '", 'CONTENT PILLAR MAPPING'!D61, "'.", CHAR(10), CHAR(10),
"Mohon buatkan script konten yang **sangat powerful, menarik, inovatif, dan siap pakai** dengan judul ide '", B141, "'.", CHAR(10),
"Konten ini memiliki pilar '", C141, "', nilai tambah utama '", F141, "', dan akan menggunakan storytelling framework '", G141, "'.", CHAR(10),
"Gambaran singkat ide kontennya adalah: '", J141, "'.", CHAR(10),
"Konten ini akan diunggah di platform '", E141, "' dengan format '", D141,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 "'.** Sesuaikan dengan gaya komunikasi saya, dengan fokus pada nilai tambah '", F141,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 ", khusus ", 'CONTENT PILLAR MAPPING'!D61, ") dan membantu mereka menyelesaikan masalah atau mencapai tujuan mereka.", CHAR(10),
"✔ Membantuku membangun personal branding yang kuat dan sustainable, sesuai dengan Positioning saya sebagai '", 'CONTENT PILLAR MAPPING'!C47, "' dan Brand Archetype '", 'CONTENT PILLAR MAPPING'!D52, "'.", CHAR(10),
"✔ Kemas dalam bentuk tabel agar rapi, mudah di baca dan dipahami, dengan kolom 'Judul Konten', 'Pilar', 'Format', 'Draft Script', 'CTA', 'Saran Visual', dan 'Full Caption'. (Kosongkan kolom Link Prompt jika ada)."
),
"")</f>
        <v/>
      </c>
      <c r="L141" s="91" t="n"/>
      <c r="M141" s="91" t="n"/>
      <c r="N141" s="102" t="n"/>
      <c r="O141" s="102" t="n"/>
      <c r="P141" s="102" t="n"/>
      <c r="Q141" s="102" t="n"/>
      <c r="R141" s="102" t="n"/>
      <c r="S141" s="102" t="n"/>
      <c r="T141" s="102" t="n"/>
      <c r="U141" s="102" t="n"/>
      <c r="V141" s="102" t="n"/>
      <c r="W141" s="102" t="n"/>
      <c r="X141" s="102" t="n"/>
      <c r="Y141" s="102" t="n"/>
      <c r="Z141" s="102" t="n"/>
      <c r="AA141" s="102" t="n"/>
      <c r="AB141" s="102" t="n"/>
      <c r="AC141" s="102" t="n"/>
      <c r="AD141" s="102" t="n"/>
    </row>
    <row r="142" ht="15.75" customHeight="1" s="205">
      <c r="A142" s="102" t="n"/>
      <c r="B142" s="147" t="n"/>
      <c r="C142" s="144" t="n"/>
      <c r="D142" s="144" t="n"/>
      <c r="E142" s="144" t="n"/>
      <c r="F142" s="144" t="n"/>
      <c r="G142" s="144" t="n"/>
      <c r="H142" s="141">
        <f>IF(K142&lt;&gt;"", HYPERLINK("https://chatgpt.com/?prompt=" &amp; SUBSTITUTE(SUBSTITUTE(K142, " ", "+"), "&amp;", "dan") &amp; "&amp;force-refresh=true&amp;timestamp=" &amp; TEXT(NOW(), "yyyymmddhhmmss"), "👉 Klik untuk Generate Script! 🔥"), "")</f>
        <v/>
      </c>
      <c r="I142" s="144" t="n"/>
      <c r="J142" s="148" t="n"/>
      <c r="K142" s="140">
        <f>IF(AND(B142&lt;&gt;"", C142&lt;&gt;"", D142&lt;&gt;"", E142&lt;&gt;"", F142&lt;&gt;"", G142&lt;&gt;"", J142&lt;&gt;"", 'CONTENT PILLAR MAPPING'!C44&lt;&gt;"", 'CONTENT PILLAR MAPPING'!E44&lt;&gt;"", 'CONTENT PILLAR MAPPING'!F44&lt;&gt;"", 'CONTENT PILLAR MAPPING'!C47&lt;&gt;"", 'CONTENT PILLAR MAPPING'!C52&lt;&gt;"", 'CONTENT PILLAR MAPPING'!D52&lt;&gt;"", 'CONTENT PILLAR MAPPING'!E52&lt;&gt;"", 'CONTENT PILLAR MAPPING'!D60&lt;&gt;"", 'CONTENT PILLAR MAPPING'!D61&lt;&gt;""),
CONCATENATE(
"Sebagai seorang top konten kreator dengan niche utama '", 'CONTENT PILLAR MAPPING'!C44, "', spesifik kategori '", 'CONTENT PILLAR MAPPING'!E44, "', dan super spesifik '", 'CONTENT PILLAR MAPPING'!F44, "', yang dikenal sebagai '", 'CONTENT PILLAR MAPPING'!C47, "'.", CHAR(10),
"Saya memiliki Tone of Voice: '", 'CONTENT PILLAR MAPPING'!C52, "', Brand Archetype: '", 'CONTENT PILLAR MAPPING'!D52, "', dan Deskripsi Gaya Komunikasi: '", 'CONTENT PILLAR MAPPING'!E52, "'.", CHAR(10),
"Target audiens saya adalah: '", 'CONTENT PILLAR MAPPING'!D60, "', dengan segmentasi audiens: '", 'CONTENT PILLAR MAPPING'!D61, "'.", CHAR(10), CHAR(10),
"Mohon buatkan script konten yang **sangat powerful, menarik, inovatif, dan siap pakai** dengan judul ide '", B142, "'.", CHAR(10),
"Konten ini memiliki pilar '", C142, "', nilai tambah utama '", F142, "', dan akan menggunakan storytelling framework '", G142, "'.", CHAR(10),
"Gambaran singkat ide kontennya adalah: '", J142, "'.", CHAR(10),
"Konten ini akan diunggah di platform '", E142, "' dengan format '", D142,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 "'.** Sesuaikan dengan gaya komunikasi saya, dengan fokus pada nilai tambah '", F142,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 ", khusus ", 'CONTENT PILLAR MAPPING'!D61, ") dan membantu mereka menyelesaikan masalah atau mencapai tujuan mereka.", CHAR(10),
"✔ Membantuku membangun personal branding yang kuat dan sustainable, sesuai dengan Positioning saya sebagai '", 'CONTENT PILLAR MAPPING'!C47, "' dan Brand Archetype '", 'CONTENT PILLAR MAPPING'!D52, "'.", CHAR(10),
"✔ Kemas dalam bentuk tabel agar rapi, mudah di baca dan dipahami, dengan kolom 'Judul Konten', 'Pilar', 'Format', 'Draft Script', 'CTA', 'Saran Visual', dan 'Full Caption'. (Kosongkan kolom Link Prompt jika ada)."
),
"")</f>
        <v/>
      </c>
      <c r="L142" s="199" t="n"/>
      <c r="M142" s="199" t="n"/>
      <c r="N142" s="102" t="n"/>
      <c r="O142" s="102" t="n"/>
      <c r="P142" s="102" t="n"/>
      <c r="Q142" s="102" t="n"/>
      <c r="R142" s="102" t="n"/>
      <c r="S142" s="102" t="n"/>
      <c r="T142" s="102" t="n"/>
      <c r="U142" s="102" t="n"/>
      <c r="V142" s="102" t="n"/>
      <c r="W142" s="102" t="n"/>
      <c r="X142" s="102" t="n"/>
      <c r="Y142" s="102" t="n"/>
      <c r="Z142" s="102" t="n"/>
      <c r="AA142" s="102" t="n"/>
      <c r="AB142" s="102" t="n"/>
      <c r="AC142" s="102" t="n"/>
      <c r="AD142" s="102" t="n"/>
    </row>
    <row r="143" ht="15.75" customHeight="1" s="205">
      <c r="A143" s="102" t="n"/>
      <c r="B143" s="142" t="n"/>
      <c r="C143" s="143" t="n"/>
      <c r="D143" s="143" t="n"/>
      <c r="E143" s="143" t="n"/>
      <c r="F143" s="143" t="n"/>
      <c r="G143" s="144" t="n"/>
      <c r="H143" s="145">
        <f>IF(K143&lt;&gt;"", HYPERLINK("https://chatgpt.com/?prompt=" &amp; SUBSTITUTE(SUBSTITUTE(K143, " ", "+"), "&amp;", "dan") &amp; "&amp;force-refresh=true&amp;timestamp=" &amp; TEXT(NOW(), "yyyymmddhhmmss"), "👉 Klik untuk Generate Script! 🔥"), "")</f>
        <v/>
      </c>
      <c r="I143" s="143" t="n"/>
      <c r="J143" s="146" t="n"/>
      <c r="K143" s="130">
        <f>IF(AND(B143&lt;&gt;"", C143&lt;&gt;"", D143&lt;&gt;"", E143&lt;&gt;"", F143&lt;&gt;"", G143&lt;&gt;"", J143&lt;&gt;"", 'CONTENT PILLAR MAPPING'!C46&lt;&gt;"", 'CONTENT PILLAR MAPPING'!E46&lt;&gt;"", 'CONTENT PILLAR MAPPING'!F46&lt;&gt;"", 'CONTENT PILLAR MAPPING'!C49&lt;&gt;"", 'CONTENT PILLAR MAPPING'!C54&lt;&gt;"", 'CONTENT PILLAR MAPPING'!D54&lt;&gt;"", 'CONTENT PILLAR MAPPING'!E54&lt;&gt;"", 'CONTENT PILLAR MAPPING'!D62&lt;&gt;"", 'CONTENT PILLAR MAPPING'!D63&lt;&gt;""),
CONCATENATE(
"Sebagai seorang top konten kreator dengan niche utama '", 'CONTENT PILLAR MAPPING'!C46, "', spesifik kategori '", 'CONTENT PILLAR MAPPING'!E46, "', dan super spesifik '", 'CONTENT PILLAR MAPPING'!F46, "', yang dikenal sebagai '", 'CONTENT PILLAR MAPPING'!C49, "'.", CHAR(10),
"Saya memiliki Tone of Voice: '", 'CONTENT PILLAR MAPPING'!C54, "', Brand Archetype: '", 'CONTENT PILLAR MAPPING'!D54, "', dan Deskripsi Gaya Komunikasi: '", 'CONTENT PILLAR MAPPING'!E54, "'.", CHAR(10),
"Target audiens saya adalah: '", 'CONTENT PILLAR MAPPING'!D62, "', dengan segmentasi audiens: '", 'CONTENT PILLAR MAPPING'!D63, "'.", CHAR(10), CHAR(10),
"Mohon buatkan script konten yang **sangat powerful, menarik, inovatif, dan siap pakai** dengan judul ide '", B143, "'.", CHAR(10),
"Konten ini memiliki pilar '", C143, "', nilai tambah utama '", F143, "', dan akan menggunakan storytelling framework '", G143, "'.", CHAR(10),
"Gambaran singkat ide kontennya adalah: '", J143, "'.", CHAR(10),
"Konten ini akan diunggah di platform '", E143, "' dengan format '", D143,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 "'.** Sesuaikan dengan gaya komunikasi saya, dengan fokus pada nilai tambah '", F143,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 ", khusus ", 'CONTENT PILLAR MAPPING'!D63, ") dan membantu mereka menyelesaikan masalah atau mencapai tujuan mereka.", CHAR(10),
"✔ Membantuku membangun personal branding yang kuat dan sustainable, sesuai dengan Positioning saya sebagai '", 'CONTENT PILLAR MAPPING'!C49, "' dan Brand Archetype '", 'CONTENT PILLAR MAPPING'!D54, "'.", CHAR(10),
"✔ Kemas dalam bentuk tabel agar rapi, mudah di baca dan dipahami, dengan kolom 'Judul Konten', 'Pilar', 'Format', 'Draft Script', 'CTA', 'Saran Visual', dan 'Full Caption'. (Kosongkan kolom Link Prompt jika ada)."
),
"")</f>
        <v/>
      </c>
      <c r="L143" s="91" t="n"/>
      <c r="M143" s="91" t="n"/>
      <c r="N143" s="102" t="n"/>
      <c r="O143" s="102" t="n"/>
      <c r="P143" s="102" t="n"/>
      <c r="Q143" s="102" t="n"/>
      <c r="R143" s="102" t="n"/>
      <c r="S143" s="102" t="n"/>
      <c r="T143" s="102" t="n"/>
      <c r="U143" s="102" t="n"/>
      <c r="V143" s="102" t="n"/>
      <c r="W143" s="102" t="n"/>
      <c r="X143" s="102" t="n"/>
      <c r="Y143" s="102" t="n"/>
      <c r="Z143" s="102" t="n"/>
      <c r="AA143" s="102" t="n"/>
      <c r="AB143" s="102" t="n"/>
      <c r="AC143" s="102" t="n"/>
      <c r="AD143" s="102" t="n"/>
    </row>
    <row r="144" ht="15.75" customHeight="1" s="205">
      <c r="A144" s="102" t="n"/>
      <c r="B144" s="147" t="n"/>
      <c r="C144" s="144" t="n"/>
      <c r="D144" s="144" t="n"/>
      <c r="E144" s="144" t="n"/>
      <c r="F144" s="144" t="n"/>
      <c r="G144" s="144" t="n"/>
      <c r="H144" s="141">
        <f>IF(K144&lt;&gt;"", HYPERLINK("https://chatgpt.com/?prompt=" &amp; SUBSTITUTE(SUBSTITUTE(K144, " ", "+"), "&amp;", "dan") &amp; "&amp;force-refresh=true&amp;timestamp=" &amp; TEXT(NOW(), "yyyymmddhhmmss"), "👉 Klik untuk Generate Script! 🔥"), "")</f>
        <v/>
      </c>
      <c r="I144" s="144" t="n"/>
      <c r="J144" s="148" t="n"/>
      <c r="K144" s="140">
        <f>IF(AND(B144&lt;&gt;"", C144&lt;&gt;"", D144&lt;&gt;"", E144&lt;&gt;"", F144&lt;&gt;"", G144&lt;&gt;"", J144&lt;&gt;"", 'CONTENT PILLAR MAPPING'!C46&lt;&gt;"", 'CONTENT PILLAR MAPPING'!E46&lt;&gt;"", 'CONTENT PILLAR MAPPING'!F46&lt;&gt;"", 'CONTENT PILLAR MAPPING'!C49&lt;&gt;"", 'CONTENT PILLAR MAPPING'!C54&lt;&gt;"", 'CONTENT PILLAR MAPPING'!D54&lt;&gt;"", 'CONTENT PILLAR MAPPING'!E54&lt;&gt;"", 'CONTENT PILLAR MAPPING'!D62&lt;&gt;"", 'CONTENT PILLAR MAPPING'!D63&lt;&gt;""),
CONCATENATE(
"Sebagai seorang top konten kreator dengan niche utama '", 'CONTENT PILLAR MAPPING'!C46, "', spesifik kategori '", 'CONTENT PILLAR MAPPING'!E46, "', dan super spesifik '", 'CONTENT PILLAR MAPPING'!F46, "', yang dikenal sebagai '", 'CONTENT PILLAR MAPPING'!C49, "'.", CHAR(10),
"Saya memiliki Tone of Voice: '", 'CONTENT PILLAR MAPPING'!C54, "', Brand Archetype: '", 'CONTENT PILLAR MAPPING'!D54, "', dan Deskripsi Gaya Komunikasi: '", 'CONTENT PILLAR MAPPING'!E54, "'.", CHAR(10),
"Target audiens saya adalah: '", 'CONTENT PILLAR MAPPING'!D62, "', dengan segmentasi audiens: '", 'CONTENT PILLAR MAPPING'!D63, "'.", CHAR(10), CHAR(10),
"Mohon buatkan script konten yang **sangat powerful, menarik, inovatif, dan siap pakai** dengan judul ide '", B144, "'.", CHAR(10),
"Konten ini memiliki pilar '", C144, "', nilai tambah utama '", F144, "', dan akan menggunakan storytelling framework '", G144, "'.", CHAR(10),
"Gambaran singkat ide kontennya adalah: '", J144, "'.", CHAR(10),
"Konten ini akan diunggah di platform '", E144, "' dengan format '", D144,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 "'.** Sesuaikan dengan gaya komunikasi saya, dengan fokus pada nilai tambah '", F144,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 ", khusus ", 'CONTENT PILLAR MAPPING'!D63, ") dan membantu mereka menyelesaikan masalah atau mencapai tujuan mereka.", CHAR(10),
"✔ Membantuku membangun personal branding yang kuat dan sustainable, sesuai dengan Positioning saya sebagai '", 'CONTENT PILLAR MAPPING'!C49, "' dan Brand Archetype '", 'CONTENT PILLAR MAPPING'!D54, "'.", CHAR(10),
"✔ Kemas dalam bentuk tabel agar rapi, mudah di baca dan dipahami, dengan kolom 'Judul Konten', 'Pilar', 'Format', 'Draft Script', 'CTA', 'Saran Visual', dan 'Full Caption'. (Kosongkan kolom Link Prompt jika ada)."
),
"")</f>
        <v/>
      </c>
      <c r="L144" s="199" t="n"/>
      <c r="M144" s="199" t="n"/>
      <c r="N144" s="102" t="n"/>
      <c r="O144" s="102" t="n"/>
      <c r="P144" s="102" t="n"/>
      <c r="Q144" s="102" t="n"/>
      <c r="R144" s="102" t="n"/>
      <c r="S144" s="102" t="n"/>
      <c r="T144" s="102" t="n"/>
      <c r="U144" s="102" t="n"/>
      <c r="V144" s="102" t="n"/>
      <c r="W144" s="102" t="n"/>
      <c r="X144" s="102" t="n"/>
      <c r="Y144" s="102" t="n"/>
      <c r="Z144" s="102" t="n"/>
      <c r="AA144" s="102" t="n"/>
      <c r="AB144" s="102" t="n"/>
      <c r="AC144" s="102" t="n"/>
      <c r="AD144" s="102" t="n"/>
    </row>
    <row r="145" ht="15.75" customHeight="1" s="205">
      <c r="A145" s="102" t="n"/>
      <c r="B145" s="142" t="n"/>
      <c r="C145" s="143" t="n"/>
      <c r="D145" s="143" t="n"/>
      <c r="E145" s="143" t="n"/>
      <c r="F145" s="143" t="n"/>
      <c r="G145" s="144" t="n"/>
      <c r="H145" s="145">
        <f>IF(K145&lt;&gt;"", HYPERLINK("https://chatgpt.com/?prompt=" &amp; SUBSTITUTE(SUBSTITUTE(K145, " ", "+"), "&amp;", "dan") &amp; "&amp;force-refresh=true&amp;timestamp=" &amp; TEXT(NOW(), "yyyymmddhhmmss"), "👉 Klik untuk Generate Script! 🔥"), "")</f>
        <v/>
      </c>
      <c r="I145" s="143" t="n"/>
      <c r="J145" s="146" t="n"/>
      <c r="K145" s="130">
        <f>IF(AND(B145&lt;&gt;"", C145&lt;&gt;"", D145&lt;&gt;"", E145&lt;&gt;"", F145&lt;&gt;"", G145&lt;&gt;"", J145&lt;&gt;"", 'CONTENT PILLAR MAPPING'!C48&lt;&gt;"", 'CONTENT PILLAR MAPPING'!E48&lt;&gt;"", 'CONTENT PILLAR MAPPING'!F48&lt;&gt;"", 'CONTENT PILLAR MAPPING'!C51&lt;&gt;"", 'CONTENT PILLAR MAPPING'!C56&lt;&gt;"", 'CONTENT PILLAR MAPPING'!D56&lt;&gt;"", 'CONTENT PILLAR MAPPING'!E56&lt;&gt;"", 'CONTENT PILLAR MAPPING'!D64&lt;&gt;"", 'CONTENT PILLAR MAPPING'!D65&lt;&gt;""),
CONCATENATE(
"Sebagai seorang top konten kreator dengan niche utama '", 'CONTENT PILLAR MAPPING'!C48, "', spesifik kategori '", 'CONTENT PILLAR MAPPING'!E48, "', dan super spesifik '", 'CONTENT PILLAR MAPPING'!F48, "', yang dikenal sebagai '", 'CONTENT PILLAR MAPPING'!C51, "'.", CHAR(10),
"Saya memiliki Tone of Voice: '", 'CONTENT PILLAR MAPPING'!C56, "', Brand Archetype: '", 'CONTENT PILLAR MAPPING'!D56, "', dan Deskripsi Gaya Komunikasi: '", 'CONTENT PILLAR MAPPING'!E56, "'.", CHAR(10),
"Target audiens saya adalah: '", 'CONTENT PILLAR MAPPING'!D64, "', dengan segmentasi audiens: '", 'CONTENT PILLAR MAPPING'!D65, "'.", CHAR(10), CHAR(10),
"Mohon buatkan script konten yang **sangat powerful, menarik, inovatif, dan siap pakai** dengan judul ide '", B145, "'.", CHAR(10),
"Konten ini memiliki pilar '", C145, "', nilai tambah utama '", F145, "', dan akan menggunakan storytelling framework '", G145, "'.", CHAR(10),
"Gambaran singkat ide kontennya adalah: '", J145, "'.", CHAR(10),
"Konten ini akan diunggah di platform '", E145, "' dengan format '", D145,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 "'.** Sesuaikan dengan gaya komunikasi saya, dengan fokus pada nilai tambah '", F145,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 ", khusus ", 'CONTENT PILLAR MAPPING'!D65, ") dan membantu mereka menyelesaikan masalah atau mencapai tujuan mereka.", CHAR(10),
"✔ Membantuku membangun personal branding yang kuat dan sustainable, sesuai dengan Positioning saya sebagai '", 'CONTENT PILLAR MAPPING'!C51, "' dan Brand Archetype '", 'CONTENT PILLAR MAPPING'!D56, "'.", CHAR(10),
"✔ Kemas dalam bentuk tabel agar rapi, mudah di baca dan dipahami, dengan kolom 'Judul Konten', 'Pilar', 'Format', 'Draft Script', 'CTA', 'Saran Visual', dan 'Full Caption'. (Kosongkan kolom Link Prompt jika ada)."
),
"")</f>
        <v/>
      </c>
      <c r="L145" s="91" t="n"/>
      <c r="M145" s="91" t="n"/>
      <c r="N145" s="102" t="n"/>
      <c r="O145" s="102" t="n"/>
      <c r="P145" s="102" t="n"/>
      <c r="Q145" s="102" t="n"/>
      <c r="R145" s="102" t="n"/>
      <c r="S145" s="102" t="n"/>
      <c r="T145" s="102" t="n"/>
      <c r="U145" s="102" t="n"/>
      <c r="V145" s="102" t="n"/>
      <c r="W145" s="102" t="n"/>
      <c r="X145" s="102" t="n"/>
      <c r="Y145" s="102" t="n"/>
      <c r="Z145" s="102" t="n"/>
      <c r="AA145" s="102" t="n"/>
      <c r="AB145" s="102" t="n"/>
      <c r="AC145" s="102" t="n"/>
      <c r="AD145" s="102" t="n"/>
    </row>
    <row r="146" ht="15.75" customHeight="1" s="205">
      <c r="A146" s="102" t="n"/>
      <c r="B146" s="147" t="n"/>
      <c r="C146" s="144" t="n"/>
      <c r="D146" s="144" t="n"/>
      <c r="E146" s="144" t="n"/>
      <c r="F146" s="144" t="n"/>
      <c r="G146" s="144" t="n"/>
      <c r="H146" s="141">
        <f>IF(K146&lt;&gt;"", HYPERLINK("https://chatgpt.com/?prompt=" &amp; SUBSTITUTE(SUBSTITUTE(K146, " ", "+"), "&amp;", "dan") &amp; "&amp;force-refresh=true&amp;timestamp=" &amp; TEXT(NOW(), "yyyymmddhhmmss"), "👉 Klik untuk Generate Script! 🔥"), "")</f>
        <v/>
      </c>
      <c r="I146" s="144" t="n"/>
      <c r="J146" s="148" t="n"/>
      <c r="K146" s="140">
        <f>IF(AND(B146&lt;&gt;"", C146&lt;&gt;"", D146&lt;&gt;"", E146&lt;&gt;"", F146&lt;&gt;"", G146&lt;&gt;"", J146&lt;&gt;"", 'CONTENT PILLAR MAPPING'!C48&lt;&gt;"", 'CONTENT PILLAR MAPPING'!E48&lt;&gt;"", 'CONTENT PILLAR MAPPING'!F48&lt;&gt;"", 'CONTENT PILLAR MAPPING'!C51&lt;&gt;"", 'CONTENT PILLAR MAPPING'!C56&lt;&gt;"", 'CONTENT PILLAR MAPPING'!D56&lt;&gt;"", 'CONTENT PILLAR MAPPING'!E56&lt;&gt;"", 'CONTENT PILLAR MAPPING'!D64&lt;&gt;"", 'CONTENT PILLAR MAPPING'!D65&lt;&gt;""),
CONCATENATE(
"Sebagai seorang top konten kreator dengan niche utama '", 'CONTENT PILLAR MAPPING'!C48, "', spesifik kategori '", 'CONTENT PILLAR MAPPING'!E48, "', dan super spesifik '", 'CONTENT PILLAR MAPPING'!F48, "', yang dikenal sebagai '", 'CONTENT PILLAR MAPPING'!C51, "'.", CHAR(10),
"Saya memiliki Tone of Voice: '", 'CONTENT PILLAR MAPPING'!C56, "', Brand Archetype: '", 'CONTENT PILLAR MAPPING'!D56, "', dan Deskripsi Gaya Komunikasi: '", 'CONTENT PILLAR MAPPING'!E56, "'.", CHAR(10),
"Target audiens saya adalah: '", 'CONTENT PILLAR MAPPING'!D64, "', dengan segmentasi audiens: '", 'CONTENT PILLAR MAPPING'!D65, "'.", CHAR(10), CHAR(10),
"Mohon buatkan script konten yang **sangat powerful, menarik, inovatif, dan siap pakai** dengan judul ide '", B146, "'.", CHAR(10),
"Konten ini memiliki pilar '", C146, "', nilai tambah utama '", F146, "', dan akan menggunakan storytelling framework '", G146, "'.", CHAR(10),
"Gambaran singkat ide kontennya adalah: '", J146, "'.", CHAR(10),
"Konten ini akan diunggah di platform '", E146, "' dengan format '", D146,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 "'.** Sesuaikan dengan gaya komunikasi saya, dengan fokus pada nilai tambah '", F146,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 ", khusus ", 'CONTENT PILLAR MAPPING'!D65, ") dan membantu mereka menyelesaikan masalah atau mencapai tujuan mereka.", CHAR(10),
"✔ Membantuku membangun personal branding yang kuat dan sustainable, sesuai dengan Positioning saya sebagai '", 'CONTENT PILLAR MAPPING'!C51, "' dan Brand Archetype '", 'CONTENT PILLAR MAPPING'!D56, "'.", CHAR(10),
"✔ Kemas dalam bentuk tabel agar rapi, mudah di baca dan dipahami, dengan kolom 'Judul Konten', 'Pilar', 'Format', 'Draft Script', 'CTA', 'Saran Visual', dan 'Full Caption'. (Kosongkan kolom Link Prompt jika ada)."
),
"")</f>
        <v/>
      </c>
      <c r="L146" s="199" t="n"/>
      <c r="M146" s="199" t="n"/>
      <c r="N146" s="102" t="n"/>
      <c r="O146" s="102" t="n"/>
      <c r="P146" s="102" t="n"/>
      <c r="Q146" s="102" t="n"/>
      <c r="R146" s="102" t="n"/>
      <c r="S146" s="102" t="n"/>
      <c r="T146" s="102" t="n"/>
      <c r="U146" s="102" t="n"/>
      <c r="V146" s="102" t="n"/>
      <c r="W146" s="102" t="n"/>
      <c r="X146" s="102" t="n"/>
      <c r="Y146" s="102" t="n"/>
      <c r="Z146" s="102" t="n"/>
      <c r="AA146" s="102" t="n"/>
      <c r="AB146" s="102" t="n"/>
      <c r="AC146" s="102" t="n"/>
      <c r="AD146" s="102" t="n"/>
    </row>
    <row r="147" ht="15.75" customHeight="1" s="205">
      <c r="A147" s="102" t="n"/>
      <c r="B147" s="142" t="n"/>
      <c r="C147" s="143" t="n"/>
      <c r="D147" s="143" t="n"/>
      <c r="E147" s="143" t="n"/>
      <c r="F147" s="143" t="n"/>
      <c r="G147" s="144" t="n"/>
      <c r="H147" s="145">
        <f>IF(K147&lt;&gt;"", HYPERLINK("https://chatgpt.com/?prompt=" &amp; SUBSTITUTE(SUBSTITUTE(K147, " ", "+"), "&amp;", "dan") &amp; "&amp;force-refresh=true&amp;timestamp=" &amp; TEXT(NOW(), "yyyymmddhhmmss"), "👉 Klik untuk Generate Script! 🔥"), "")</f>
        <v/>
      </c>
      <c r="I147" s="143" t="n"/>
      <c r="J147" s="146" t="n"/>
      <c r="K147" s="130">
        <f>IF(AND(B147&lt;&gt;"", C147&lt;&gt;"", D147&lt;&gt;"", E147&lt;&gt;"", F147&lt;&gt;"", G147&lt;&gt;"", J147&lt;&gt;"", 'CONTENT PILLAR MAPPING'!C50&lt;&gt;"", 'CONTENT PILLAR MAPPING'!E50&lt;&gt;"", 'CONTENT PILLAR MAPPING'!F50&lt;&gt;"", 'CONTENT PILLAR MAPPING'!C53&lt;&gt;"", 'CONTENT PILLAR MAPPING'!C58&lt;&gt;"", 'CONTENT PILLAR MAPPING'!D58&lt;&gt;"", 'CONTENT PILLAR MAPPING'!E58&lt;&gt;"", 'CONTENT PILLAR MAPPING'!D66&lt;&gt;"", 'CONTENT PILLAR MAPPING'!D67&lt;&gt;""),
CONCATENATE(
"Sebagai seorang top konten kreator dengan niche utama '", 'CONTENT PILLAR MAPPING'!C50, "', spesifik kategori '", 'CONTENT PILLAR MAPPING'!E50, "', dan super spesifik '", 'CONTENT PILLAR MAPPING'!F50, "', yang dikenal sebagai '", 'CONTENT PILLAR MAPPING'!C53, "'.", CHAR(10),
"Saya memiliki Tone of Voice: '", 'CONTENT PILLAR MAPPING'!C58, "', Brand Archetype: '", 'CONTENT PILLAR MAPPING'!D58, "', dan Deskripsi Gaya Komunikasi: '", 'CONTENT PILLAR MAPPING'!E58, "'.", CHAR(10),
"Target audiens saya adalah: '", 'CONTENT PILLAR MAPPING'!D66, "', dengan segmentasi audiens: '", 'CONTENT PILLAR MAPPING'!D67, "'.", CHAR(10), CHAR(10),
"Mohon buatkan script konten yang **sangat powerful, menarik, inovatif, dan siap pakai** dengan judul ide '", B147, "'.", CHAR(10),
"Konten ini memiliki pilar '", C147, "', nilai tambah utama '", F147, "', dan akan menggunakan storytelling framework '", G147, "'.", CHAR(10),
"Gambaran singkat ide kontennya adalah: '", J147, "'.", CHAR(10),
"Konten ini akan diunggah di platform '", E147, "' dengan format '", D147,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 "'.** Sesuaikan dengan gaya komunikasi saya, dengan fokus pada nilai tambah '", F147,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 ", khusus ", 'CONTENT PILLAR MAPPING'!D67, ") dan membantu mereka menyelesaikan masalah atau mencapai tujuan mereka.", CHAR(10),
"✔ Membantuku membangun personal branding yang kuat dan sustainable, sesuai dengan Positioning saya sebagai '", 'CONTENT PILLAR MAPPING'!C53, "' dan Brand Archetype '", 'CONTENT PILLAR MAPPING'!D58, "'.", CHAR(10),
"✔ Kemas dalam bentuk tabel agar rapi, mudah di baca dan dipahami, dengan kolom 'Judul Konten', 'Pilar', 'Format', 'Draft Script', 'CTA', 'Saran Visual', dan 'Full Caption'. (Kosongkan kolom Link Prompt jika ada)."
),
"")</f>
        <v/>
      </c>
      <c r="L147" s="91" t="n"/>
      <c r="M147" s="91" t="n"/>
      <c r="N147" s="102" t="n"/>
      <c r="O147" s="102" t="n"/>
      <c r="P147" s="102" t="n"/>
      <c r="Q147" s="102" t="n"/>
      <c r="R147" s="102" t="n"/>
      <c r="S147" s="102" t="n"/>
      <c r="T147" s="102" t="n"/>
      <c r="U147" s="102" t="n"/>
      <c r="V147" s="102" t="n"/>
      <c r="W147" s="102" t="n"/>
      <c r="X147" s="102" t="n"/>
      <c r="Y147" s="102" t="n"/>
      <c r="Z147" s="102" t="n"/>
      <c r="AA147" s="102" t="n"/>
      <c r="AB147" s="102" t="n"/>
      <c r="AC147" s="102" t="n"/>
      <c r="AD147" s="102" t="n"/>
    </row>
    <row r="148" ht="15.75" customHeight="1" s="205">
      <c r="A148" s="102" t="n"/>
      <c r="B148" s="147" t="n"/>
      <c r="C148" s="144" t="n"/>
      <c r="D148" s="144" t="n"/>
      <c r="E148" s="144" t="n"/>
      <c r="F148" s="144" t="n"/>
      <c r="G148" s="144" t="n"/>
      <c r="H148" s="141">
        <f>IF(K148&lt;&gt;"", HYPERLINK("https://chatgpt.com/?prompt=" &amp; SUBSTITUTE(SUBSTITUTE(K148, " ", "+"), "&amp;", "dan") &amp; "&amp;force-refresh=true&amp;timestamp=" &amp; TEXT(NOW(), "yyyymmddhhmmss"), "👉 Klik untuk Generate Script! 🔥"), "")</f>
        <v/>
      </c>
      <c r="I148" s="144" t="n"/>
      <c r="J148" s="148" t="n"/>
      <c r="K148" s="140">
        <f>IF(AND(B148&lt;&gt;"", C148&lt;&gt;"", D148&lt;&gt;"", E148&lt;&gt;"", F148&lt;&gt;"", G148&lt;&gt;"", J148&lt;&gt;"", 'CONTENT PILLAR MAPPING'!C50&lt;&gt;"", 'CONTENT PILLAR MAPPING'!E50&lt;&gt;"", 'CONTENT PILLAR MAPPING'!F50&lt;&gt;"", 'CONTENT PILLAR MAPPING'!C53&lt;&gt;"", 'CONTENT PILLAR MAPPING'!C58&lt;&gt;"", 'CONTENT PILLAR MAPPING'!D58&lt;&gt;"", 'CONTENT PILLAR MAPPING'!E58&lt;&gt;"", 'CONTENT PILLAR MAPPING'!D66&lt;&gt;"", 'CONTENT PILLAR MAPPING'!D67&lt;&gt;""),
CONCATENATE(
"Sebagai seorang top konten kreator dengan niche utama '", 'CONTENT PILLAR MAPPING'!C50, "', spesifik kategori '", 'CONTENT PILLAR MAPPING'!E50, "', dan super spesifik '", 'CONTENT PILLAR MAPPING'!F50, "', yang dikenal sebagai '", 'CONTENT PILLAR MAPPING'!C53, "'.", CHAR(10),
"Saya memiliki Tone of Voice: '", 'CONTENT PILLAR MAPPING'!C58, "', Brand Archetype: '", 'CONTENT PILLAR MAPPING'!D58, "', dan Deskripsi Gaya Komunikasi: '", 'CONTENT PILLAR MAPPING'!E58, "'.", CHAR(10),
"Target audiens saya adalah: '", 'CONTENT PILLAR MAPPING'!D66, "', dengan segmentasi audiens: '", 'CONTENT PILLAR MAPPING'!D67, "'.", CHAR(10), CHAR(10),
"Mohon buatkan script konten yang **sangat powerful, menarik, inovatif, dan siap pakai** dengan judul ide '", B148, "'.", CHAR(10),
"Konten ini memiliki pilar '", C148, "', nilai tambah utama '", F148, "', dan akan menggunakan storytelling framework '", G148, "'.", CHAR(10),
"Gambaran singkat ide kontennya adalah: '", J148, "'.", CHAR(10),
"Konten ini akan diunggah di platform '", E148, "' dengan format '", D148,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 "'.** Sesuaikan dengan gaya komunikasi saya, dengan fokus pada nilai tambah '", F148,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 ", khusus ", 'CONTENT PILLAR MAPPING'!D67, ") dan membantu mereka menyelesaikan masalah atau mencapai tujuan mereka.", CHAR(10),
"✔ Membantuku membangun personal branding yang kuat dan sustainable, sesuai dengan Positioning saya sebagai '", 'CONTENT PILLAR MAPPING'!C53, "' dan Brand Archetype '", 'CONTENT PILLAR MAPPING'!D58, "'.", CHAR(10),
"✔ Kemas dalam bentuk tabel agar rapi, mudah di baca dan dipahami, dengan kolom 'Judul Konten', 'Pilar', 'Format', 'Draft Script', 'CTA', 'Saran Visual', dan 'Full Caption'. (Kosongkan kolom Link Prompt jika ada)."
),
"")</f>
        <v/>
      </c>
      <c r="L148" s="199" t="n"/>
      <c r="M148" s="199" t="n"/>
      <c r="N148" s="102" t="n"/>
      <c r="O148" s="102" t="n"/>
      <c r="P148" s="102" t="n"/>
      <c r="Q148" s="102" t="n"/>
      <c r="R148" s="102" t="n"/>
      <c r="S148" s="102" t="n"/>
      <c r="T148" s="102" t="n"/>
      <c r="U148" s="102" t="n"/>
      <c r="V148" s="102" t="n"/>
      <c r="W148" s="102" t="n"/>
      <c r="X148" s="102" t="n"/>
      <c r="Y148" s="102" t="n"/>
      <c r="Z148" s="102" t="n"/>
      <c r="AA148" s="102" t="n"/>
      <c r="AB148" s="102" t="n"/>
      <c r="AC148" s="102" t="n"/>
      <c r="AD148" s="102" t="n"/>
    </row>
    <row r="149" ht="15.75" customHeight="1" s="205">
      <c r="A149" s="102" t="n"/>
      <c r="B149" s="142" t="n"/>
      <c r="C149" s="143" t="n"/>
      <c r="D149" s="143" t="n"/>
      <c r="E149" s="143" t="n"/>
      <c r="F149" s="143" t="n"/>
      <c r="G149" s="144" t="n"/>
      <c r="H149" s="145">
        <f>IF(K149&lt;&gt;"", HYPERLINK("https://chatgpt.com/?prompt=" &amp; SUBSTITUTE(SUBSTITUTE(K149, " ", "+"), "&amp;", "dan") &amp; "&amp;force-refresh=true&amp;timestamp=" &amp; TEXT(NOW(), "yyyymmddhhmmss"), "👉 Klik untuk Generate Script! 🔥"), "")</f>
        <v/>
      </c>
      <c r="I149" s="143" t="n"/>
      <c r="J149" s="146" t="n"/>
      <c r="K149" s="130">
        <f>IF(AND(B149&lt;&gt;"", C149&lt;&gt;"", D149&lt;&gt;"", E149&lt;&gt;"", F149&lt;&gt;"", G149&lt;&gt;"", J149&lt;&gt;"", 'CONTENT PILLAR MAPPING'!C52&lt;&gt;"", 'CONTENT PILLAR MAPPING'!E52&lt;&gt;"", 'CONTENT PILLAR MAPPING'!F52&lt;&gt;"", 'CONTENT PILLAR MAPPING'!C55&lt;&gt;"", 'CONTENT PILLAR MAPPING'!C60&lt;&gt;"", 'CONTENT PILLAR MAPPING'!D60&lt;&gt;"", 'CONTENT PILLAR MAPPING'!E60&lt;&gt;"", 'CONTENT PILLAR MAPPING'!D68&lt;&gt;"", 'CONTENT PILLAR MAPPING'!D69&lt;&gt;""),
CONCATENATE(
"Sebagai seorang top konten kreator dengan niche utama '", 'CONTENT PILLAR MAPPING'!C52, "', spesifik kategori '", 'CONTENT PILLAR MAPPING'!E52, "', dan super spesifik '", 'CONTENT PILLAR MAPPING'!F52, "', yang dikenal sebagai '", 'CONTENT PILLAR MAPPING'!C55, "'.", CHAR(10),
"Saya memiliki Tone of Voice: '", 'CONTENT PILLAR MAPPING'!C60, "', Brand Archetype: '", 'CONTENT PILLAR MAPPING'!D60, "', dan Deskripsi Gaya Komunikasi: '", 'CONTENT PILLAR MAPPING'!E60, "'.", CHAR(10),
"Target audiens saya adalah: '", 'CONTENT PILLAR MAPPING'!D68, "', dengan segmentasi audiens: '", 'CONTENT PILLAR MAPPING'!D69, "'.", CHAR(10), CHAR(10),
"Mohon buatkan script konten yang **sangat powerful, menarik, inovatif, dan siap pakai** dengan judul ide '", B149, "'.", CHAR(10),
"Konten ini memiliki pilar '", C149, "', nilai tambah utama '", F149, "', dan akan menggunakan storytelling framework '", G149, "'.", CHAR(10),
"Gambaran singkat ide kontennya adalah: '", J149, "'.", CHAR(10),
"Konten ini akan diunggah di platform '", E149, "' dengan format '", D149,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 "'.** Sesuaikan dengan gaya komunikasi saya, dengan fokus pada nilai tambah '", F149,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 ", khusus ", 'CONTENT PILLAR MAPPING'!D69, ") dan membantu mereka menyelesaikan masalah atau mencapai tujuan mereka.", CHAR(10),
"✔ Membantuku membangun personal branding yang kuat dan sustainable, sesuai dengan Positioning saya sebagai '", 'CONTENT PILLAR MAPPING'!C55, "' dan Brand Archetype '", 'CONTENT PILLAR MAPPING'!D60, "'.", CHAR(10),
"✔ Kemas dalam bentuk tabel agar rapi, mudah di baca dan dipahami, dengan kolom 'Judul Konten', 'Pilar', 'Format', 'Draft Script', 'CTA', 'Saran Visual', dan 'Full Caption'. (Kosongkan kolom Link Prompt jika ada)."
),
"")</f>
        <v/>
      </c>
      <c r="L149" s="91" t="n"/>
      <c r="M149" s="91" t="n"/>
      <c r="N149" s="102" t="n"/>
      <c r="O149" s="102" t="n"/>
      <c r="P149" s="102" t="n"/>
      <c r="Q149" s="102" t="n"/>
      <c r="R149" s="102" t="n"/>
      <c r="S149" s="102" t="n"/>
      <c r="T149" s="102" t="n"/>
      <c r="U149" s="102" t="n"/>
      <c r="V149" s="102" t="n"/>
      <c r="W149" s="102" t="n"/>
      <c r="X149" s="102" t="n"/>
      <c r="Y149" s="102" t="n"/>
      <c r="Z149" s="102" t="n"/>
      <c r="AA149" s="102" t="n"/>
      <c r="AB149" s="102" t="n"/>
      <c r="AC149" s="102" t="n"/>
      <c r="AD149" s="102" t="n"/>
    </row>
    <row r="150" ht="15.75" customHeight="1" s="205">
      <c r="A150" s="102" t="n"/>
      <c r="B150" s="147" t="n"/>
      <c r="C150" s="144" t="n"/>
      <c r="D150" s="144" t="n"/>
      <c r="E150" s="144" t="n"/>
      <c r="F150" s="144" t="n"/>
      <c r="G150" s="144" t="n"/>
      <c r="H150" s="141">
        <f>IF(K150&lt;&gt;"", HYPERLINK("https://chatgpt.com/?prompt=" &amp; SUBSTITUTE(SUBSTITUTE(K150, " ", "+"), "&amp;", "dan") &amp; "&amp;force-refresh=true&amp;timestamp=" &amp; TEXT(NOW(), "yyyymmddhhmmss"), "👉 Klik untuk Generate Script! 🔥"), "")</f>
        <v/>
      </c>
      <c r="I150" s="144" t="n"/>
      <c r="J150" s="148" t="n"/>
      <c r="K150" s="140">
        <f>IF(AND(B150&lt;&gt;"", C150&lt;&gt;"", D150&lt;&gt;"", E150&lt;&gt;"", F150&lt;&gt;"", G150&lt;&gt;"", J150&lt;&gt;"", 'CONTENT PILLAR MAPPING'!C52&lt;&gt;"", 'CONTENT PILLAR MAPPING'!E52&lt;&gt;"", 'CONTENT PILLAR MAPPING'!F52&lt;&gt;"", 'CONTENT PILLAR MAPPING'!C55&lt;&gt;"", 'CONTENT PILLAR MAPPING'!C60&lt;&gt;"", 'CONTENT PILLAR MAPPING'!D60&lt;&gt;"", 'CONTENT PILLAR MAPPING'!E60&lt;&gt;"", 'CONTENT PILLAR MAPPING'!D68&lt;&gt;"", 'CONTENT PILLAR MAPPING'!D69&lt;&gt;""),
CONCATENATE(
"Sebagai seorang top konten kreator dengan niche utama '", 'CONTENT PILLAR MAPPING'!C52, "', spesifik kategori '", 'CONTENT PILLAR MAPPING'!E52, "', dan super spesifik '", 'CONTENT PILLAR MAPPING'!F52, "', yang dikenal sebagai '", 'CONTENT PILLAR MAPPING'!C55, "'.", CHAR(10),
"Saya memiliki Tone of Voice: '", 'CONTENT PILLAR MAPPING'!C60, "', Brand Archetype: '", 'CONTENT PILLAR MAPPING'!D60, "', dan Deskripsi Gaya Komunikasi: '", 'CONTENT PILLAR MAPPING'!E60, "'.", CHAR(10),
"Target audiens saya adalah: '", 'CONTENT PILLAR MAPPING'!D68, "', dengan segmentasi audiens: '", 'CONTENT PILLAR MAPPING'!D69, "'.", CHAR(10), CHAR(10),
"Mohon buatkan script konten yang **sangat powerful, menarik, inovatif, dan siap pakai** dengan judul ide '", B150, "'.", CHAR(10),
"Konten ini memiliki pilar '", C150, "', nilai tambah utama '", F150, "', dan akan menggunakan storytelling framework '", G150, "'.", CHAR(10),
"Gambaran singkat ide kontennya adalah: '", J150, "'.", CHAR(10),
"Konten ini akan diunggah di platform '", E150, "' dengan format '", D150,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 "'.** Sesuaikan dengan gaya komunikasi saya, dengan fokus pada nilai tambah '", F150,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 ", khusus ", 'CONTENT PILLAR MAPPING'!D69, ") dan membantu mereka menyelesaikan masalah atau mencapai tujuan mereka.", CHAR(10),
"✔ Membantuku membangun personal branding yang kuat dan sustainable, sesuai dengan Positioning saya sebagai '", 'CONTENT PILLAR MAPPING'!C55, "' dan Brand Archetype '", 'CONTENT PILLAR MAPPING'!D60, "'.", CHAR(10),
"✔ Kemas dalam bentuk tabel agar rapi, mudah di baca dan dipahami, dengan kolom 'Judul Konten', 'Pilar', 'Format', 'Draft Script', 'CTA', 'Saran Visual', dan 'Full Caption'. (Kosongkan kolom Link Prompt jika ada)."
),
"")</f>
        <v/>
      </c>
      <c r="L150" s="199" t="n"/>
      <c r="M150" s="199" t="n"/>
      <c r="N150" s="102" t="n"/>
      <c r="O150" s="102" t="n"/>
      <c r="P150" s="102" t="n"/>
      <c r="Q150" s="102" t="n"/>
      <c r="R150" s="102" t="n"/>
      <c r="S150" s="102" t="n"/>
      <c r="T150" s="102" t="n"/>
      <c r="U150" s="102" t="n"/>
      <c r="V150" s="102" t="n"/>
      <c r="W150" s="102" t="n"/>
      <c r="X150" s="102" t="n"/>
      <c r="Y150" s="102" t="n"/>
      <c r="Z150" s="102" t="n"/>
      <c r="AA150" s="102" t="n"/>
      <c r="AB150" s="102" t="n"/>
      <c r="AC150" s="102" t="n"/>
      <c r="AD150" s="102" t="n"/>
    </row>
    <row r="151" ht="15.75" customHeight="1" s="205">
      <c r="A151" s="102" t="n"/>
      <c r="B151" s="142" t="n"/>
      <c r="C151" s="143" t="n"/>
      <c r="D151" s="143" t="n"/>
      <c r="E151" s="143" t="n"/>
      <c r="F151" s="143" t="n"/>
      <c r="G151" s="144" t="n"/>
      <c r="H151" s="145">
        <f>IF(K151&lt;&gt;"", HYPERLINK("https://chatgpt.com/?prompt=" &amp; SUBSTITUTE(SUBSTITUTE(K151, " ", "+"), "&amp;", "dan") &amp; "&amp;force-refresh=true&amp;timestamp=" &amp; TEXT(NOW(), "yyyymmddhhmmss"), "👉 Klik untuk Generate Script! 🔥"), "")</f>
        <v/>
      </c>
      <c r="I151" s="143" t="n"/>
      <c r="J151" s="146" t="n"/>
      <c r="K151" s="130">
        <f>IF(AND(B151&lt;&gt;"", C151&lt;&gt;"", D151&lt;&gt;"", E151&lt;&gt;"", F151&lt;&gt;"", G151&lt;&gt;"", J151&lt;&gt;"", 'CONTENT PILLAR MAPPING'!C54&lt;&gt;"", 'CONTENT PILLAR MAPPING'!E54&lt;&gt;"", 'CONTENT PILLAR MAPPING'!F54&lt;&gt;"", 'CONTENT PILLAR MAPPING'!C57&lt;&gt;"", 'CONTENT PILLAR MAPPING'!C62&lt;&gt;"", 'CONTENT PILLAR MAPPING'!D62&lt;&gt;"", 'CONTENT PILLAR MAPPING'!E62&lt;&gt;"", 'CONTENT PILLAR MAPPING'!D70&lt;&gt;"", 'CONTENT PILLAR MAPPING'!D71&lt;&gt;""),
CONCATENATE(
"Sebagai seorang top konten kreator dengan niche utama '", 'CONTENT PILLAR MAPPING'!C54, "', spesifik kategori '", 'CONTENT PILLAR MAPPING'!E54, "', dan super spesifik '", 'CONTENT PILLAR MAPPING'!F54, "', yang dikenal sebagai '", 'CONTENT PILLAR MAPPING'!C57, "'.", CHAR(10),
"Saya memiliki Tone of Voice: '", 'CONTENT PILLAR MAPPING'!C62, "', Brand Archetype: '", 'CONTENT PILLAR MAPPING'!D62, "', dan Deskripsi Gaya Komunikasi: '", 'CONTENT PILLAR MAPPING'!E62, "'.", CHAR(10),
"Target audiens saya adalah: '", 'CONTENT PILLAR MAPPING'!D70, "', dengan segmentasi audiens: '", 'CONTENT PILLAR MAPPING'!D71, "'.", CHAR(10), CHAR(10),
"Mohon buatkan script konten yang **sangat powerful, menarik, inovatif, dan siap pakai** dengan judul ide '", B151, "'.", CHAR(10),
"Konten ini memiliki pilar '", C151, "', nilai tambah utama '", F151, "', dan akan menggunakan storytelling framework '", G151, "'.", CHAR(10),
"Gambaran singkat ide kontennya adalah: '", J151, "'.", CHAR(10),
"Konten ini akan diunggah di platform '", E151, "' dengan format '", D151,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 "'.** Sesuaikan dengan gaya komunikasi saya, dengan fokus pada nilai tambah '", F151,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 ", khusus ", 'CONTENT PILLAR MAPPING'!D71, ") dan membantu mereka menyelesaikan masalah atau mencapai tujuan mereka.", CHAR(10),
"✔ Membantuku membangun personal branding yang kuat dan sustainable, sesuai dengan Positioning saya sebagai '", 'CONTENT PILLAR MAPPING'!C57, "' dan Brand Archetype '", 'CONTENT PILLAR MAPPING'!D62, "'.", CHAR(10),
"✔ Kemas dalam bentuk tabel agar rapi, mudah di baca dan dipahami, dengan kolom 'Judul Konten', 'Pilar', 'Format', 'Draft Script', 'CTA', 'Saran Visual', dan 'Full Caption'. (Kosongkan kolom Link Prompt jika ada)."
),
"")</f>
        <v/>
      </c>
      <c r="L151" s="91" t="n"/>
      <c r="M151" s="91" t="n"/>
      <c r="N151" s="102" t="n"/>
      <c r="O151" s="102" t="n"/>
      <c r="P151" s="102" t="n"/>
      <c r="Q151" s="102" t="n"/>
      <c r="R151" s="102" t="n"/>
      <c r="S151" s="102" t="n"/>
      <c r="T151" s="102" t="n"/>
      <c r="U151" s="102" t="n"/>
      <c r="V151" s="102" t="n"/>
      <c r="W151" s="102" t="n"/>
      <c r="X151" s="102" t="n"/>
      <c r="Y151" s="102" t="n"/>
      <c r="Z151" s="102" t="n"/>
      <c r="AA151" s="102" t="n"/>
      <c r="AB151" s="102" t="n"/>
      <c r="AC151" s="102" t="n"/>
      <c r="AD151" s="102" t="n"/>
    </row>
    <row r="152" ht="15.75" customHeight="1" s="205">
      <c r="A152" s="102" t="n"/>
      <c r="B152" s="147" t="n"/>
      <c r="C152" s="144" t="n"/>
      <c r="D152" s="144" t="n"/>
      <c r="E152" s="144" t="n"/>
      <c r="F152" s="144" t="n"/>
      <c r="G152" s="144" t="n"/>
      <c r="H152" s="141">
        <f>IF(K152&lt;&gt;"", HYPERLINK("https://chatgpt.com/?prompt=" &amp; SUBSTITUTE(SUBSTITUTE(K152, " ", "+"), "&amp;", "dan") &amp; "&amp;force-refresh=true&amp;timestamp=" &amp; TEXT(NOW(), "yyyymmddhhmmss"), "👉 Klik untuk Generate Script! 🔥"), "")</f>
        <v/>
      </c>
      <c r="I152" s="144" t="n"/>
      <c r="J152" s="148" t="n"/>
      <c r="K152" s="140">
        <f>IF(AND(B152&lt;&gt;"", C152&lt;&gt;"", D152&lt;&gt;"", E152&lt;&gt;"", F152&lt;&gt;"", G152&lt;&gt;"", J152&lt;&gt;"", 'CONTENT PILLAR MAPPING'!C54&lt;&gt;"", 'CONTENT PILLAR MAPPING'!E54&lt;&gt;"", 'CONTENT PILLAR MAPPING'!F54&lt;&gt;"", 'CONTENT PILLAR MAPPING'!C57&lt;&gt;"", 'CONTENT PILLAR MAPPING'!C62&lt;&gt;"", 'CONTENT PILLAR MAPPING'!D62&lt;&gt;"", 'CONTENT PILLAR MAPPING'!E62&lt;&gt;"", 'CONTENT PILLAR MAPPING'!D70&lt;&gt;"", 'CONTENT PILLAR MAPPING'!D71&lt;&gt;""),
CONCATENATE(
"Sebagai seorang top konten kreator dengan niche utama '", 'CONTENT PILLAR MAPPING'!C54, "', spesifik kategori '", 'CONTENT PILLAR MAPPING'!E54, "', dan super spesifik '", 'CONTENT PILLAR MAPPING'!F54, "', yang dikenal sebagai '", 'CONTENT PILLAR MAPPING'!C57, "'.", CHAR(10),
"Saya memiliki Tone of Voice: '", 'CONTENT PILLAR MAPPING'!C62, "', Brand Archetype: '", 'CONTENT PILLAR MAPPING'!D62, "', dan Deskripsi Gaya Komunikasi: '", 'CONTENT PILLAR MAPPING'!E62, "'.", CHAR(10),
"Target audiens saya adalah: '", 'CONTENT PILLAR MAPPING'!D70, "', dengan segmentasi audiens: '", 'CONTENT PILLAR MAPPING'!D71, "'.", CHAR(10), CHAR(10),
"Mohon buatkan script konten yang **sangat powerful, menarik, inovatif, dan siap pakai** dengan judul ide '", B152, "'.", CHAR(10),
"Konten ini memiliki pilar '", C152, "', nilai tambah utama '", F152, "', dan akan menggunakan storytelling framework '", G152, "'.", CHAR(10),
"Gambaran singkat ide kontennya adalah: '", J152, "'.", CHAR(10),
"Konten ini akan diunggah di platform '", E152, "' dengan format '", D152,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 "'.** Sesuaikan dengan gaya komunikasi saya, dengan fokus pada nilai tambah '", F152,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 ", khusus ", 'CONTENT PILLAR MAPPING'!D71, ") dan membantu mereka menyelesaikan masalah atau mencapai tujuan mereka.", CHAR(10),
"✔ Membantuku membangun personal branding yang kuat dan sustainable, sesuai dengan Positioning saya sebagai '", 'CONTENT PILLAR MAPPING'!C57, "' dan Brand Archetype '", 'CONTENT PILLAR MAPPING'!D62, "'.", CHAR(10),
"✔ Kemas dalam bentuk tabel agar rapi, mudah di baca dan dipahami, dengan kolom 'Judul Konten', 'Pilar', 'Format', 'Draft Script', 'CTA', 'Saran Visual', dan 'Full Caption'. (Kosongkan kolom Link Prompt jika ada)."
),
"")</f>
        <v/>
      </c>
      <c r="L152" s="199" t="n"/>
      <c r="M152" s="199" t="n"/>
      <c r="N152" s="102" t="n"/>
      <c r="O152" s="102" t="n"/>
      <c r="P152" s="102" t="n"/>
      <c r="Q152" s="102" t="n"/>
      <c r="R152" s="102" t="n"/>
      <c r="S152" s="102" t="n"/>
      <c r="T152" s="102" t="n"/>
      <c r="U152" s="102" t="n"/>
      <c r="V152" s="102" t="n"/>
      <c r="W152" s="102" t="n"/>
      <c r="X152" s="102" t="n"/>
      <c r="Y152" s="102" t="n"/>
      <c r="Z152" s="102" t="n"/>
      <c r="AA152" s="102" t="n"/>
      <c r="AB152" s="102" t="n"/>
      <c r="AC152" s="102" t="n"/>
      <c r="AD152" s="102" t="n"/>
    </row>
    <row r="153" ht="15.75" customHeight="1" s="205">
      <c r="A153" s="102" t="n"/>
      <c r="B153" s="142" t="n"/>
      <c r="C153" s="143" t="n"/>
      <c r="D153" s="143" t="n"/>
      <c r="E153" s="143" t="n"/>
      <c r="F153" s="143" t="n"/>
      <c r="G153" s="144" t="n"/>
      <c r="H153" s="145">
        <f>IF(K153&lt;&gt;"", HYPERLINK("https://chatgpt.com/?prompt=" &amp; SUBSTITUTE(SUBSTITUTE(K153, " ", "+"), "&amp;", "dan") &amp; "&amp;force-refresh=true&amp;timestamp=" &amp; TEXT(NOW(), "yyyymmddhhmmss"), "👉 Klik untuk Generate Script! 🔥"), "")</f>
        <v/>
      </c>
      <c r="I153" s="143" t="n"/>
      <c r="J153" s="146" t="n"/>
      <c r="K153" s="130">
        <f>IF(AND(B153&lt;&gt;"", C153&lt;&gt;"", D153&lt;&gt;"", E153&lt;&gt;"", F153&lt;&gt;"", G153&lt;&gt;"", J153&lt;&gt;"", 'CONTENT PILLAR MAPPING'!C56&lt;&gt;"", 'CONTENT PILLAR MAPPING'!E56&lt;&gt;"", 'CONTENT PILLAR MAPPING'!F56&lt;&gt;"", 'CONTENT PILLAR MAPPING'!C59&lt;&gt;"", 'CONTENT PILLAR MAPPING'!C64&lt;&gt;"", 'CONTENT PILLAR MAPPING'!D64&lt;&gt;"", 'CONTENT PILLAR MAPPING'!E64&lt;&gt;"", 'CONTENT PILLAR MAPPING'!D72&lt;&gt;"", 'CONTENT PILLAR MAPPING'!D73&lt;&gt;""),
CONCATENATE(
"Sebagai seorang top konten kreator dengan niche utama '", 'CONTENT PILLAR MAPPING'!C56, "', spesifik kategori '", 'CONTENT PILLAR MAPPING'!E56, "', dan super spesifik '", 'CONTENT PILLAR MAPPING'!F56, "', yang dikenal sebagai '", 'CONTENT PILLAR MAPPING'!C59, "'.", CHAR(10),
"Saya memiliki Tone of Voice: '", 'CONTENT PILLAR MAPPING'!C64, "', Brand Archetype: '", 'CONTENT PILLAR MAPPING'!D64, "', dan Deskripsi Gaya Komunikasi: '", 'CONTENT PILLAR MAPPING'!E64, "'.", CHAR(10),
"Target audiens saya adalah: '", 'CONTENT PILLAR MAPPING'!D72, "', dengan segmentasi audiens: '", 'CONTENT PILLAR MAPPING'!D73, "'.", CHAR(10), CHAR(10),
"Mohon buatkan script konten yang **sangat powerful, menarik, inovatif, dan siap pakai** dengan judul ide '", B153, "'.", CHAR(10),
"Konten ini memiliki pilar '", C153, "', nilai tambah utama '", F153, "', dan akan menggunakan storytelling framework '", G153, "'.", CHAR(10),
"Gambaran singkat ide kontennya adalah: '", J153, "'.", CHAR(10),
"Konten ini akan diunggah di platform '", E153, "' dengan format '", D153,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 "'.** Sesuaikan dengan gaya komunikasi saya, dengan fokus pada nilai tambah '", F153,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 ", khusus ", 'CONTENT PILLAR MAPPING'!D73, ") dan membantu mereka menyelesaikan masalah atau mencapai tujuan mereka.", CHAR(10),
"✔ Membantuku membangun personal branding yang kuat dan sustainable, sesuai dengan Positioning saya sebagai '", 'CONTENT PILLAR MAPPING'!C59, "' dan Brand Archetype '", 'CONTENT PILLAR MAPPING'!D64, "'.", CHAR(10),
"✔ Kemas dalam bentuk tabel agar rapi, mudah di baca dan dipahami, dengan kolom 'Judul Konten', 'Pilar', 'Format', 'Draft Script', 'CTA', 'Saran Visual', dan 'Full Caption'. (Kosongkan kolom Link Prompt jika ada)."
),
"")</f>
        <v/>
      </c>
      <c r="L153" s="91" t="n"/>
      <c r="M153" s="91" t="n"/>
      <c r="N153" s="102" t="n"/>
      <c r="O153" s="102" t="n"/>
      <c r="P153" s="102" t="n"/>
      <c r="Q153" s="102" t="n"/>
      <c r="R153" s="102" t="n"/>
      <c r="S153" s="102" t="n"/>
      <c r="T153" s="102" t="n"/>
      <c r="U153" s="102" t="n"/>
      <c r="V153" s="102" t="n"/>
      <c r="W153" s="102" t="n"/>
      <c r="X153" s="102" t="n"/>
      <c r="Y153" s="102" t="n"/>
      <c r="Z153" s="102" t="n"/>
      <c r="AA153" s="102" t="n"/>
      <c r="AB153" s="102" t="n"/>
      <c r="AC153" s="102" t="n"/>
      <c r="AD153" s="102" t="n"/>
    </row>
    <row r="154" ht="15.75" customHeight="1" s="205">
      <c r="A154" s="102" t="n"/>
      <c r="B154" s="147" t="n"/>
      <c r="C154" s="144" t="n"/>
      <c r="D154" s="144" t="n"/>
      <c r="E154" s="144" t="n"/>
      <c r="F154" s="144" t="n"/>
      <c r="G154" s="144" t="n"/>
      <c r="H154" s="141">
        <f>IF(K154&lt;&gt;"", HYPERLINK("https://chatgpt.com/?prompt=" &amp; SUBSTITUTE(SUBSTITUTE(K154, " ", "+"), "&amp;", "dan") &amp; "&amp;force-refresh=true&amp;timestamp=" &amp; TEXT(NOW(), "yyyymmddhhmmss"), "👉 Klik untuk Generate Script! 🔥"), "")</f>
        <v/>
      </c>
      <c r="I154" s="144" t="n"/>
      <c r="J154" s="148" t="n"/>
      <c r="K154" s="140">
        <f>IF(AND(B154&lt;&gt;"", C154&lt;&gt;"", D154&lt;&gt;"", E154&lt;&gt;"", F154&lt;&gt;"", G154&lt;&gt;"", J154&lt;&gt;"", 'CONTENT PILLAR MAPPING'!C56&lt;&gt;"", 'CONTENT PILLAR MAPPING'!E56&lt;&gt;"", 'CONTENT PILLAR MAPPING'!F56&lt;&gt;"", 'CONTENT PILLAR MAPPING'!C59&lt;&gt;"", 'CONTENT PILLAR MAPPING'!C64&lt;&gt;"", 'CONTENT PILLAR MAPPING'!D64&lt;&gt;"", 'CONTENT PILLAR MAPPING'!E64&lt;&gt;"", 'CONTENT PILLAR MAPPING'!D72&lt;&gt;"", 'CONTENT PILLAR MAPPING'!D73&lt;&gt;""),
CONCATENATE(
"Sebagai seorang top konten kreator dengan niche utama '", 'CONTENT PILLAR MAPPING'!C56, "', spesifik kategori '", 'CONTENT PILLAR MAPPING'!E56, "', dan super spesifik '", 'CONTENT PILLAR MAPPING'!F56, "', yang dikenal sebagai '", 'CONTENT PILLAR MAPPING'!C59, "'.", CHAR(10),
"Saya memiliki Tone of Voice: '", 'CONTENT PILLAR MAPPING'!C64, "', Brand Archetype: '", 'CONTENT PILLAR MAPPING'!D64, "', dan Deskripsi Gaya Komunikasi: '", 'CONTENT PILLAR MAPPING'!E64, "'.", CHAR(10),
"Target audiens saya adalah: '", 'CONTENT PILLAR MAPPING'!D72, "', dengan segmentasi audiens: '", 'CONTENT PILLAR MAPPING'!D73, "'.", CHAR(10), CHAR(10),
"Mohon buatkan script konten yang **sangat powerful, menarik, inovatif, dan siap pakai** dengan judul ide '", B154, "'.", CHAR(10),
"Konten ini memiliki pilar '", C154, "', nilai tambah utama '", F154, "', dan akan menggunakan storytelling framework '", G154, "'.", CHAR(10),
"Gambaran singkat ide kontennya adalah: '", J154, "'.", CHAR(10),
"Konten ini akan diunggah di platform '", E154, "' dengan format '", D154,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 "'.** Sesuaikan dengan gaya komunikasi saya, dengan fokus pada nilai tambah '", F154,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 ", khusus ", 'CONTENT PILLAR MAPPING'!D73, ") dan membantu mereka menyelesaikan masalah atau mencapai tujuan mereka.", CHAR(10),
"✔ Membantuku membangun personal branding yang kuat dan sustainable, sesuai dengan Positioning saya sebagai '", 'CONTENT PILLAR MAPPING'!C59, "' dan Brand Archetype '", 'CONTENT PILLAR MAPPING'!D64, "'.", CHAR(10),
"✔ Kemas dalam bentuk tabel agar rapi, mudah di baca dan dipahami, dengan kolom 'Judul Konten', 'Pilar', 'Format', 'Draft Script', 'CTA', 'Saran Visual', dan 'Full Caption'. (Kosongkan kolom Link Prompt jika ada)."
),
"")</f>
        <v/>
      </c>
      <c r="L154" s="199" t="n"/>
      <c r="M154" s="199" t="n"/>
      <c r="N154" s="102" t="n"/>
      <c r="O154" s="102" t="n"/>
      <c r="P154" s="102" t="n"/>
      <c r="Q154" s="102" t="n"/>
      <c r="R154" s="102" t="n"/>
      <c r="S154" s="102" t="n"/>
      <c r="T154" s="102" t="n"/>
      <c r="U154" s="102" t="n"/>
      <c r="V154" s="102" t="n"/>
      <c r="W154" s="102" t="n"/>
      <c r="X154" s="102" t="n"/>
      <c r="Y154" s="102" t="n"/>
      <c r="Z154" s="102" t="n"/>
      <c r="AA154" s="102" t="n"/>
      <c r="AB154" s="102" t="n"/>
      <c r="AC154" s="102" t="n"/>
      <c r="AD154" s="102" t="n"/>
    </row>
    <row r="155" ht="15.75" customHeight="1" s="205">
      <c r="A155" s="102" t="n"/>
      <c r="B155" s="142" t="n"/>
      <c r="C155" s="143" t="n"/>
      <c r="D155" s="143" t="n"/>
      <c r="E155" s="143" t="n"/>
      <c r="F155" s="143" t="n"/>
      <c r="G155" s="144" t="n"/>
      <c r="H155" s="145">
        <f>IF(K155&lt;&gt;"", HYPERLINK("https://chatgpt.com/?prompt=" &amp; SUBSTITUTE(SUBSTITUTE(K155, " ", "+"), "&amp;", "dan") &amp; "&amp;force-refresh=true&amp;timestamp=" &amp; TEXT(NOW(), "yyyymmddhhmmss"), "👉 Klik untuk Generate Script! 🔥"), "")</f>
        <v/>
      </c>
      <c r="I155" s="143" t="n"/>
      <c r="J155" s="146" t="n"/>
      <c r="K155" s="130">
        <f>IF(AND(B155&lt;&gt;"", C155&lt;&gt;"", D155&lt;&gt;"", E155&lt;&gt;"", F155&lt;&gt;"", G155&lt;&gt;"", J155&lt;&gt;"", 'CONTENT PILLAR MAPPING'!C58&lt;&gt;"", 'CONTENT PILLAR MAPPING'!E58&lt;&gt;"", 'CONTENT PILLAR MAPPING'!F58&lt;&gt;"", 'CONTENT PILLAR MAPPING'!C61&lt;&gt;"", 'CONTENT PILLAR MAPPING'!C66&lt;&gt;"", 'CONTENT PILLAR MAPPING'!D66&lt;&gt;"", 'CONTENT PILLAR MAPPING'!E66&lt;&gt;"", 'CONTENT PILLAR MAPPING'!D74&lt;&gt;"", 'CONTENT PILLAR MAPPING'!D75&lt;&gt;""),
CONCATENATE(
"Sebagai seorang top konten kreator dengan niche utama '", 'CONTENT PILLAR MAPPING'!C58, "', spesifik kategori '", 'CONTENT PILLAR MAPPING'!E58, "', dan super spesifik '", 'CONTENT PILLAR MAPPING'!F58, "', yang dikenal sebagai '", 'CONTENT PILLAR MAPPING'!C61, "'.", CHAR(10),
"Saya memiliki Tone of Voice: '", 'CONTENT PILLAR MAPPING'!C66, "', Brand Archetype: '", 'CONTENT PILLAR MAPPING'!D66, "', dan Deskripsi Gaya Komunikasi: '", 'CONTENT PILLAR MAPPING'!E66, "'.", CHAR(10),
"Target audiens saya adalah: '", 'CONTENT PILLAR MAPPING'!D74, "', dengan segmentasi audiens: '", 'CONTENT PILLAR MAPPING'!D75, "'.", CHAR(10), CHAR(10),
"Mohon buatkan script konten yang **sangat powerful, menarik, inovatif, dan siap pakai** dengan judul ide '", B155, "'.", CHAR(10),
"Konten ini memiliki pilar '", C155, "', nilai tambah utama '", F155, "', dan akan menggunakan storytelling framework '", G155, "'.", CHAR(10),
"Gambaran singkat ide kontennya adalah: '", J155, "'.", CHAR(10),
"Konten ini akan diunggah di platform '", E155, "' dengan format '", D155,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 "'.** Sesuaikan dengan gaya komunikasi saya, dengan fokus pada nilai tambah '", F155,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 ", khusus ", 'CONTENT PILLAR MAPPING'!D75, ") dan membantu mereka menyelesaikan masalah atau mencapai tujuan mereka.", CHAR(10),
"✔ Membantuku membangun personal branding yang kuat dan sustainable, sesuai dengan Positioning saya sebagai '", 'CONTENT PILLAR MAPPING'!C61, "' dan Brand Archetype '", 'CONTENT PILLAR MAPPING'!D66, "'.", CHAR(10),
"✔ Kemas dalam bentuk tabel agar rapi, mudah di baca dan dipahami, dengan kolom 'Judul Konten', 'Pilar', 'Format', 'Draft Script', 'CTA', 'Saran Visual', dan 'Full Caption'. (Kosongkan kolom Link Prompt jika ada)."
),
"")</f>
        <v/>
      </c>
      <c r="L155" s="91" t="n"/>
      <c r="M155" s="91" t="n"/>
      <c r="N155" s="102" t="n"/>
      <c r="O155" s="102" t="n"/>
      <c r="P155" s="102" t="n"/>
      <c r="Q155" s="102" t="n"/>
      <c r="R155" s="102" t="n"/>
      <c r="S155" s="102" t="n"/>
      <c r="T155" s="102" t="n"/>
      <c r="U155" s="102" t="n"/>
      <c r="V155" s="102" t="n"/>
      <c r="W155" s="102" t="n"/>
      <c r="X155" s="102" t="n"/>
      <c r="Y155" s="102" t="n"/>
      <c r="Z155" s="102" t="n"/>
      <c r="AA155" s="102" t="n"/>
      <c r="AB155" s="102" t="n"/>
      <c r="AC155" s="102" t="n"/>
      <c r="AD155" s="102" t="n"/>
    </row>
    <row r="156" ht="15.75" customHeight="1" s="205">
      <c r="A156" s="102" t="n"/>
      <c r="B156" s="147" t="n"/>
      <c r="C156" s="144" t="n"/>
      <c r="D156" s="144" t="n"/>
      <c r="E156" s="144" t="n"/>
      <c r="F156" s="144" t="n"/>
      <c r="G156" s="144" t="n"/>
      <c r="H156" s="141">
        <f>IF(K156&lt;&gt;"", HYPERLINK("https://chatgpt.com/?prompt=" &amp; SUBSTITUTE(SUBSTITUTE(K156, " ", "+"), "&amp;", "dan") &amp; "&amp;force-refresh=true&amp;timestamp=" &amp; TEXT(NOW(), "yyyymmddhhmmss"), "👉 Klik untuk Generate Script! 🔥"), "")</f>
        <v/>
      </c>
      <c r="I156" s="144" t="n"/>
      <c r="J156" s="148" t="n"/>
      <c r="K156" s="140">
        <f>IF(AND(B156&lt;&gt;"", C156&lt;&gt;"", D156&lt;&gt;"", E156&lt;&gt;"", F156&lt;&gt;"", G156&lt;&gt;"", J156&lt;&gt;"", 'CONTENT PILLAR MAPPING'!C58&lt;&gt;"", 'CONTENT PILLAR MAPPING'!E58&lt;&gt;"", 'CONTENT PILLAR MAPPING'!F58&lt;&gt;"", 'CONTENT PILLAR MAPPING'!C61&lt;&gt;"", 'CONTENT PILLAR MAPPING'!C66&lt;&gt;"", 'CONTENT PILLAR MAPPING'!D66&lt;&gt;"", 'CONTENT PILLAR MAPPING'!E66&lt;&gt;"", 'CONTENT PILLAR MAPPING'!D74&lt;&gt;"", 'CONTENT PILLAR MAPPING'!D75&lt;&gt;""),
CONCATENATE(
"Sebagai seorang top konten kreator dengan niche utama '", 'CONTENT PILLAR MAPPING'!C58, "', spesifik kategori '", 'CONTENT PILLAR MAPPING'!E58, "', dan super spesifik '", 'CONTENT PILLAR MAPPING'!F58, "', yang dikenal sebagai '", 'CONTENT PILLAR MAPPING'!C61, "'.", CHAR(10),
"Saya memiliki Tone of Voice: '", 'CONTENT PILLAR MAPPING'!C66, "', Brand Archetype: '", 'CONTENT PILLAR MAPPING'!D66, "', dan Deskripsi Gaya Komunikasi: '", 'CONTENT PILLAR MAPPING'!E66, "'.", CHAR(10),
"Target audiens saya adalah: '", 'CONTENT PILLAR MAPPING'!D74, "', dengan segmentasi audiens: '", 'CONTENT PILLAR MAPPING'!D75, "'.", CHAR(10), CHAR(10),
"Mohon buatkan script konten yang **sangat powerful, menarik, inovatif, dan siap pakai** dengan judul ide '", B156, "'.", CHAR(10),
"Konten ini memiliki pilar '", C156, "', nilai tambah utama '", F156, "', dan akan menggunakan storytelling framework '", G156, "'.", CHAR(10),
"Gambaran singkat ide kontennya adalah: '", J156, "'.", CHAR(10),
"Konten ini akan diunggah di platform '", E156, "' dengan format '", D156,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 "'.** Sesuaikan dengan gaya komunikasi saya, dengan fokus pada nilai tambah '", F156,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 ", khusus ", 'CONTENT PILLAR MAPPING'!D75, ") dan membantu mereka menyelesaikan masalah atau mencapai tujuan mereka.", CHAR(10),
"✔ Membantuku membangun personal branding yang kuat dan sustainable, sesuai dengan Positioning saya sebagai '", 'CONTENT PILLAR MAPPING'!C61, "' dan Brand Archetype '", 'CONTENT PILLAR MAPPING'!D66, "'.", CHAR(10),
"✔ Kemas dalam bentuk tabel agar rapi, mudah di baca dan dipahami, dengan kolom 'Judul Konten', 'Pilar', 'Format', 'Draft Script', 'CTA', 'Saran Visual', dan 'Full Caption'. (Kosongkan kolom Link Prompt jika ada)."
),
"")</f>
        <v/>
      </c>
      <c r="L156" s="199" t="n"/>
      <c r="M156" s="199" t="n"/>
      <c r="N156" s="102" t="n"/>
      <c r="O156" s="102" t="n"/>
      <c r="P156" s="102" t="n"/>
      <c r="Q156" s="102" t="n"/>
      <c r="R156" s="102" t="n"/>
      <c r="S156" s="102" t="n"/>
      <c r="T156" s="102" t="n"/>
      <c r="U156" s="102" t="n"/>
      <c r="V156" s="102" t="n"/>
      <c r="W156" s="102" t="n"/>
      <c r="X156" s="102" t="n"/>
      <c r="Y156" s="102" t="n"/>
      <c r="Z156" s="102" t="n"/>
      <c r="AA156" s="102" t="n"/>
      <c r="AB156" s="102" t="n"/>
      <c r="AC156" s="102" t="n"/>
      <c r="AD156" s="102" t="n"/>
    </row>
    <row r="157" ht="15.75" customHeight="1" s="205">
      <c r="A157" s="102" t="n"/>
      <c r="B157" s="142" t="n"/>
      <c r="C157" s="143" t="n"/>
      <c r="D157" s="143" t="n"/>
      <c r="E157" s="143" t="n"/>
      <c r="F157" s="143" t="n"/>
      <c r="G157" s="144" t="n"/>
      <c r="H157" s="145">
        <f>IF(K157&lt;&gt;"", HYPERLINK("https://chatgpt.com/?prompt=" &amp; SUBSTITUTE(SUBSTITUTE(K157, " ", "+"), "&amp;", "dan") &amp; "&amp;force-refresh=true&amp;timestamp=" &amp; TEXT(NOW(), "yyyymmddhhmmss"), "👉 Klik untuk Generate Script! 🔥"), "")</f>
        <v/>
      </c>
      <c r="I157" s="143" t="n"/>
      <c r="J157" s="146" t="n"/>
      <c r="K157" s="130">
        <f>IF(AND(B157&lt;&gt;"", C157&lt;&gt;"", D157&lt;&gt;"", E157&lt;&gt;"", F157&lt;&gt;"", G157&lt;&gt;"", J157&lt;&gt;"", 'CONTENT PILLAR MAPPING'!C60&lt;&gt;"", 'CONTENT PILLAR MAPPING'!E60&lt;&gt;"", 'CONTENT PILLAR MAPPING'!F60&lt;&gt;"", 'CONTENT PILLAR MAPPING'!C63&lt;&gt;"", 'CONTENT PILLAR MAPPING'!C68&lt;&gt;"", 'CONTENT PILLAR MAPPING'!D68&lt;&gt;"", 'CONTENT PILLAR MAPPING'!E68&lt;&gt;"", 'CONTENT PILLAR MAPPING'!D76&lt;&gt;"", 'CONTENT PILLAR MAPPING'!D77&lt;&gt;""),
CONCATENATE(
"Sebagai seorang top konten kreator dengan niche utama '", 'CONTENT PILLAR MAPPING'!C60, "', spesifik kategori '", 'CONTENT PILLAR MAPPING'!E60, "', dan super spesifik '", 'CONTENT PILLAR MAPPING'!F60, "', yang dikenal sebagai '", 'CONTENT PILLAR MAPPING'!C63, "'.", CHAR(10),
"Saya memiliki Tone of Voice: '", 'CONTENT PILLAR MAPPING'!C68, "', Brand Archetype: '", 'CONTENT PILLAR MAPPING'!D68, "', dan Deskripsi Gaya Komunikasi: '", 'CONTENT PILLAR MAPPING'!E68, "'.", CHAR(10),
"Target audiens saya adalah: '", 'CONTENT PILLAR MAPPING'!D76, "', dengan segmentasi audiens: '", 'CONTENT PILLAR MAPPING'!D77, "'.", CHAR(10), CHAR(10),
"Mohon buatkan script konten yang **sangat powerful, menarik, inovatif, dan siap pakai** dengan judul ide '", B157, "'.", CHAR(10),
"Konten ini memiliki pilar '", C157, "', nilai tambah utama '", F157, "', dan akan menggunakan storytelling framework '", G157, "'.", CHAR(10),
"Gambaran singkat ide kontennya adalah: '", J157, "'.", CHAR(10),
"Konten ini akan diunggah di platform '", E157, "' dengan format '", D157,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 "'.** Sesuaikan dengan gaya komunikasi saya, dengan fokus pada nilai tambah '", F157,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 ", khusus ", 'CONTENT PILLAR MAPPING'!D77, ") dan membantu mereka menyelesaikan masalah atau mencapai tujuan mereka.", CHAR(10),
"✔ Membantuku membangun personal branding yang kuat dan sustainable, sesuai dengan Positioning saya sebagai '", 'CONTENT PILLAR MAPPING'!C63, "' dan Brand Archetype '", 'CONTENT PILLAR MAPPING'!D68, "'.", CHAR(10),
"✔ Kemas dalam bentuk tabel agar rapi, mudah di baca dan dipahami, dengan kolom 'Judul Konten', 'Pilar', 'Format', 'Draft Script', 'CTA', 'Saran Visual', dan 'Full Caption'. (Kosongkan kolom Link Prompt jika ada)."
),
"")</f>
        <v/>
      </c>
      <c r="L157" s="91" t="n"/>
      <c r="M157" s="91" t="n"/>
      <c r="N157" s="102" t="n"/>
      <c r="O157" s="102" t="n"/>
      <c r="P157" s="102" t="n"/>
      <c r="Q157" s="102" t="n"/>
      <c r="R157" s="102" t="n"/>
      <c r="S157" s="102" t="n"/>
      <c r="T157" s="102" t="n"/>
      <c r="U157" s="102" t="n"/>
      <c r="V157" s="102" t="n"/>
      <c r="W157" s="102" t="n"/>
      <c r="X157" s="102" t="n"/>
      <c r="Y157" s="102" t="n"/>
      <c r="Z157" s="102" t="n"/>
      <c r="AA157" s="102" t="n"/>
      <c r="AB157" s="102" t="n"/>
      <c r="AC157" s="102" t="n"/>
      <c r="AD157" s="102" t="n"/>
    </row>
    <row r="158" ht="15.75" customHeight="1" s="205">
      <c r="A158" s="102" t="n"/>
      <c r="B158" s="147" t="n"/>
      <c r="C158" s="144" t="n"/>
      <c r="D158" s="144" t="n"/>
      <c r="E158" s="144" t="n"/>
      <c r="F158" s="144" t="n"/>
      <c r="G158" s="144" t="n"/>
      <c r="H158" s="141">
        <f>IF(K158&lt;&gt;"", HYPERLINK("https://chatgpt.com/?prompt=" &amp; SUBSTITUTE(SUBSTITUTE(K158, " ", "+"), "&amp;", "dan") &amp; "&amp;force-refresh=true&amp;timestamp=" &amp; TEXT(NOW(), "yyyymmddhhmmss"), "👉 Klik untuk Generate Script! 🔥"), "")</f>
        <v/>
      </c>
      <c r="I158" s="144" t="n"/>
      <c r="J158" s="148" t="n"/>
      <c r="K158" s="140">
        <f>IF(AND(B158&lt;&gt;"", C158&lt;&gt;"", D158&lt;&gt;"", E158&lt;&gt;"", F158&lt;&gt;"", G158&lt;&gt;"", J158&lt;&gt;"", 'CONTENT PILLAR MAPPING'!C60&lt;&gt;"", 'CONTENT PILLAR MAPPING'!E60&lt;&gt;"", 'CONTENT PILLAR MAPPING'!F60&lt;&gt;"", 'CONTENT PILLAR MAPPING'!C63&lt;&gt;"", 'CONTENT PILLAR MAPPING'!C68&lt;&gt;"", 'CONTENT PILLAR MAPPING'!D68&lt;&gt;"", 'CONTENT PILLAR MAPPING'!E68&lt;&gt;"", 'CONTENT PILLAR MAPPING'!D76&lt;&gt;"", 'CONTENT PILLAR MAPPING'!D77&lt;&gt;""),
CONCATENATE(
"Sebagai seorang top konten kreator dengan niche utama '", 'CONTENT PILLAR MAPPING'!C60, "', spesifik kategori '", 'CONTENT PILLAR MAPPING'!E60, "', dan super spesifik '", 'CONTENT PILLAR MAPPING'!F60, "', yang dikenal sebagai '", 'CONTENT PILLAR MAPPING'!C63, "'.", CHAR(10),
"Saya memiliki Tone of Voice: '", 'CONTENT PILLAR MAPPING'!C68, "', Brand Archetype: '", 'CONTENT PILLAR MAPPING'!D68, "', dan Deskripsi Gaya Komunikasi: '", 'CONTENT PILLAR MAPPING'!E68, "'.", CHAR(10),
"Target audiens saya adalah: '", 'CONTENT PILLAR MAPPING'!D76, "', dengan segmentasi audiens: '", 'CONTENT PILLAR MAPPING'!D77, "'.", CHAR(10), CHAR(10),
"Mohon buatkan script konten yang **sangat powerful, menarik, inovatif, dan siap pakai** dengan judul ide '", B158, "'.", CHAR(10),
"Konten ini memiliki pilar '", C158, "', nilai tambah utama '", F158, "', dan akan menggunakan storytelling framework '", G158, "'.", CHAR(10),
"Gambaran singkat ide kontennya adalah: '", J158, "'.", CHAR(10),
"Konten ini akan diunggah di platform '", E158, "' dengan format '", D158,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 "'.** Sesuaikan dengan gaya komunikasi saya, dengan fokus pada nilai tambah '", F158,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 ", khusus ", 'CONTENT PILLAR MAPPING'!D77, ") dan membantu mereka menyelesaikan masalah atau mencapai tujuan mereka.", CHAR(10),
"✔ Membantuku membangun personal branding yang kuat dan sustainable, sesuai dengan Positioning saya sebagai '", 'CONTENT PILLAR MAPPING'!C63, "' dan Brand Archetype '", 'CONTENT PILLAR MAPPING'!D68, "'.", CHAR(10),
"✔ Kemas dalam bentuk tabel agar rapi, mudah di baca dan dipahami, dengan kolom 'Judul Konten', 'Pilar', 'Format', 'Draft Script', 'CTA', 'Saran Visual', dan 'Full Caption'. (Kosongkan kolom Link Prompt jika ada)."
),
"")</f>
        <v/>
      </c>
      <c r="L158" s="199" t="n"/>
      <c r="M158" s="199" t="n"/>
      <c r="N158" s="102" t="n"/>
      <c r="O158" s="102" t="n"/>
      <c r="P158" s="102" t="n"/>
      <c r="Q158" s="102" t="n"/>
      <c r="R158" s="102" t="n"/>
      <c r="S158" s="102" t="n"/>
      <c r="T158" s="102" t="n"/>
      <c r="U158" s="102" t="n"/>
      <c r="V158" s="102" t="n"/>
      <c r="W158" s="102" t="n"/>
      <c r="X158" s="102" t="n"/>
      <c r="Y158" s="102" t="n"/>
      <c r="Z158" s="102" t="n"/>
      <c r="AA158" s="102" t="n"/>
      <c r="AB158" s="102" t="n"/>
      <c r="AC158" s="102" t="n"/>
      <c r="AD158" s="102" t="n"/>
    </row>
    <row r="159" ht="15.75" customHeight="1" s="205">
      <c r="A159" s="102" t="n"/>
      <c r="B159" s="142" t="n"/>
      <c r="C159" s="143" t="n"/>
      <c r="D159" s="143" t="n"/>
      <c r="E159" s="143" t="n"/>
      <c r="F159" s="143" t="n"/>
      <c r="G159" s="144" t="n"/>
      <c r="H159" s="145">
        <f>IF(K159&lt;&gt;"", HYPERLINK("https://chatgpt.com/?prompt=" &amp; SUBSTITUTE(SUBSTITUTE(K159, " ", "+"), "&amp;", "dan") &amp; "&amp;force-refresh=true&amp;timestamp=" &amp; TEXT(NOW(), "yyyymmddhhmmss"), "👉 Klik untuk Generate Script! 🔥"), "")</f>
        <v/>
      </c>
      <c r="I159" s="143" t="n"/>
      <c r="J159" s="146" t="n"/>
      <c r="K159" s="130">
        <f>IF(AND(B159&lt;&gt;"", C159&lt;&gt;"", D159&lt;&gt;"", E159&lt;&gt;"", F159&lt;&gt;"", G159&lt;&gt;"", J159&lt;&gt;"", 'CONTENT PILLAR MAPPING'!C62&lt;&gt;"", 'CONTENT PILLAR MAPPING'!E62&lt;&gt;"", 'CONTENT PILLAR MAPPING'!F62&lt;&gt;"", 'CONTENT PILLAR MAPPING'!C65&lt;&gt;"", 'CONTENT PILLAR MAPPING'!C70&lt;&gt;"", 'CONTENT PILLAR MAPPING'!D70&lt;&gt;"", 'CONTENT PILLAR MAPPING'!E70&lt;&gt;"", 'CONTENT PILLAR MAPPING'!D78&lt;&gt;"", 'CONTENT PILLAR MAPPING'!D79&lt;&gt;""),
CONCATENATE(
"Sebagai seorang top konten kreator dengan niche utama '", 'CONTENT PILLAR MAPPING'!C62, "', spesifik kategori '", 'CONTENT PILLAR MAPPING'!E62, "', dan super spesifik '", 'CONTENT PILLAR MAPPING'!F62, "', yang dikenal sebagai '", 'CONTENT PILLAR MAPPING'!C65, "'.", CHAR(10),
"Saya memiliki Tone of Voice: '", 'CONTENT PILLAR MAPPING'!C70, "', Brand Archetype: '", 'CONTENT PILLAR MAPPING'!D70, "', dan Deskripsi Gaya Komunikasi: '", 'CONTENT PILLAR MAPPING'!E70, "'.", CHAR(10),
"Target audiens saya adalah: '", 'CONTENT PILLAR MAPPING'!D78, "', dengan segmentasi audiens: '", 'CONTENT PILLAR MAPPING'!D79, "'.", CHAR(10), CHAR(10),
"Mohon buatkan script konten yang **sangat powerful, menarik, inovatif, dan siap pakai** dengan judul ide '", B159, "'.", CHAR(10),
"Konten ini memiliki pilar '", C159, "', nilai tambah utama '", F159, "', dan akan menggunakan storytelling framework '", G159, "'.", CHAR(10),
"Gambaran singkat ide kontennya adalah: '", J159, "'.", CHAR(10),
"Konten ini akan diunggah di platform '", E159, "' dengan format '", D159,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 "'.** Sesuaikan dengan gaya komunikasi saya, dengan fokus pada nilai tambah '", F159,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 ", khusus ", 'CONTENT PILLAR MAPPING'!D79, ") dan membantu mereka menyelesaikan masalah atau mencapai tujuan mereka.", CHAR(10),
"✔ Membantuku membangun personal branding yang kuat dan sustainable, sesuai dengan Positioning saya sebagai '", 'CONTENT PILLAR MAPPING'!C65, "' dan Brand Archetype '", 'CONTENT PILLAR MAPPING'!D70, "'.", CHAR(10),
"✔ Kemas dalam bentuk tabel agar rapi, mudah di baca dan dipahami, dengan kolom 'Judul Konten', 'Pilar', 'Format', 'Draft Script', 'CTA', 'Saran Visual', dan 'Full Caption'. (Kosongkan kolom Link Prompt jika ada)."
),
"")</f>
        <v/>
      </c>
      <c r="L159" s="91" t="n"/>
      <c r="M159" s="91" t="n"/>
      <c r="N159" s="102" t="n"/>
      <c r="O159" s="102" t="n"/>
      <c r="P159" s="102" t="n"/>
      <c r="Q159" s="102" t="n"/>
      <c r="R159" s="102" t="n"/>
      <c r="S159" s="102" t="n"/>
      <c r="T159" s="102" t="n"/>
      <c r="U159" s="102" t="n"/>
      <c r="V159" s="102" t="n"/>
      <c r="W159" s="102" t="n"/>
      <c r="X159" s="102" t="n"/>
      <c r="Y159" s="102" t="n"/>
      <c r="Z159" s="102" t="n"/>
      <c r="AA159" s="102" t="n"/>
      <c r="AB159" s="102" t="n"/>
      <c r="AC159" s="102" t="n"/>
      <c r="AD159" s="102" t="n"/>
    </row>
    <row r="160" ht="15.75" customHeight="1" s="205">
      <c r="A160" s="102" t="n"/>
      <c r="B160" s="147" t="n"/>
      <c r="C160" s="144" t="n"/>
      <c r="D160" s="144" t="n"/>
      <c r="E160" s="144" t="n"/>
      <c r="F160" s="144" t="n"/>
      <c r="G160" s="144" t="n"/>
      <c r="H160" s="141">
        <f>IF(K160&lt;&gt;"", HYPERLINK("https://chatgpt.com/?prompt=" &amp; SUBSTITUTE(SUBSTITUTE(K160, " ", "+"), "&amp;", "dan") &amp; "&amp;force-refresh=true&amp;timestamp=" &amp; TEXT(NOW(), "yyyymmddhhmmss"), "👉 Klik untuk Generate Script! 🔥"), "")</f>
        <v/>
      </c>
      <c r="I160" s="144" t="n"/>
      <c r="J160" s="148" t="n"/>
      <c r="K160" s="140">
        <f>IF(AND(B160&lt;&gt;"", C160&lt;&gt;"", D160&lt;&gt;"", E160&lt;&gt;"", F160&lt;&gt;"", G160&lt;&gt;"", J160&lt;&gt;"", 'CONTENT PILLAR MAPPING'!C62&lt;&gt;"", 'CONTENT PILLAR MAPPING'!E62&lt;&gt;"", 'CONTENT PILLAR MAPPING'!F62&lt;&gt;"", 'CONTENT PILLAR MAPPING'!C65&lt;&gt;"", 'CONTENT PILLAR MAPPING'!C70&lt;&gt;"", 'CONTENT PILLAR MAPPING'!D70&lt;&gt;"", 'CONTENT PILLAR MAPPING'!E70&lt;&gt;"", 'CONTENT PILLAR MAPPING'!D78&lt;&gt;"", 'CONTENT PILLAR MAPPING'!D79&lt;&gt;""),
CONCATENATE(
"Sebagai seorang top konten kreator dengan niche utama '", 'CONTENT PILLAR MAPPING'!C62, "', spesifik kategori '", 'CONTENT PILLAR MAPPING'!E62, "', dan super spesifik '", 'CONTENT PILLAR MAPPING'!F62, "', yang dikenal sebagai '", 'CONTENT PILLAR MAPPING'!C65, "'.", CHAR(10),
"Saya memiliki Tone of Voice: '", 'CONTENT PILLAR MAPPING'!C70, "', Brand Archetype: '", 'CONTENT PILLAR MAPPING'!D70, "', dan Deskripsi Gaya Komunikasi: '", 'CONTENT PILLAR MAPPING'!E70, "'.", CHAR(10),
"Target audiens saya adalah: '", 'CONTENT PILLAR MAPPING'!D78, "', dengan segmentasi audiens: '", 'CONTENT PILLAR MAPPING'!D79, "'.", CHAR(10), CHAR(10),
"Mohon buatkan script konten yang **sangat powerful, menarik, inovatif, dan siap pakai** dengan judul ide '", B160, "'.", CHAR(10),
"Konten ini memiliki pilar '", C160, "', nilai tambah utama '", F160, "', dan akan menggunakan storytelling framework '", G160, "'.", CHAR(10),
"Gambaran singkat ide kontennya adalah: '", J160, "'.", CHAR(10),
"Konten ini akan diunggah di platform '", E160, "' dengan format '", D160,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 "'.** Sesuaikan dengan gaya komunikasi saya, dengan fokus pada nilai tambah '", F160,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 ", khusus ", 'CONTENT PILLAR MAPPING'!D79, ") dan membantu mereka menyelesaikan masalah atau mencapai tujuan mereka.", CHAR(10),
"✔ Membantuku membangun personal branding yang kuat dan sustainable, sesuai dengan Positioning saya sebagai '", 'CONTENT PILLAR MAPPING'!C65, "' dan Brand Archetype '", 'CONTENT PILLAR MAPPING'!D70, "'.", CHAR(10),
"✔ Kemas dalam bentuk tabel agar rapi, mudah di baca dan dipahami, dengan kolom 'Judul Konten', 'Pilar', 'Format', 'Draft Script', 'CTA', 'Saran Visual', dan 'Full Caption'. (Kosongkan kolom Link Prompt jika ada)."
),
"")</f>
        <v/>
      </c>
      <c r="L160" s="199" t="n"/>
      <c r="M160" s="199" t="n"/>
      <c r="N160" s="102" t="n"/>
      <c r="O160" s="102" t="n"/>
      <c r="P160" s="102" t="n"/>
      <c r="Q160" s="102" t="n"/>
      <c r="R160" s="102" t="n"/>
      <c r="S160" s="102" t="n"/>
      <c r="T160" s="102" t="n"/>
      <c r="U160" s="102" t="n"/>
      <c r="V160" s="102" t="n"/>
      <c r="W160" s="102" t="n"/>
      <c r="X160" s="102" t="n"/>
      <c r="Y160" s="102" t="n"/>
      <c r="Z160" s="102" t="n"/>
      <c r="AA160" s="102" t="n"/>
      <c r="AB160" s="102" t="n"/>
      <c r="AC160" s="102" t="n"/>
      <c r="AD160" s="102" t="n"/>
    </row>
    <row r="161" ht="15.75" customHeight="1" s="205">
      <c r="A161" s="102" t="n"/>
      <c r="B161" s="142" t="n"/>
      <c r="C161" s="143" t="n"/>
      <c r="D161" s="143" t="n"/>
      <c r="E161" s="143" t="n"/>
      <c r="F161" s="143" t="n"/>
      <c r="G161" s="144" t="n"/>
      <c r="H161" s="145">
        <f>IF(K161&lt;&gt;"", HYPERLINK("https://chatgpt.com/?prompt=" &amp; SUBSTITUTE(SUBSTITUTE(K161, " ", "+"), "&amp;", "dan") &amp; "&amp;force-refresh=true&amp;timestamp=" &amp; TEXT(NOW(), "yyyymmddhhmmss"), "👉 Klik untuk Generate Script! 🔥"), "")</f>
        <v/>
      </c>
      <c r="I161" s="143" t="n"/>
      <c r="J161" s="146" t="n"/>
      <c r="K161" s="130">
        <f>IF(AND(B161&lt;&gt;"", C161&lt;&gt;"", D161&lt;&gt;"", E161&lt;&gt;"", F161&lt;&gt;"", G161&lt;&gt;"", J161&lt;&gt;"", 'CONTENT PILLAR MAPPING'!C64&lt;&gt;"", 'CONTENT PILLAR MAPPING'!E64&lt;&gt;"", 'CONTENT PILLAR MAPPING'!F64&lt;&gt;"", 'CONTENT PILLAR MAPPING'!C67&lt;&gt;"", 'CONTENT PILLAR MAPPING'!C72&lt;&gt;"", 'CONTENT PILLAR MAPPING'!D72&lt;&gt;"", 'CONTENT PILLAR MAPPING'!E72&lt;&gt;"", 'CONTENT PILLAR MAPPING'!D80&lt;&gt;"", 'CONTENT PILLAR MAPPING'!D81&lt;&gt;""),
CONCATENATE(
"Sebagai seorang top konten kreator dengan niche utama '", 'CONTENT PILLAR MAPPING'!C64, "', spesifik kategori '", 'CONTENT PILLAR MAPPING'!E64, "', dan super spesifik '", 'CONTENT PILLAR MAPPING'!F64, "', yang dikenal sebagai '", 'CONTENT PILLAR MAPPING'!C67, "'.", CHAR(10),
"Saya memiliki Tone of Voice: '", 'CONTENT PILLAR MAPPING'!C72, "', Brand Archetype: '", 'CONTENT PILLAR MAPPING'!D72, "', dan Deskripsi Gaya Komunikasi: '", 'CONTENT PILLAR MAPPING'!E72, "'.", CHAR(10),
"Target audiens saya adalah: '", 'CONTENT PILLAR MAPPING'!D80, "', dengan segmentasi audiens: '", 'CONTENT PILLAR MAPPING'!D81, "'.", CHAR(10), CHAR(10),
"Mohon buatkan script konten yang **sangat powerful, menarik, inovatif, dan siap pakai** dengan judul ide '", B161, "'.", CHAR(10),
"Konten ini memiliki pilar '", C161, "', nilai tambah utama '", F161, "', dan akan menggunakan storytelling framework '", G161, "'.", CHAR(10),
"Gambaran singkat ide kontennya adalah: '", J161, "'.", CHAR(10),
"Konten ini akan diunggah di platform '", E161, "' dengan format '", D161,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 "'.** Sesuaikan dengan gaya komunikasi saya, dengan fokus pada nilai tambah '", F161,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 ", khusus ", 'CONTENT PILLAR MAPPING'!D81, ") dan membantu mereka menyelesaikan masalah atau mencapai tujuan mereka.", CHAR(10),
"✔ Membantuku membangun personal branding yang kuat dan sustainable, sesuai dengan Positioning saya sebagai '", 'CONTENT PILLAR MAPPING'!C67, "' dan Brand Archetype '", 'CONTENT PILLAR MAPPING'!D72, "'.", CHAR(10),
"✔ Kemas dalam bentuk tabel agar rapi, mudah di baca dan dipahami, dengan kolom 'Judul Konten', 'Pilar', 'Format', 'Draft Script', 'CTA', 'Saran Visual', dan 'Full Caption'. (Kosongkan kolom Link Prompt jika ada)."
),
"")</f>
        <v/>
      </c>
      <c r="L161" s="91" t="n"/>
      <c r="M161" s="91" t="n"/>
      <c r="N161" s="102" t="n"/>
      <c r="O161" s="102" t="n"/>
      <c r="P161" s="102" t="n"/>
      <c r="Q161" s="102" t="n"/>
      <c r="R161" s="102" t="n"/>
      <c r="S161" s="102" t="n"/>
      <c r="T161" s="102" t="n"/>
      <c r="U161" s="102" t="n"/>
      <c r="V161" s="102" t="n"/>
      <c r="W161" s="102" t="n"/>
      <c r="X161" s="102" t="n"/>
      <c r="Y161" s="102" t="n"/>
      <c r="Z161" s="102" t="n"/>
      <c r="AA161" s="102" t="n"/>
      <c r="AB161" s="102" t="n"/>
      <c r="AC161" s="102" t="n"/>
      <c r="AD161" s="102" t="n"/>
    </row>
    <row r="162" ht="15.75" customHeight="1" s="205">
      <c r="A162" s="102" t="n"/>
      <c r="B162" s="147" t="n"/>
      <c r="C162" s="144" t="n"/>
      <c r="D162" s="144" t="n"/>
      <c r="E162" s="144" t="n"/>
      <c r="F162" s="144" t="n"/>
      <c r="G162" s="144" t="n"/>
      <c r="H162" s="141">
        <f>IF(K162&lt;&gt;"", HYPERLINK("https://chatgpt.com/?prompt=" &amp; SUBSTITUTE(SUBSTITUTE(K162, " ", "+"), "&amp;", "dan") &amp; "&amp;force-refresh=true&amp;timestamp=" &amp; TEXT(NOW(), "yyyymmddhhmmss"), "👉 Klik untuk Generate Script! 🔥"), "")</f>
        <v/>
      </c>
      <c r="I162" s="144" t="n"/>
      <c r="J162" s="148" t="n"/>
      <c r="K162" s="140">
        <f>IF(AND(B162&lt;&gt;"", C162&lt;&gt;"", D162&lt;&gt;"", E162&lt;&gt;"", F162&lt;&gt;"", G162&lt;&gt;"", J162&lt;&gt;"", 'CONTENT PILLAR MAPPING'!C64&lt;&gt;"", 'CONTENT PILLAR MAPPING'!E64&lt;&gt;"", 'CONTENT PILLAR MAPPING'!F64&lt;&gt;"", 'CONTENT PILLAR MAPPING'!C67&lt;&gt;"", 'CONTENT PILLAR MAPPING'!C72&lt;&gt;"", 'CONTENT PILLAR MAPPING'!D72&lt;&gt;"", 'CONTENT PILLAR MAPPING'!E72&lt;&gt;"", 'CONTENT PILLAR MAPPING'!D80&lt;&gt;"", 'CONTENT PILLAR MAPPING'!D81&lt;&gt;""),
CONCATENATE(
"Sebagai seorang top konten kreator dengan niche utama '", 'CONTENT PILLAR MAPPING'!C64, "', spesifik kategori '", 'CONTENT PILLAR MAPPING'!E64, "', dan super spesifik '", 'CONTENT PILLAR MAPPING'!F64, "', yang dikenal sebagai '", 'CONTENT PILLAR MAPPING'!C67, "'.", CHAR(10),
"Saya memiliki Tone of Voice: '", 'CONTENT PILLAR MAPPING'!C72, "', Brand Archetype: '", 'CONTENT PILLAR MAPPING'!D72, "', dan Deskripsi Gaya Komunikasi: '", 'CONTENT PILLAR MAPPING'!E72, "'.", CHAR(10),
"Target audiens saya adalah: '", 'CONTENT PILLAR MAPPING'!D80, "', dengan segmentasi audiens: '", 'CONTENT PILLAR MAPPING'!D81, "'.", CHAR(10), CHAR(10),
"Mohon buatkan script konten yang **sangat powerful, menarik, inovatif, dan siap pakai** dengan judul ide '", B162, "'.", CHAR(10),
"Konten ini memiliki pilar '", C162, "', nilai tambah utama '", F162, "', dan akan menggunakan storytelling framework '", G162, "'.", CHAR(10),
"Gambaran singkat ide kontennya adalah: '", J162, "'.", CHAR(10),
"Konten ini akan diunggah di platform '", E162, "' dengan format '", D162,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 "'.** Sesuaikan dengan gaya komunikasi saya, dengan fokus pada nilai tambah '", F162,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 ", khusus ", 'CONTENT PILLAR MAPPING'!D81, ") dan membantu mereka menyelesaikan masalah atau mencapai tujuan mereka.", CHAR(10),
"✔ Membantuku membangun personal branding yang kuat dan sustainable, sesuai dengan Positioning saya sebagai '", 'CONTENT PILLAR MAPPING'!C67, "' dan Brand Archetype '", 'CONTENT PILLAR MAPPING'!D72, "'.", CHAR(10),
"✔ Kemas dalam bentuk tabel agar rapi, mudah di baca dan dipahami, dengan kolom 'Judul Konten', 'Pilar', 'Format', 'Draft Script', 'CTA', 'Saran Visual', dan 'Full Caption'. (Kosongkan kolom Link Prompt jika ada)."
),
"")</f>
        <v/>
      </c>
      <c r="L162" s="199" t="n"/>
      <c r="M162" s="199" t="n"/>
      <c r="N162" s="102" t="n"/>
      <c r="O162" s="102" t="n"/>
      <c r="P162" s="102" t="n"/>
      <c r="Q162" s="102" t="n"/>
      <c r="R162" s="102" t="n"/>
      <c r="S162" s="102" t="n"/>
      <c r="T162" s="102" t="n"/>
      <c r="U162" s="102" t="n"/>
      <c r="V162" s="102" t="n"/>
      <c r="W162" s="102" t="n"/>
      <c r="X162" s="102" t="n"/>
      <c r="Y162" s="102" t="n"/>
      <c r="Z162" s="102" t="n"/>
      <c r="AA162" s="102" t="n"/>
      <c r="AB162" s="102" t="n"/>
      <c r="AC162" s="102" t="n"/>
      <c r="AD162" s="102" t="n"/>
    </row>
    <row r="163" ht="15.75" customHeight="1" s="205">
      <c r="A163" s="102" t="n"/>
      <c r="B163" s="142" t="n"/>
      <c r="C163" s="143" t="n"/>
      <c r="D163" s="143" t="n"/>
      <c r="E163" s="143" t="n"/>
      <c r="F163" s="143" t="n"/>
      <c r="G163" s="144" t="n"/>
      <c r="H163" s="145">
        <f>IF(K163&lt;&gt;"", HYPERLINK("https://chatgpt.com/?prompt=" &amp; SUBSTITUTE(SUBSTITUTE(K163, " ", "+"), "&amp;", "dan") &amp; "&amp;force-refresh=true&amp;timestamp=" &amp; TEXT(NOW(), "yyyymmddhhmmss"), "👉 Klik untuk Generate Script! 🔥"), "")</f>
        <v/>
      </c>
      <c r="I163" s="143" t="n"/>
      <c r="J163" s="146" t="n"/>
      <c r="K163" s="130">
        <f>IF(AND(B163&lt;&gt;"", C163&lt;&gt;"", D163&lt;&gt;"", E163&lt;&gt;"", F163&lt;&gt;"", G163&lt;&gt;"", J163&lt;&gt;"", 'CONTENT PILLAR MAPPING'!C66&lt;&gt;"", 'CONTENT PILLAR MAPPING'!E66&lt;&gt;"", 'CONTENT PILLAR MAPPING'!F66&lt;&gt;"", 'CONTENT PILLAR MAPPING'!C69&lt;&gt;"", 'CONTENT PILLAR MAPPING'!C74&lt;&gt;"", 'CONTENT PILLAR MAPPING'!D74&lt;&gt;"", 'CONTENT PILLAR MAPPING'!E74&lt;&gt;"", 'CONTENT PILLAR MAPPING'!D82&lt;&gt;"", 'CONTENT PILLAR MAPPING'!D83&lt;&gt;""),
CONCATENATE(
"Sebagai seorang top konten kreator dengan niche utama '", 'CONTENT PILLAR MAPPING'!C66, "', spesifik kategori '", 'CONTENT PILLAR MAPPING'!E66, "', dan super spesifik '", 'CONTENT PILLAR MAPPING'!F66, "', yang dikenal sebagai '", 'CONTENT PILLAR MAPPING'!C69, "'.", CHAR(10),
"Saya memiliki Tone of Voice: '", 'CONTENT PILLAR MAPPING'!C74, "', Brand Archetype: '", 'CONTENT PILLAR MAPPING'!D74, "', dan Deskripsi Gaya Komunikasi: '", 'CONTENT PILLAR MAPPING'!E74, "'.", CHAR(10),
"Target audiens saya adalah: '", 'CONTENT PILLAR MAPPING'!D82, "', dengan segmentasi audiens: '", 'CONTENT PILLAR MAPPING'!D83, "'.", CHAR(10), CHAR(10),
"Mohon buatkan script konten yang **sangat powerful, menarik, inovatif, dan siap pakai** dengan judul ide '", B163, "'.", CHAR(10),
"Konten ini memiliki pilar '", C163, "', nilai tambah utama '", F163, "', dan akan menggunakan storytelling framework '", G163, "'.", CHAR(10),
"Gambaran singkat ide kontennya adalah: '", J163, "'.", CHAR(10),
"Konten ini akan diunggah di platform '", E163, "' dengan format '", D163,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 "'.** Sesuaikan dengan gaya komunikasi saya, dengan fokus pada nilai tambah '", F163,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 ", khusus ", 'CONTENT PILLAR MAPPING'!D83, ") dan membantu mereka menyelesaikan masalah atau mencapai tujuan mereka.", CHAR(10),
"✔ Membantuku membangun personal branding yang kuat dan sustainable, sesuai dengan Positioning saya sebagai '", 'CONTENT PILLAR MAPPING'!C69, "' dan Brand Archetype '", 'CONTENT PILLAR MAPPING'!D74, "'.", CHAR(10),
"✔ Kemas dalam bentuk tabel agar rapi, mudah di baca dan dipahami, dengan kolom 'Judul Konten', 'Pilar', 'Format', 'Draft Script', 'CTA', 'Saran Visual', dan 'Full Caption'. (Kosongkan kolom Link Prompt jika ada)."
),
"")</f>
        <v/>
      </c>
      <c r="L163" s="91" t="n"/>
      <c r="M163" s="91" t="n"/>
      <c r="N163" s="102" t="n"/>
      <c r="O163" s="102" t="n"/>
      <c r="P163" s="102" t="n"/>
      <c r="Q163" s="102" t="n"/>
      <c r="R163" s="102" t="n"/>
      <c r="S163" s="102" t="n"/>
      <c r="T163" s="102" t="n"/>
      <c r="U163" s="102" t="n"/>
      <c r="V163" s="102" t="n"/>
      <c r="W163" s="102" t="n"/>
      <c r="X163" s="102" t="n"/>
      <c r="Y163" s="102" t="n"/>
      <c r="Z163" s="102" t="n"/>
      <c r="AA163" s="102" t="n"/>
      <c r="AB163" s="102" t="n"/>
      <c r="AC163" s="102" t="n"/>
      <c r="AD163" s="102" t="n"/>
    </row>
    <row r="164" ht="15.75" customHeight="1" s="205">
      <c r="A164" s="102" t="n"/>
      <c r="B164" s="147" t="n"/>
      <c r="C164" s="144" t="n"/>
      <c r="D164" s="144" t="n"/>
      <c r="E164" s="144" t="n"/>
      <c r="F164" s="144" t="n"/>
      <c r="G164" s="144" t="n"/>
      <c r="H164" s="141">
        <f>IF(K164&lt;&gt;"", HYPERLINK("https://chatgpt.com/?prompt=" &amp; SUBSTITUTE(SUBSTITUTE(K164, " ", "+"), "&amp;", "dan") &amp; "&amp;force-refresh=true&amp;timestamp=" &amp; TEXT(NOW(), "yyyymmddhhmmss"), "👉 Klik untuk Generate Script! 🔥"), "")</f>
        <v/>
      </c>
      <c r="I164" s="144" t="n"/>
      <c r="J164" s="148" t="n"/>
      <c r="K164" s="140">
        <f>IF(AND(B164&lt;&gt;"", C164&lt;&gt;"", D164&lt;&gt;"", E164&lt;&gt;"", F164&lt;&gt;"", G164&lt;&gt;"", J164&lt;&gt;"", 'CONTENT PILLAR MAPPING'!C66&lt;&gt;"", 'CONTENT PILLAR MAPPING'!E66&lt;&gt;"", 'CONTENT PILLAR MAPPING'!F66&lt;&gt;"", 'CONTENT PILLAR MAPPING'!C69&lt;&gt;"", 'CONTENT PILLAR MAPPING'!C74&lt;&gt;"", 'CONTENT PILLAR MAPPING'!D74&lt;&gt;"", 'CONTENT PILLAR MAPPING'!E74&lt;&gt;"", 'CONTENT PILLAR MAPPING'!D82&lt;&gt;"", 'CONTENT PILLAR MAPPING'!D83&lt;&gt;""),
CONCATENATE(
"Sebagai seorang top konten kreator dengan niche utama '", 'CONTENT PILLAR MAPPING'!C66, "', spesifik kategori '", 'CONTENT PILLAR MAPPING'!E66, "', dan super spesifik '", 'CONTENT PILLAR MAPPING'!F66, "', yang dikenal sebagai '", 'CONTENT PILLAR MAPPING'!C69, "'.", CHAR(10),
"Saya memiliki Tone of Voice: '", 'CONTENT PILLAR MAPPING'!C74, "', Brand Archetype: '", 'CONTENT PILLAR MAPPING'!D74, "', dan Deskripsi Gaya Komunikasi: '", 'CONTENT PILLAR MAPPING'!E74, "'.", CHAR(10),
"Target audiens saya adalah: '", 'CONTENT PILLAR MAPPING'!D82, "', dengan segmentasi audiens: '", 'CONTENT PILLAR MAPPING'!D83, "'.", CHAR(10), CHAR(10),
"Mohon buatkan script konten yang **sangat powerful, menarik, inovatif, dan siap pakai** dengan judul ide '", B164, "'.", CHAR(10),
"Konten ini memiliki pilar '", C164, "', nilai tambah utama '", F164, "', dan akan menggunakan storytelling framework '", G164, "'.", CHAR(10),
"Gambaran singkat ide kontennya adalah: '", J164, "'.", CHAR(10),
"Konten ini akan diunggah di platform '", E164, "' dengan format '", D164,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 "'.** Sesuaikan dengan gaya komunikasi saya, dengan fokus pada nilai tambah '", F164,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 ", khusus ", 'CONTENT PILLAR MAPPING'!D83, ") dan membantu mereka menyelesaikan masalah atau mencapai tujuan mereka.", CHAR(10),
"✔ Membantuku membangun personal branding yang kuat dan sustainable, sesuai dengan Positioning saya sebagai '", 'CONTENT PILLAR MAPPING'!C69, "' dan Brand Archetype '", 'CONTENT PILLAR MAPPING'!D74, "'.", CHAR(10),
"✔ Kemas dalam bentuk tabel agar rapi, mudah di baca dan dipahami, dengan kolom 'Judul Konten', 'Pilar', 'Format', 'Draft Script', 'CTA', 'Saran Visual', dan 'Full Caption'. (Kosongkan kolom Link Prompt jika ada)."
),
"")</f>
        <v/>
      </c>
      <c r="L164" s="199" t="n"/>
      <c r="M164" s="199" t="n"/>
      <c r="N164" s="102" t="n"/>
      <c r="O164" s="102" t="n"/>
      <c r="P164" s="102" t="n"/>
      <c r="Q164" s="102" t="n"/>
      <c r="R164" s="102" t="n"/>
      <c r="S164" s="102" t="n"/>
      <c r="T164" s="102" t="n"/>
      <c r="U164" s="102" t="n"/>
      <c r="V164" s="102" t="n"/>
      <c r="W164" s="102" t="n"/>
      <c r="X164" s="102" t="n"/>
      <c r="Y164" s="102" t="n"/>
      <c r="Z164" s="102" t="n"/>
      <c r="AA164" s="102" t="n"/>
      <c r="AB164" s="102" t="n"/>
      <c r="AC164" s="102" t="n"/>
      <c r="AD164" s="102" t="n"/>
    </row>
    <row r="165" ht="15.75" customHeight="1" s="205">
      <c r="A165" s="102" t="n"/>
      <c r="B165" s="142" t="n"/>
      <c r="C165" s="143" t="n"/>
      <c r="D165" s="143" t="n"/>
      <c r="E165" s="143" t="n"/>
      <c r="F165" s="143" t="n"/>
      <c r="G165" s="144" t="n"/>
      <c r="H165" s="145">
        <f>IF(K165&lt;&gt;"", HYPERLINK("https://chatgpt.com/?prompt=" &amp; SUBSTITUTE(SUBSTITUTE(K165, " ", "+"), "&amp;", "dan") &amp; "&amp;force-refresh=true&amp;timestamp=" &amp; TEXT(NOW(), "yyyymmddhhmmss"), "👉 Klik untuk Generate Script! 🔥"), "")</f>
        <v/>
      </c>
      <c r="I165" s="143" t="n"/>
      <c r="J165" s="146" t="n"/>
      <c r="K165" s="130">
        <f>IF(AND(B165&lt;&gt;"", C165&lt;&gt;"", D165&lt;&gt;"", E165&lt;&gt;"", F165&lt;&gt;"", G165&lt;&gt;"", J165&lt;&gt;"", 'CONTENT PILLAR MAPPING'!C68&lt;&gt;"", 'CONTENT PILLAR MAPPING'!E68&lt;&gt;"", 'CONTENT PILLAR MAPPING'!F68&lt;&gt;"", 'CONTENT PILLAR MAPPING'!C71&lt;&gt;"", 'CONTENT PILLAR MAPPING'!C76&lt;&gt;"", 'CONTENT PILLAR MAPPING'!D76&lt;&gt;"", 'CONTENT PILLAR MAPPING'!E76&lt;&gt;"", 'CONTENT PILLAR MAPPING'!D84&lt;&gt;"", 'CONTENT PILLAR MAPPING'!D85&lt;&gt;""),
CONCATENATE(
"Sebagai seorang top konten kreator dengan niche utama '", 'CONTENT PILLAR MAPPING'!C68, "', spesifik kategori '", 'CONTENT PILLAR MAPPING'!E68, "', dan super spesifik '", 'CONTENT PILLAR MAPPING'!F68, "', yang dikenal sebagai '", 'CONTENT PILLAR MAPPING'!C71, "'.", CHAR(10),
"Saya memiliki Tone of Voice: '", 'CONTENT PILLAR MAPPING'!C76, "', Brand Archetype: '", 'CONTENT PILLAR MAPPING'!D76, "', dan Deskripsi Gaya Komunikasi: '", 'CONTENT PILLAR MAPPING'!E76, "'.", CHAR(10),
"Target audiens saya adalah: '", 'CONTENT PILLAR MAPPING'!D84, "', dengan segmentasi audiens: '", 'CONTENT PILLAR MAPPING'!D85, "'.", CHAR(10), CHAR(10),
"Mohon buatkan script konten yang **sangat powerful, menarik, inovatif, dan siap pakai** dengan judul ide '", B165, "'.", CHAR(10),
"Konten ini memiliki pilar '", C165, "', nilai tambah utama '", F165, "', dan akan menggunakan storytelling framework '", G165, "'.", CHAR(10),
"Gambaran singkat ide kontennya adalah: '", J165, "'.", CHAR(10),
"Konten ini akan diunggah di platform '", E165, "' dengan format '", D165,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 "'.** Sesuaikan dengan gaya komunikasi saya, dengan fokus pada nilai tambah '", F165,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 ", khusus ", 'CONTENT PILLAR MAPPING'!D85, ") dan membantu mereka menyelesaikan masalah atau mencapai tujuan mereka.", CHAR(10),
"✔ Membantuku membangun personal branding yang kuat dan sustainable, sesuai dengan Positioning saya sebagai '", 'CONTENT PILLAR MAPPING'!C71, "' dan Brand Archetype '", 'CONTENT PILLAR MAPPING'!D76, "'.", CHAR(10),
"✔ Kemas dalam bentuk tabel agar rapi, mudah di baca dan dipahami, dengan kolom 'Judul Konten', 'Pilar', 'Format', 'Draft Script', 'CTA', 'Saran Visual', dan 'Full Caption'. (Kosongkan kolom Link Prompt jika ada)."
),
"")</f>
        <v/>
      </c>
      <c r="L165" s="91" t="n"/>
      <c r="M165" s="91" t="n"/>
      <c r="N165" s="102" t="n"/>
      <c r="O165" s="102" t="n"/>
      <c r="P165" s="102" t="n"/>
      <c r="Q165" s="102" t="n"/>
      <c r="R165" s="102" t="n"/>
      <c r="S165" s="102" t="n"/>
      <c r="T165" s="102" t="n"/>
      <c r="U165" s="102" t="n"/>
      <c r="V165" s="102" t="n"/>
      <c r="W165" s="102" t="n"/>
      <c r="X165" s="102" t="n"/>
      <c r="Y165" s="102" t="n"/>
      <c r="Z165" s="102" t="n"/>
      <c r="AA165" s="102" t="n"/>
      <c r="AB165" s="102" t="n"/>
      <c r="AC165" s="102" t="n"/>
      <c r="AD165" s="102" t="n"/>
    </row>
    <row r="166" ht="15.75" customHeight="1" s="205">
      <c r="A166" s="102" t="n"/>
      <c r="B166" s="147" t="n"/>
      <c r="C166" s="144" t="n"/>
      <c r="D166" s="144" t="n"/>
      <c r="E166" s="144" t="n"/>
      <c r="F166" s="144" t="n"/>
      <c r="G166" s="144" t="n"/>
      <c r="H166" s="141">
        <f>IF(K166&lt;&gt;"", HYPERLINK("https://chatgpt.com/?prompt=" &amp; SUBSTITUTE(SUBSTITUTE(K166, " ", "+"), "&amp;", "dan") &amp; "&amp;force-refresh=true&amp;timestamp=" &amp; TEXT(NOW(), "yyyymmddhhmmss"), "👉 Klik untuk Generate Script! 🔥"), "")</f>
        <v/>
      </c>
      <c r="I166" s="144" t="n"/>
      <c r="J166" s="148" t="n"/>
      <c r="K166" s="140">
        <f>IF(AND(B166&lt;&gt;"", C166&lt;&gt;"", D166&lt;&gt;"", E166&lt;&gt;"", F166&lt;&gt;"", G166&lt;&gt;"", J166&lt;&gt;"", 'CONTENT PILLAR MAPPING'!C68&lt;&gt;"", 'CONTENT PILLAR MAPPING'!E68&lt;&gt;"", 'CONTENT PILLAR MAPPING'!F68&lt;&gt;"", 'CONTENT PILLAR MAPPING'!C71&lt;&gt;"", 'CONTENT PILLAR MAPPING'!C76&lt;&gt;"", 'CONTENT PILLAR MAPPING'!D76&lt;&gt;"", 'CONTENT PILLAR MAPPING'!E76&lt;&gt;"", 'CONTENT PILLAR MAPPING'!D84&lt;&gt;"", 'CONTENT PILLAR MAPPING'!D85&lt;&gt;""),
CONCATENATE(
"Sebagai seorang top konten kreator dengan niche utama '", 'CONTENT PILLAR MAPPING'!C68, "', spesifik kategori '", 'CONTENT PILLAR MAPPING'!E68, "', dan super spesifik '", 'CONTENT PILLAR MAPPING'!F68, "', yang dikenal sebagai '", 'CONTENT PILLAR MAPPING'!C71, "'.", CHAR(10),
"Saya memiliki Tone of Voice: '", 'CONTENT PILLAR MAPPING'!C76, "', Brand Archetype: '", 'CONTENT PILLAR MAPPING'!D76, "', dan Deskripsi Gaya Komunikasi: '", 'CONTENT PILLAR MAPPING'!E76, "'.", CHAR(10),
"Target audiens saya adalah: '", 'CONTENT PILLAR MAPPING'!D84, "', dengan segmentasi audiens: '", 'CONTENT PILLAR MAPPING'!D85, "'.", CHAR(10), CHAR(10),
"Mohon buatkan script konten yang **sangat powerful, menarik, inovatif, dan siap pakai** dengan judul ide '", B166, "'.", CHAR(10),
"Konten ini memiliki pilar '", C166, "', nilai tambah utama '", F166, "', dan akan menggunakan storytelling framework '", G166, "'.", CHAR(10),
"Gambaran singkat ide kontennya adalah: '", J166, "'.", CHAR(10),
"Konten ini akan diunggah di platform '", E166, "' dengan format '", D166,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 "'.** Sesuaikan dengan gaya komunikasi saya, dengan fokus pada nilai tambah '", F166,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 ", khusus ", 'CONTENT PILLAR MAPPING'!D85, ") dan membantu mereka menyelesaikan masalah atau mencapai tujuan mereka.", CHAR(10),
"✔ Membantuku membangun personal branding yang kuat dan sustainable, sesuai dengan Positioning saya sebagai '", 'CONTENT PILLAR MAPPING'!C71, "' dan Brand Archetype '", 'CONTENT PILLAR MAPPING'!D76, "'.", CHAR(10),
"✔ Kemas dalam bentuk tabel agar rapi, mudah di baca dan dipahami, dengan kolom 'Judul Konten', 'Pilar', 'Format', 'Draft Script', 'CTA', 'Saran Visual', dan 'Full Caption'. (Kosongkan kolom Link Prompt jika ada)."
),
"")</f>
        <v/>
      </c>
      <c r="L166" s="199" t="n"/>
      <c r="M166" s="199" t="n"/>
      <c r="N166" s="102" t="n"/>
      <c r="O166" s="102" t="n"/>
      <c r="P166" s="102" t="n"/>
      <c r="Q166" s="102" t="n"/>
      <c r="R166" s="102" t="n"/>
      <c r="S166" s="102" t="n"/>
      <c r="T166" s="102" t="n"/>
      <c r="U166" s="102" t="n"/>
      <c r="V166" s="102" t="n"/>
      <c r="W166" s="102" t="n"/>
      <c r="X166" s="102" t="n"/>
      <c r="Y166" s="102" t="n"/>
      <c r="Z166" s="102" t="n"/>
      <c r="AA166" s="102" t="n"/>
      <c r="AB166" s="102" t="n"/>
      <c r="AC166" s="102" t="n"/>
      <c r="AD166" s="102" t="n"/>
    </row>
    <row r="167" ht="15.75" customHeight="1" s="205">
      <c r="A167" s="102" t="n"/>
      <c r="B167" s="142" t="n"/>
      <c r="C167" s="143" t="n"/>
      <c r="D167" s="143" t="n"/>
      <c r="E167" s="143" t="n"/>
      <c r="F167" s="143" t="n"/>
      <c r="G167" s="144" t="n"/>
      <c r="H167" s="145">
        <f>IF(K167&lt;&gt;"", HYPERLINK("https://chatgpt.com/?prompt=" &amp; SUBSTITUTE(SUBSTITUTE(K167, " ", "+"), "&amp;", "dan") &amp; "&amp;force-refresh=true&amp;timestamp=" &amp; TEXT(NOW(), "yyyymmddhhmmss"), "👉 Klik untuk Generate Script! 🔥"), "")</f>
        <v/>
      </c>
      <c r="I167" s="143" t="n"/>
      <c r="J167" s="146" t="n"/>
      <c r="K167" s="130">
        <f>IF(AND(B167&lt;&gt;"", C167&lt;&gt;"", D167&lt;&gt;"", E167&lt;&gt;"", F167&lt;&gt;"", G167&lt;&gt;"", J167&lt;&gt;"", 'CONTENT PILLAR MAPPING'!C70&lt;&gt;"", 'CONTENT PILLAR MAPPING'!E70&lt;&gt;"", 'CONTENT PILLAR MAPPING'!F70&lt;&gt;"", 'CONTENT PILLAR MAPPING'!C73&lt;&gt;"", 'CONTENT PILLAR MAPPING'!C78&lt;&gt;"", 'CONTENT PILLAR MAPPING'!D78&lt;&gt;"", 'CONTENT PILLAR MAPPING'!E78&lt;&gt;"", 'CONTENT PILLAR MAPPING'!D86&lt;&gt;"", 'CONTENT PILLAR MAPPING'!D87&lt;&gt;""),
CONCATENATE(
"Sebagai seorang top konten kreator dengan niche utama '", 'CONTENT PILLAR MAPPING'!C70, "', spesifik kategori '", 'CONTENT PILLAR MAPPING'!E70, "', dan super spesifik '", 'CONTENT PILLAR MAPPING'!F70, "', yang dikenal sebagai '", 'CONTENT PILLAR MAPPING'!C73, "'.", CHAR(10),
"Saya memiliki Tone of Voice: '", 'CONTENT PILLAR MAPPING'!C78, "', Brand Archetype: '", 'CONTENT PILLAR MAPPING'!D78, "', dan Deskripsi Gaya Komunikasi: '", 'CONTENT PILLAR MAPPING'!E78, "'.", CHAR(10),
"Target audiens saya adalah: '", 'CONTENT PILLAR MAPPING'!D86, "', dengan segmentasi audiens: '", 'CONTENT PILLAR MAPPING'!D87, "'.", CHAR(10), CHAR(10),
"Mohon buatkan script konten yang **sangat powerful, menarik, inovatif, dan siap pakai** dengan judul ide '", B167, "'.", CHAR(10),
"Konten ini memiliki pilar '", C167, "', nilai tambah utama '", F167, "', dan akan menggunakan storytelling framework '", G167, "'.", CHAR(10),
"Gambaran singkat ide kontennya adalah: '", J167, "'.", CHAR(10),
"Konten ini akan diunggah di platform '", E167, "' dengan format '", D167,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 "'.** Sesuaikan dengan gaya komunikasi saya, dengan fokus pada nilai tambah '", F167,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 ", khusus ", 'CONTENT PILLAR MAPPING'!D87, ") dan membantu mereka menyelesaikan masalah atau mencapai tujuan mereka.", CHAR(10),
"✔ Membantuku membangun personal branding yang kuat dan sustainable, sesuai dengan Positioning saya sebagai '", 'CONTENT PILLAR MAPPING'!C73, "' dan Brand Archetype '", 'CONTENT PILLAR MAPPING'!D78, "'.", CHAR(10),
"✔ Kemas dalam bentuk tabel agar rapi, mudah di baca dan dipahami, dengan kolom 'Judul Konten', 'Pilar', 'Format', 'Draft Script', 'CTA', 'Saran Visual', dan 'Full Caption'. (Kosongkan kolom Link Prompt jika ada)."
),
"")</f>
        <v/>
      </c>
      <c r="L167" s="91" t="n"/>
      <c r="M167" s="91" t="n"/>
      <c r="N167" s="102" t="n"/>
      <c r="O167" s="102" t="n"/>
      <c r="P167" s="102" t="n"/>
      <c r="Q167" s="102" t="n"/>
      <c r="R167" s="102" t="n"/>
      <c r="S167" s="102" t="n"/>
      <c r="T167" s="102" t="n"/>
      <c r="U167" s="102" t="n"/>
      <c r="V167" s="102" t="n"/>
      <c r="W167" s="102" t="n"/>
      <c r="X167" s="102" t="n"/>
      <c r="Y167" s="102" t="n"/>
      <c r="Z167" s="102" t="n"/>
      <c r="AA167" s="102" t="n"/>
      <c r="AB167" s="102" t="n"/>
      <c r="AC167" s="102" t="n"/>
      <c r="AD167" s="102" t="n"/>
    </row>
    <row r="168" ht="15.75" customHeight="1" s="205">
      <c r="A168" s="102" t="n"/>
      <c r="B168" s="147" t="n"/>
      <c r="C168" s="144" t="n"/>
      <c r="D168" s="144" t="n"/>
      <c r="E168" s="144" t="n"/>
      <c r="F168" s="144" t="n"/>
      <c r="G168" s="144" t="n"/>
      <c r="H168" s="141">
        <f>IF(K168&lt;&gt;"", HYPERLINK("https://chatgpt.com/?prompt=" &amp; SUBSTITUTE(SUBSTITUTE(K168, " ", "+"), "&amp;", "dan") &amp; "&amp;force-refresh=true&amp;timestamp=" &amp; TEXT(NOW(), "yyyymmddhhmmss"), "👉 Klik untuk Generate Script! 🔥"), "")</f>
        <v/>
      </c>
      <c r="I168" s="144" t="n"/>
      <c r="J168" s="148" t="n"/>
      <c r="K168" s="140">
        <f>IF(AND(B168&lt;&gt;"", C168&lt;&gt;"", D168&lt;&gt;"", E168&lt;&gt;"", F168&lt;&gt;"", G168&lt;&gt;"", J168&lt;&gt;"", 'CONTENT PILLAR MAPPING'!C70&lt;&gt;"", 'CONTENT PILLAR MAPPING'!E70&lt;&gt;"", 'CONTENT PILLAR MAPPING'!F70&lt;&gt;"", 'CONTENT PILLAR MAPPING'!C73&lt;&gt;"", 'CONTENT PILLAR MAPPING'!C78&lt;&gt;"", 'CONTENT PILLAR MAPPING'!D78&lt;&gt;"", 'CONTENT PILLAR MAPPING'!E78&lt;&gt;"", 'CONTENT PILLAR MAPPING'!D86&lt;&gt;"", 'CONTENT PILLAR MAPPING'!D87&lt;&gt;""),
CONCATENATE(
"Sebagai seorang top konten kreator dengan niche utama '", 'CONTENT PILLAR MAPPING'!C70, "', spesifik kategori '", 'CONTENT PILLAR MAPPING'!E70, "', dan super spesifik '", 'CONTENT PILLAR MAPPING'!F70, "', yang dikenal sebagai '", 'CONTENT PILLAR MAPPING'!C73, "'.", CHAR(10),
"Saya memiliki Tone of Voice: '", 'CONTENT PILLAR MAPPING'!C78, "', Brand Archetype: '", 'CONTENT PILLAR MAPPING'!D78, "', dan Deskripsi Gaya Komunikasi: '", 'CONTENT PILLAR MAPPING'!E78, "'.", CHAR(10),
"Target audiens saya adalah: '", 'CONTENT PILLAR MAPPING'!D86, "', dengan segmentasi audiens: '", 'CONTENT PILLAR MAPPING'!D87, "'.", CHAR(10), CHAR(10),
"Mohon buatkan script konten yang **sangat powerful, menarik, inovatif, dan siap pakai** dengan judul ide '", B168, "'.", CHAR(10),
"Konten ini memiliki pilar '", C168, "', nilai tambah utama '", F168, "', dan akan menggunakan storytelling framework '", G168, "'.", CHAR(10),
"Gambaran singkat ide kontennya adalah: '", J168, "'.", CHAR(10),
"Konten ini akan diunggah di platform '", E168, "' dengan format '", D168,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 "'.** Sesuaikan dengan gaya komunikasi saya, dengan fokus pada nilai tambah '", F168,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 ", khusus ", 'CONTENT PILLAR MAPPING'!D87, ") dan membantu mereka menyelesaikan masalah atau mencapai tujuan mereka.", CHAR(10),
"✔ Membantuku membangun personal branding yang kuat dan sustainable, sesuai dengan Positioning saya sebagai '", 'CONTENT PILLAR MAPPING'!C73, "' dan Brand Archetype '", 'CONTENT PILLAR MAPPING'!D78, "'.", CHAR(10),
"✔ Kemas dalam bentuk tabel agar rapi, mudah di baca dan dipahami, dengan kolom 'Judul Konten', 'Pilar', 'Format', 'Draft Script', 'CTA', 'Saran Visual', dan 'Full Caption'. (Kosongkan kolom Link Prompt jika ada)."
),
"")</f>
        <v/>
      </c>
      <c r="L168" s="199" t="n"/>
      <c r="M168" s="199" t="n"/>
      <c r="N168" s="102" t="n"/>
      <c r="O168" s="102" t="n"/>
      <c r="P168" s="102" t="n"/>
      <c r="Q168" s="102" t="n"/>
      <c r="R168" s="102" t="n"/>
      <c r="S168" s="102" t="n"/>
      <c r="T168" s="102" t="n"/>
      <c r="U168" s="102" t="n"/>
      <c r="V168" s="102" t="n"/>
      <c r="W168" s="102" t="n"/>
      <c r="X168" s="102" t="n"/>
      <c r="Y168" s="102" t="n"/>
      <c r="Z168" s="102" t="n"/>
      <c r="AA168" s="102" t="n"/>
      <c r="AB168" s="102" t="n"/>
      <c r="AC168" s="102" t="n"/>
      <c r="AD168" s="102" t="n"/>
    </row>
    <row r="169" ht="15.75" customHeight="1" s="205">
      <c r="A169" s="102" t="n"/>
      <c r="B169" s="142" t="n"/>
      <c r="C169" s="143" t="n"/>
      <c r="D169" s="143" t="n"/>
      <c r="E169" s="143" t="n"/>
      <c r="F169" s="143" t="n"/>
      <c r="G169" s="144" t="n"/>
      <c r="H169" s="145">
        <f>IF(K169&lt;&gt;"", HYPERLINK("https://chatgpt.com/?prompt=" &amp; SUBSTITUTE(SUBSTITUTE(K169, " ", "+"), "&amp;", "dan") &amp; "&amp;force-refresh=true&amp;timestamp=" &amp; TEXT(NOW(), "yyyymmddhhmmss"), "👉 Klik untuk Generate Script! 🔥"), "")</f>
        <v/>
      </c>
      <c r="I169" s="143" t="n"/>
      <c r="J169" s="146" t="n"/>
      <c r="K169" s="130">
        <f>IF(AND(B169&lt;&gt;"", C169&lt;&gt;"", D169&lt;&gt;"", E169&lt;&gt;"", F169&lt;&gt;"", G169&lt;&gt;"", J169&lt;&gt;"", 'CONTENT PILLAR MAPPING'!C72&lt;&gt;"", 'CONTENT PILLAR MAPPING'!E72&lt;&gt;"", 'CONTENT PILLAR MAPPING'!F72&lt;&gt;"", 'CONTENT PILLAR MAPPING'!C75&lt;&gt;"", 'CONTENT PILLAR MAPPING'!C80&lt;&gt;"", 'CONTENT PILLAR MAPPING'!D80&lt;&gt;"", 'CONTENT PILLAR MAPPING'!E80&lt;&gt;"", 'CONTENT PILLAR MAPPING'!D88&lt;&gt;"", 'CONTENT PILLAR MAPPING'!D89&lt;&gt;""),
CONCATENATE(
"Sebagai seorang top konten kreator dengan niche utama '", 'CONTENT PILLAR MAPPING'!C72, "', spesifik kategori '", 'CONTENT PILLAR MAPPING'!E72, "', dan super spesifik '", 'CONTENT PILLAR MAPPING'!F72, "', yang dikenal sebagai '", 'CONTENT PILLAR MAPPING'!C75, "'.", CHAR(10),
"Saya memiliki Tone of Voice: '", 'CONTENT PILLAR MAPPING'!C80, "', Brand Archetype: '", 'CONTENT PILLAR MAPPING'!D80, "', dan Deskripsi Gaya Komunikasi: '", 'CONTENT PILLAR MAPPING'!E80, "'.", CHAR(10),
"Target audiens saya adalah: '", 'CONTENT PILLAR MAPPING'!D88, "', dengan segmentasi audiens: '", 'CONTENT PILLAR MAPPING'!D89, "'.", CHAR(10), CHAR(10),
"Mohon buatkan script konten yang **sangat powerful, menarik, inovatif, dan siap pakai** dengan judul ide '", B169, "'.", CHAR(10),
"Konten ini memiliki pilar '", C169, "', nilai tambah utama '", F169, "', dan akan menggunakan storytelling framework '", G169, "'.", CHAR(10),
"Gambaran singkat ide kontennya adalah: '", J169, "'.", CHAR(10),
"Konten ini akan diunggah di platform '", E169, "' dengan format '", D169,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 "'.** Sesuaikan dengan gaya komunikasi saya, dengan fokus pada nilai tambah '", F169,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 ", khusus ", 'CONTENT PILLAR MAPPING'!D89, ") dan membantu mereka menyelesaikan masalah atau mencapai tujuan mereka.", CHAR(10),
"✔ Membantuku membangun personal branding yang kuat dan sustainable, sesuai dengan Positioning saya sebagai '", 'CONTENT PILLAR MAPPING'!C75, "' dan Brand Archetype '", 'CONTENT PILLAR MAPPING'!D80, "'.", CHAR(10),
"✔ Kemas dalam bentuk tabel agar rapi, mudah di baca dan dipahami, dengan kolom 'Judul Konten', 'Pilar', 'Format', 'Draft Script', 'CTA', 'Saran Visual', dan 'Full Caption'. (Kosongkan kolom Link Prompt jika ada)."
),
"")</f>
        <v/>
      </c>
      <c r="L169" s="91" t="n"/>
      <c r="M169" s="91" t="n"/>
      <c r="N169" s="102" t="n"/>
      <c r="O169" s="102" t="n"/>
      <c r="P169" s="102" t="n"/>
      <c r="Q169" s="102" t="n"/>
      <c r="R169" s="102" t="n"/>
      <c r="S169" s="102" t="n"/>
      <c r="T169" s="102" t="n"/>
      <c r="U169" s="102" t="n"/>
      <c r="V169" s="102" t="n"/>
      <c r="W169" s="102" t="n"/>
      <c r="X169" s="102" t="n"/>
      <c r="Y169" s="102" t="n"/>
      <c r="Z169" s="102" t="n"/>
      <c r="AA169" s="102" t="n"/>
      <c r="AB169" s="102" t="n"/>
      <c r="AC169" s="102" t="n"/>
      <c r="AD169" s="102" t="n"/>
    </row>
    <row r="170" ht="15.75" customHeight="1" s="205">
      <c r="A170" s="102" t="n"/>
      <c r="B170" s="147" t="n"/>
      <c r="C170" s="144" t="n"/>
      <c r="D170" s="144" t="n"/>
      <c r="E170" s="144" t="n"/>
      <c r="F170" s="144" t="n"/>
      <c r="G170" s="144" t="n"/>
      <c r="H170" s="141">
        <f>IF(K170&lt;&gt;"", HYPERLINK("https://chatgpt.com/?prompt=" &amp; SUBSTITUTE(SUBSTITUTE(K170, " ", "+"), "&amp;", "dan") &amp; "&amp;force-refresh=true&amp;timestamp=" &amp; TEXT(NOW(), "yyyymmddhhmmss"), "👉 Klik untuk Generate Script! 🔥"), "")</f>
        <v/>
      </c>
      <c r="I170" s="144" t="n"/>
      <c r="J170" s="148" t="n"/>
      <c r="K170" s="140">
        <f>IF(AND(B170&lt;&gt;"", C170&lt;&gt;"", D170&lt;&gt;"", E170&lt;&gt;"", F170&lt;&gt;"", G170&lt;&gt;"", J170&lt;&gt;"", 'CONTENT PILLAR MAPPING'!C72&lt;&gt;"", 'CONTENT PILLAR MAPPING'!E72&lt;&gt;"", 'CONTENT PILLAR MAPPING'!F72&lt;&gt;"", 'CONTENT PILLAR MAPPING'!C75&lt;&gt;"", 'CONTENT PILLAR MAPPING'!C80&lt;&gt;"", 'CONTENT PILLAR MAPPING'!D80&lt;&gt;"", 'CONTENT PILLAR MAPPING'!E80&lt;&gt;"", 'CONTENT PILLAR MAPPING'!D88&lt;&gt;"", 'CONTENT PILLAR MAPPING'!D89&lt;&gt;""),
CONCATENATE(
"Sebagai seorang top konten kreator dengan niche utama '", 'CONTENT PILLAR MAPPING'!C72, "', spesifik kategori '", 'CONTENT PILLAR MAPPING'!E72, "', dan super spesifik '", 'CONTENT PILLAR MAPPING'!F72, "', yang dikenal sebagai '", 'CONTENT PILLAR MAPPING'!C75, "'.", CHAR(10),
"Saya memiliki Tone of Voice: '", 'CONTENT PILLAR MAPPING'!C80, "', Brand Archetype: '", 'CONTENT PILLAR MAPPING'!D80, "', dan Deskripsi Gaya Komunikasi: '", 'CONTENT PILLAR MAPPING'!E80, "'.", CHAR(10),
"Target audiens saya adalah: '", 'CONTENT PILLAR MAPPING'!D88, "', dengan segmentasi audiens: '", 'CONTENT PILLAR MAPPING'!D89, "'.", CHAR(10), CHAR(10),
"Mohon buatkan script konten yang **sangat powerful, menarik, inovatif, dan siap pakai** dengan judul ide '", B170, "'.", CHAR(10),
"Konten ini memiliki pilar '", C170, "', nilai tambah utama '", F170, "', dan akan menggunakan storytelling framework '", G170, "'.", CHAR(10),
"Gambaran singkat ide kontennya adalah: '", J170, "'.", CHAR(10),
"Konten ini akan diunggah di platform '", E170, "' dengan format '", D170,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 "'.** Sesuaikan dengan gaya komunikasi saya, dengan fokus pada nilai tambah '", F170,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 ", khusus ", 'CONTENT PILLAR MAPPING'!D89, ") dan membantu mereka menyelesaikan masalah atau mencapai tujuan mereka.", CHAR(10),
"✔ Membantuku membangun personal branding yang kuat dan sustainable, sesuai dengan Positioning saya sebagai '", 'CONTENT PILLAR MAPPING'!C75, "' dan Brand Archetype '", 'CONTENT PILLAR MAPPING'!D80, "'.", CHAR(10),
"✔ Kemas dalam bentuk tabel agar rapi, mudah di baca dan dipahami, dengan kolom 'Judul Konten', 'Pilar', 'Format', 'Draft Script', 'CTA', 'Saran Visual', dan 'Full Caption'. (Kosongkan kolom Link Prompt jika ada)."
),
"")</f>
        <v/>
      </c>
      <c r="L170" s="199" t="n"/>
      <c r="M170" s="199" t="n"/>
      <c r="N170" s="102" t="n"/>
      <c r="O170" s="102" t="n"/>
      <c r="P170" s="102" t="n"/>
      <c r="Q170" s="102" t="n"/>
      <c r="R170" s="102" t="n"/>
      <c r="S170" s="102" t="n"/>
      <c r="T170" s="102" t="n"/>
      <c r="U170" s="102" t="n"/>
      <c r="V170" s="102" t="n"/>
      <c r="W170" s="102" t="n"/>
      <c r="X170" s="102" t="n"/>
      <c r="Y170" s="102" t="n"/>
      <c r="Z170" s="102" t="n"/>
      <c r="AA170" s="102" t="n"/>
      <c r="AB170" s="102" t="n"/>
      <c r="AC170" s="102" t="n"/>
      <c r="AD170" s="102" t="n"/>
    </row>
    <row r="171" ht="15.75" customHeight="1" s="205">
      <c r="A171" s="102" t="n"/>
      <c r="B171" s="142" t="n"/>
      <c r="C171" s="143" t="n"/>
      <c r="D171" s="143" t="n"/>
      <c r="E171" s="143" t="n"/>
      <c r="F171" s="143" t="n"/>
      <c r="G171" s="144" t="n"/>
      <c r="H171" s="145">
        <f>IF(K171&lt;&gt;"", HYPERLINK("https://chatgpt.com/?prompt=" &amp; SUBSTITUTE(SUBSTITUTE(K171, " ", "+"), "&amp;", "dan") &amp; "&amp;force-refresh=true&amp;timestamp=" &amp; TEXT(NOW(), "yyyymmddhhmmss"), "👉 Klik untuk Generate Script! 🔥"), "")</f>
        <v/>
      </c>
      <c r="I171" s="143" t="n"/>
      <c r="J171" s="146" t="n"/>
      <c r="K171" s="130">
        <f>IF(AND(B171&lt;&gt;"", C171&lt;&gt;"", D171&lt;&gt;"", E171&lt;&gt;"", F171&lt;&gt;"", G171&lt;&gt;"", J171&lt;&gt;"", 'CONTENT PILLAR MAPPING'!C74&lt;&gt;"", 'CONTENT PILLAR MAPPING'!E74&lt;&gt;"", 'CONTENT PILLAR MAPPING'!F74&lt;&gt;"", 'CONTENT PILLAR MAPPING'!C77&lt;&gt;"", 'CONTENT PILLAR MAPPING'!C82&lt;&gt;"", 'CONTENT PILLAR MAPPING'!D82&lt;&gt;"", 'CONTENT PILLAR MAPPING'!E82&lt;&gt;"", 'CONTENT PILLAR MAPPING'!D90&lt;&gt;"", 'CONTENT PILLAR MAPPING'!D91&lt;&gt;""),
CONCATENATE(
"Sebagai seorang top konten kreator dengan niche utama '", 'CONTENT PILLAR MAPPING'!C74, "', spesifik kategori '", 'CONTENT PILLAR MAPPING'!E74, "', dan super spesifik '", 'CONTENT PILLAR MAPPING'!F74, "', yang dikenal sebagai '", 'CONTENT PILLAR MAPPING'!C77, "'.", CHAR(10),
"Saya memiliki Tone of Voice: '", 'CONTENT PILLAR MAPPING'!C82, "', Brand Archetype: '", 'CONTENT PILLAR MAPPING'!D82, "', dan Deskripsi Gaya Komunikasi: '", 'CONTENT PILLAR MAPPING'!E82, "'.", CHAR(10),
"Target audiens saya adalah: '", 'CONTENT PILLAR MAPPING'!D90, "', dengan segmentasi audiens: '", 'CONTENT PILLAR MAPPING'!D91, "'.", CHAR(10), CHAR(10),
"Mohon buatkan script konten yang **sangat powerful, menarik, inovatif, dan siap pakai** dengan judul ide '", B171, "'.", CHAR(10),
"Konten ini memiliki pilar '", C171, "', nilai tambah utama '", F171, "', dan akan menggunakan storytelling framework '", G171, "'.", CHAR(10),
"Gambaran singkat ide kontennya adalah: '", J171, "'.", CHAR(10),
"Konten ini akan diunggah di platform '", E171, "' dengan format '", D171,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 "'.** Sesuaikan dengan gaya komunikasi saya, dengan fokus pada nilai tambah '", F171,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 ", khusus ", 'CONTENT PILLAR MAPPING'!D91, ") dan membantu mereka menyelesaikan masalah atau mencapai tujuan mereka.", CHAR(10),
"✔ Membantuku membangun personal branding yang kuat dan sustainable, sesuai dengan Positioning saya sebagai '", 'CONTENT PILLAR MAPPING'!C77, "' dan Brand Archetype '", 'CONTENT PILLAR MAPPING'!D82, "'.", CHAR(10),
"✔ Kemas dalam bentuk tabel agar rapi, mudah di baca dan dipahami, dengan kolom 'Judul Konten', 'Pilar', 'Format', 'Draft Script', 'CTA', 'Saran Visual', dan 'Full Caption'. (Kosongkan kolom Link Prompt jika ada)."
),
"")</f>
        <v/>
      </c>
      <c r="L171" s="91" t="n"/>
      <c r="M171" s="91" t="n"/>
      <c r="N171" s="102" t="n"/>
      <c r="O171" s="102" t="n"/>
      <c r="P171" s="102" t="n"/>
      <c r="Q171" s="102" t="n"/>
      <c r="R171" s="102" t="n"/>
      <c r="S171" s="102" t="n"/>
      <c r="T171" s="102" t="n"/>
      <c r="U171" s="102" t="n"/>
      <c r="V171" s="102" t="n"/>
      <c r="W171" s="102" t="n"/>
      <c r="X171" s="102" t="n"/>
      <c r="Y171" s="102" t="n"/>
      <c r="Z171" s="102" t="n"/>
      <c r="AA171" s="102" t="n"/>
      <c r="AB171" s="102" t="n"/>
      <c r="AC171" s="102" t="n"/>
      <c r="AD171" s="102" t="n"/>
    </row>
    <row r="172" ht="15.75" customHeight="1" s="205">
      <c r="A172" s="102" t="n"/>
      <c r="B172" s="147" t="n"/>
      <c r="C172" s="144" t="n"/>
      <c r="D172" s="144" t="n"/>
      <c r="E172" s="144" t="n"/>
      <c r="F172" s="144" t="n"/>
      <c r="G172" s="144" t="n"/>
      <c r="H172" s="141">
        <f>IF(K172&lt;&gt;"", HYPERLINK("https://chatgpt.com/?prompt=" &amp; SUBSTITUTE(SUBSTITUTE(K172, " ", "+"), "&amp;", "dan") &amp; "&amp;force-refresh=true&amp;timestamp=" &amp; TEXT(NOW(), "yyyymmddhhmmss"), "👉 Klik untuk Generate Script! 🔥"), "")</f>
        <v/>
      </c>
      <c r="I172" s="144" t="n"/>
      <c r="J172" s="148" t="n"/>
      <c r="K172" s="140">
        <f>IF(AND(B172&lt;&gt;"", C172&lt;&gt;"", D172&lt;&gt;"", E172&lt;&gt;"", F172&lt;&gt;"", G172&lt;&gt;"", J172&lt;&gt;"", 'CONTENT PILLAR MAPPING'!C74&lt;&gt;"", 'CONTENT PILLAR MAPPING'!E74&lt;&gt;"", 'CONTENT PILLAR MAPPING'!F74&lt;&gt;"", 'CONTENT PILLAR MAPPING'!C77&lt;&gt;"", 'CONTENT PILLAR MAPPING'!C82&lt;&gt;"", 'CONTENT PILLAR MAPPING'!D82&lt;&gt;"", 'CONTENT PILLAR MAPPING'!E82&lt;&gt;"", 'CONTENT PILLAR MAPPING'!D90&lt;&gt;"", 'CONTENT PILLAR MAPPING'!D91&lt;&gt;""),
CONCATENATE(
"Sebagai seorang top konten kreator dengan niche utama '", 'CONTENT PILLAR MAPPING'!C74, "', spesifik kategori '", 'CONTENT PILLAR MAPPING'!E74, "', dan super spesifik '", 'CONTENT PILLAR MAPPING'!F74, "', yang dikenal sebagai '", 'CONTENT PILLAR MAPPING'!C77, "'.", CHAR(10),
"Saya memiliki Tone of Voice: '", 'CONTENT PILLAR MAPPING'!C82, "', Brand Archetype: '", 'CONTENT PILLAR MAPPING'!D82, "', dan Deskripsi Gaya Komunikasi: '", 'CONTENT PILLAR MAPPING'!E82, "'.", CHAR(10),
"Target audiens saya adalah: '", 'CONTENT PILLAR MAPPING'!D90, "', dengan segmentasi audiens: '", 'CONTENT PILLAR MAPPING'!D91, "'.", CHAR(10), CHAR(10),
"Mohon buatkan script konten yang **sangat powerful, menarik, inovatif, dan siap pakai** dengan judul ide '", B172, "'.", CHAR(10),
"Konten ini memiliki pilar '", C172, "', nilai tambah utama '", F172, "', dan akan menggunakan storytelling framework '", G172, "'.", CHAR(10),
"Gambaran singkat ide kontennya adalah: '", J172, "'.", CHAR(10),
"Konten ini akan diunggah di platform '", E172, "' dengan format '", D172,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 "'.** Sesuaikan dengan gaya komunikasi saya, dengan fokus pada nilai tambah '", F172,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 ", khusus ", 'CONTENT PILLAR MAPPING'!D91, ") dan membantu mereka menyelesaikan masalah atau mencapai tujuan mereka.", CHAR(10),
"✔ Membantuku membangun personal branding yang kuat dan sustainable, sesuai dengan Positioning saya sebagai '", 'CONTENT PILLAR MAPPING'!C77, "' dan Brand Archetype '", 'CONTENT PILLAR MAPPING'!D82, "'.", CHAR(10),
"✔ Kemas dalam bentuk tabel agar rapi, mudah di baca dan dipahami, dengan kolom 'Judul Konten', 'Pilar', 'Format', 'Draft Script', 'CTA', 'Saran Visual', dan 'Full Caption'. (Kosongkan kolom Link Prompt jika ada)."
),
"")</f>
        <v/>
      </c>
      <c r="L172" s="199" t="n"/>
      <c r="M172" s="199" t="n"/>
      <c r="N172" s="102" t="n"/>
      <c r="O172" s="102" t="n"/>
      <c r="P172" s="102" t="n"/>
      <c r="Q172" s="102" t="n"/>
      <c r="R172" s="102" t="n"/>
      <c r="S172" s="102" t="n"/>
      <c r="T172" s="102" t="n"/>
      <c r="U172" s="102" t="n"/>
      <c r="V172" s="102" t="n"/>
      <c r="W172" s="102" t="n"/>
      <c r="X172" s="102" t="n"/>
      <c r="Y172" s="102" t="n"/>
      <c r="Z172" s="102" t="n"/>
      <c r="AA172" s="102" t="n"/>
      <c r="AB172" s="102" t="n"/>
      <c r="AC172" s="102" t="n"/>
      <c r="AD172" s="102" t="n"/>
    </row>
    <row r="173" ht="15.75" customHeight="1" s="205">
      <c r="A173" s="102" t="n"/>
      <c r="B173" s="142" t="n"/>
      <c r="C173" s="143" t="n"/>
      <c r="D173" s="143" t="n"/>
      <c r="E173" s="143" t="n"/>
      <c r="F173" s="143" t="n"/>
      <c r="G173" s="144" t="n"/>
      <c r="H173" s="145">
        <f>IF(K173&lt;&gt;"", HYPERLINK("https://chatgpt.com/?prompt=" &amp; SUBSTITUTE(SUBSTITUTE(K173, " ", "+"), "&amp;", "dan") &amp; "&amp;force-refresh=true&amp;timestamp=" &amp; TEXT(NOW(), "yyyymmddhhmmss"), "👉 Klik untuk Generate Script! 🔥"), "")</f>
        <v/>
      </c>
      <c r="I173" s="143" t="n"/>
      <c r="J173" s="146" t="n"/>
      <c r="K173" s="130">
        <f>IF(AND(B173&lt;&gt;"", C173&lt;&gt;"", D173&lt;&gt;"", E173&lt;&gt;"", F173&lt;&gt;"", G173&lt;&gt;"", J173&lt;&gt;"", 'CONTENT PILLAR MAPPING'!C76&lt;&gt;"", 'CONTENT PILLAR MAPPING'!E76&lt;&gt;"", 'CONTENT PILLAR MAPPING'!F76&lt;&gt;"", 'CONTENT PILLAR MAPPING'!C79&lt;&gt;"", 'CONTENT PILLAR MAPPING'!C84&lt;&gt;"", 'CONTENT PILLAR MAPPING'!D84&lt;&gt;"", 'CONTENT PILLAR MAPPING'!E84&lt;&gt;"", 'CONTENT PILLAR MAPPING'!D92&lt;&gt;"", 'CONTENT PILLAR MAPPING'!D93&lt;&gt;""),
CONCATENATE(
"Sebagai seorang top konten kreator dengan niche utama '", 'CONTENT PILLAR MAPPING'!C76, "', spesifik kategori '", 'CONTENT PILLAR MAPPING'!E76, "', dan super spesifik '", 'CONTENT PILLAR MAPPING'!F76, "', yang dikenal sebagai '", 'CONTENT PILLAR MAPPING'!C79, "'.", CHAR(10),
"Saya memiliki Tone of Voice: '", 'CONTENT PILLAR MAPPING'!C84, "', Brand Archetype: '", 'CONTENT PILLAR MAPPING'!D84, "', dan Deskripsi Gaya Komunikasi: '", 'CONTENT PILLAR MAPPING'!E84, "'.", CHAR(10),
"Target audiens saya adalah: '", 'CONTENT PILLAR MAPPING'!D92, "', dengan segmentasi audiens: '", 'CONTENT PILLAR MAPPING'!D93, "'.", CHAR(10), CHAR(10),
"Mohon buatkan script konten yang **sangat powerful, menarik, inovatif, dan siap pakai** dengan judul ide '", B173, "'.", CHAR(10),
"Konten ini memiliki pilar '", C173, "', nilai tambah utama '", F173, "', dan akan menggunakan storytelling framework '", G173, "'.", CHAR(10),
"Gambaran singkat ide kontennya adalah: '", J173, "'.", CHAR(10),
"Konten ini akan diunggah di platform '", E173, "' dengan format '", D173,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 "'.** Sesuaikan dengan gaya komunikasi saya, dengan fokus pada nilai tambah '", F173,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MAPPING'!D92, ", khusus ", 'CONTENT PILLAR MAPPING'!D93, ") dan membantu mereka menyelesaikan masalah atau mencapai tujuan mereka.", CHAR(10),
"✔ Membantuku membangun personal branding yang kuat dan sustainable, sesuai dengan Positioning saya sebagai '", 'CONTENT PILLAR MAPPING'!C79, "' dan Brand Archetype '", 'CONTENT PILLAR MAPPING'!D84, "'.", CHAR(10),
"✔ Kemas dalam bentuk tabel agar rapi, mudah di baca dan dipahami, dengan kolom 'Judul Konten', 'Pilar', 'Format', 'Draft Script', 'CTA', 'Saran Visual', dan 'Full Caption'. (Kosongkan kolom Link Prompt jika ada)."
),
"")</f>
        <v/>
      </c>
      <c r="L173" s="91" t="n"/>
      <c r="M173" s="91" t="n"/>
      <c r="N173" s="102" t="n"/>
      <c r="O173" s="102" t="n"/>
      <c r="P173" s="102" t="n"/>
      <c r="Q173" s="102" t="n"/>
      <c r="R173" s="102" t="n"/>
      <c r="S173" s="102" t="n"/>
      <c r="T173" s="102" t="n"/>
      <c r="U173" s="102" t="n"/>
      <c r="V173" s="102" t="n"/>
      <c r="W173" s="102" t="n"/>
      <c r="X173" s="102" t="n"/>
      <c r="Y173" s="102" t="n"/>
      <c r="Z173" s="102" t="n"/>
      <c r="AA173" s="102" t="n"/>
      <c r="AB173" s="102" t="n"/>
      <c r="AC173" s="102" t="n"/>
      <c r="AD173" s="102" t="n"/>
    </row>
    <row r="174" ht="15.75" customHeight="1" s="205">
      <c r="A174" s="102" t="n"/>
      <c r="B174" s="147" t="n"/>
      <c r="C174" s="144" t="n"/>
      <c r="D174" s="144" t="n"/>
      <c r="E174" s="144" t="n"/>
      <c r="F174" s="144" t="n"/>
      <c r="G174" s="144" t="n"/>
      <c r="H174" s="141">
        <f>IF(K174&lt;&gt;"", HYPERLINK("https://chatgpt.com/?prompt=" &amp; SUBSTITUTE(SUBSTITUTE(K174, " ", "+"), "&amp;", "dan") &amp; "&amp;force-refresh=true&amp;timestamp=" &amp; TEXT(NOW(), "yyyymmddhhmmss"), "👉 Klik untuk Generate Script! 🔥"), "")</f>
        <v/>
      </c>
      <c r="I174" s="144" t="n"/>
      <c r="J174" s="148" t="n"/>
      <c r="K174" s="140">
        <f>IF(AND(B174&lt;&gt;"", C174&lt;&gt;"", D174&lt;&gt;"", E174&lt;&gt;"", F174&lt;&gt;"", G174&lt;&gt;"", J174&lt;&gt;"", 'CONTENT PILLAR MAPPING'!C76&lt;&gt;"", 'CONTENT PILLAR MAPPING'!E76&lt;&gt;"", 'CONTENT PILLAR MAPPING'!F76&lt;&gt;"", 'CONTENT PILLAR MAPPING'!C79&lt;&gt;"", 'CONTENT PILLAR MAPPING'!C84&lt;&gt;"", 'CONTENT PILLAR MAPPING'!D84&lt;&gt;"", 'CONTENT PILLAR MAPPING'!E84&lt;&gt;"", 'CONTENT PILLAR MAPPING'!D92&lt;&gt;"", 'CONTENT PILLAR MAPPING'!D93&lt;&gt;""),
CONCATENATE(
"Sebagai seorang top konten kreator dengan niche utama '", 'CONTENT PILLAR MAPPING'!C76, "', spesifik kategori '", 'CONTENT PILLAR MAPPING'!E76, "', dan super spesifik '", 'CONTENT PILLAR MAPPING'!F76, "', yang dikenal sebagai '", 'CONTENT PILLAR MAPPING'!C79, "'.", CHAR(10),
"Saya memiliki Tone of Voice: '", 'CONTENT PILLAR MAPPING'!C84, "', Brand Archetype: '", 'CONTENT PILLAR MAPPING'!D84, "', dan Deskripsi Gaya Komunikasi: '", 'CONTENT PILLAR MAPPING'!E84, "'.", CHAR(10),
"Target audiens saya adalah: '", 'CONTENT PILLAR MAPPING'!D92, "', dengan segmentasi audiens: '", 'CONTENT PILLAR MAPPING'!D93, "'.", CHAR(10), CHAR(10),
"Mohon buatkan script konten yang **sangat powerful, menarik, inovatif, dan siap pakai** dengan judul ide '", B174, "'.", CHAR(10),
"Konten ini memiliki pilar '", C174, "', nilai tambah utama '", F174, "', dan akan menggunakan storytelling framework '", G174, "'.", CHAR(10),
"Gambaran singkat ide kontennya adalah: '", J174, "'.", CHAR(10),
"Konten ini akan diunggah di platform '", E174, "' dengan format '", D174,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 "'.** Sesuaikan dengan gaya komunikasi saya, dengan fokus pada nilai tambah '", F174,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MAPPING'!D92, ", khusus ", 'CONTENT PILLAR MAPPING'!D93, ") dan membantu mereka menyelesaikan masalah atau mencapai tujuan mereka.", CHAR(10),
"✔ Membantuku membangun personal branding yang kuat dan sustainable, sesuai dengan Positioning saya sebagai '", 'CONTENT PILLAR MAPPING'!C79, "' dan Brand Archetype '", 'CONTENT PILLAR MAPPING'!D84, "'.", CHAR(10),
"✔ Kemas dalam bentuk tabel agar rapi, mudah di baca dan dipahami, dengan kolom 'Judul Konten', 'Pilar', 'Format', 'Draft Script', 'CTA', 'Saran Visual', dan 'Full Caption'. (Kosongkan kolom Link Prompt jika ada)."
),
"")</f>
        <v/>
      </c>
      <c r="L174" s="199" t="n"/>
      <c r="M174" s="199" t="n"/>
      <c r="N174" s="102" t="n"/>
      <c r="O174" s="102" t="n"/>
      <c r="P174" s="102" t="n"/>
      <c r="Q174" s="102" t="n"/>
      <c r="R174" s="102" t="n"/>
      <c r="S174" s="102" t="n"/>
      <c r="T174" s="102" t="n"/>
      <c r="U174" s="102" t="n"/>
      <c r="V174" s="102" t="n"/>
      <c r="W174" s="102" t="n"/>
      <c r="X174" s="102" t="n"/>
      <c r="Y174" s="102" t="n"/>
      <c r="Z174" s="102" t="n"/>
      <c r="AA174" s="102" t="n"/>
      <c r="AB174" s="102" t="n"/>
      <c r="AC174" s="102" t="n"/>
      <c r="AD174" s="102" t="n"/>
    </row>
    <row r="175" ht="15.75" customHeight="1" s="205">
      <c r="A175" s="102" t="n"/>
      <c r="B175" s="142" t="n"/>
      <c r="C175" s="143" t="n"/>
      <c r="D175" s="143" t="n"/>
      <c r="E175" s="143" t="n"/>
      <c r="F175" s="143" t="n"/>
      <c r="G175" s="144" t="n"/>
      <c r="H175" s="145">
        <f>IF(K175&lt;&gt;"", HYPERLINK("https://chatgpt.com/?prompt=" &amp; SUBSTITUTE(SUBSTITUTE(K175, " ", "+"), "&amp;", "dan") &amp; "&amp;force-refresh=true&amp;timestamp=" &amp; TEXT(NOW(), "yyyymmddhhmmss"), "👉 Klik untuk Generate Script! 🔥"), "")</f>
        <v/>
      </c>
      <c r="I175" s="143" t="n"/>
      <c r="J175" s="146" t="n"/>
      <c r="K175" s="130">
        <f>IF(AND(B175&lt;&gt;"", C175&lt;&gt;"", D175&lt;&gt;"", E175&lt;&gt;"", F175&lt;&gt;"", G175&lt;&gt;"", J175&lt;&gt;"", 'CONTENT PILLAR MAPPING'!C78&lt;&gt;"", 'CONTENT PILLAR MAPPING'!E78&lt;&gt;"", 'CONTENT PILLAR MAPPING'!F78&lt;&gt;"", 'CONTENT PILLAR MAPPING'!C81&lt;&gt;"", 'CONTENT PILLAR MAPPING'!C86&lt;&gt;"", 'CONTENT PILLAR MAPPING'!D86&lt;&gt;"", 'CONTENT PILLAR MAPPING'!E86&lt;&gt;"", 'CONTENT PILLAR MAPPING'!D94&lt;&gt;"", 'CONTENT PILLAR MAPPING'!D95&lt;&gt;""),
CONCATENATE(
"Sebagai seorang top konten kreator dengan niche utama '", 'CONTENT PILLAR MAPPING'!C78, "', spesifik kategori '", 'CONTENT PILLAR MAPPING'!E78, "', dan super spesifik '", 'CONTENT PILLAR MAPPING'!F78, "', yang dikenal sebagai '", 'CONTENT PILLAR MAPPING'!C81, "'.", CHAR(10),
"Saya memiliki Tone of Voice: '", 'CONTENT PILLAR MAPPING'!C86, "', Brand Archetype: '", 'CONTENT PILLAR MAPPING'!D86, "', dan Deskripsi Gaya Komunikasi: '", 'CONTENT PILLAR MAPPING'!E86, "'.", CHAR(10),
"Target audiens saya adalah: '", 'CONTENT PILLAR MAPPING'!D94, "', dengan segmentasi audiens: '", 'CONTENT PILLAR MAPPING'!D95, "'.", CHAR(10), CHAR(10),
"Mohon buatkan script konten yang **sangat powerful, menarik, inovatif, dan siap pakai** dengan judul ide '", B175, "'.", CHAR(10),
"Konten ini memiliki pilar '", C175, "', nilai tambah utama '", F175, "', dan akan menggunakan storytelling framework '", G175, "'.", CHAR(10),
"Gambaran singkat ide kontennya adalah: '", J175, "'.", CHAR(10),
"Konten ini akan diunggah di platform '", E175, "' dengan format '", D175,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 "'.** Sesuaikan dengan gaya komunikasi saya, dengan fokus pada nilai tambah '", F175,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MAPPING'!D94, ", khusus ", 'CONTENT PILLAR MAPPING'!D95, ") dan membantu mereka menyelesaikan masalah atau mencapai tujuan mereka.", CHAR(10),
"✔ Membantuku membangun personal branding yang kuat dan sustainable, sesuai dengan Positioning saya sebagai '", 'CONTENT PILLAR MAPPING'!C81, "' dan Brand Archetype '", 'CONTENT PILLAR MAPPING'!D86, "'.", CHAR(10),
"✔ Kemas dalam bentuk tabel agar rapi, mudah di baca dan dipahami, dengan kolom 'Judul Konten', 'Pilar', 'Format', 'Draft Script', 'CTA', 'Saran Visual', dan 'Full Caption'. (Kosongkan kolom Link Prompt jika ada)."
),
"")</f>
        <v/>
      </c>
      <c r="L175" s="91" t="n"/>
      <c r="M175" s="91" t="n"/>
      <c r="N175" s="102" t="n"/>
      <c r="O175" s="102" t="n"/>
      <c r="P175" s="102" t="n"/>
      <c r="Q175" s="102" t="n"/>
      <c r="R175" s="102" t="n"/>
      <c r="S175" s="102" t="n"/>
      <c r="T175" s="102" t="n"/>
      <c r="U175" s="102" t="n"/>
      <c r="V175" s="102" t="n"/>
      <c r="W175" s="102" t="n"/>
      <c r="X175" s="102" t="n"/>
      <c r="Y175" s="102" t="n"/>
      <c r="Z175" s="102" t="n"/>
      <c r="AA175" s="102" t="n"/>
      <c r="AB175" s="102" t="n"/>
      <c r="AC175" s="102" t="n"/>
      <c r="AD175" s="102" t="n"/>
    </row>
    <row r="176" ht="15.75" customHeight="1" s="205">
      <c r="A176" s="102" t="n"/>
      <c r="B176" s="147" t="n"/>
      <c r="C176" s="144" t="n"/>
      <c r="D176" s="144" t="n"/>
      <c r="E176" s="144" t="n"/>
      <c r="F176" s="144" t="n"/>
      <c r="G176" s="144" t="n"/>
      <c r="H176" s="141">
        <f>IF(K176&lt;&gt;"", HYPERLINK("https://chatgpt.com/?prompt=" &amp; SUBSTITUTE(SUBSTITUTE(K176, " ", "+"), "&amp;", "dan") &amp; "&amp;force-refresh=true&amp;timestamp=" &amp; TEXT(NOW(), "yyyymmddhhmmss"), "👉 Klik untuk Generate Script! 🔥"), "")</f>
        <v/>
      </c>
      <c r="I176" s="144" t="n"/>
      <c r="J176" s="148" t="n"/>
      <c r="K176" s="140">
        <f>IF(AND(B176&lt;&gt;"", C176&lt;&gt;"", D176&lt;&gt;"", E176&lt;&gt;"", F176&lt;&gt;"", G176&lt;&gt;"", J176&lt;&gt;"", 'CONTENT PILLAR MAPPING'!C78&lt;&gt;"", 'CONTENT PILLAR MAPPING'!E78&lt;&gt;"", 'CONTENT PILLAR MAPPING'!F78&lt;&gt;"", 'CONTENT PILLAR MAPPING'!C81&lt;&gt;"", 'CONTENT PILLAR MAPPING'!C86&lt;&gt;"", 'CONTENT PILLAR MAPPING'!D86&lt;&gt;"", 'CONTENT PILLAR MAPPING'!E86&lt;&gt;"", 'CONTENT PILLAR MAPPING'!D94&lt;&gt;"", 'CONTENT PILLAR MAPPING'!D95&lt;&gt;""),
CONCATENATE(
"Sebagai seorang top konten kreator dengan niche utama '", 'CONTENT PILLAR MAPPING'!C78, "', spesifik kategori '", 'CONTENT PILLAR MAPPING'!E78, "', dan super spesifik '", 'CONTENT PILLAR MAPPING'!F78, "', yang dikenal sebagai '", 'CONTENT PILLAR MAPPING'!C81, "'.", CHAR(10),
"Saya memiliki Tone of Voice: '", 'CONTENT PILLAR MAPPING'!C86, "', Brand Archetype: '", 'CONTENT PILLAR MAPPING'!D86, "', dan Deskripsi Gaya Komunikasi: '", 'CONTENT PILLAR MAPPING'!E86, "'.", CHAR(10),
"Target audiens saya adalah: '", 'CONTENT PILLAR MAPPING'!D94, "', dengan segmentasi audiens: '", 'CONTENT PILLAR MAPPING'!D95, "'.", CHAR(10), CHAR(10),
"Mohon buatkan script konten yang **sangat powerful, menarik, inovatif, dan siap pakai** dengan judul ide '", B176, "'.", CHAR(10),
"Konten ini memiliki pilar '", C176, "', nilai tambah utama '", F176, "', dan akan menggunakan storytelling framework '", G176, "'.", CHAR(10),
"Gambaran singkat ide kontennya adalah: '", J176, "'.", CHAR(10),
"Konten ini akan diunggah di platform '", E176, "' dengan format '", D176,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 "'.** Sesuaikan dengan gaya komunikasi saya, dengan fokus pada nilai tambah '", F176,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MAPPING'!D94, ", khusus ", 'CONTENT PILLAR MAPPING'!D95, ") dan membantu mereka menyelesaikan masalah atau mencapai tujuan mereka.", CHAR(10),
"✔ Membantuku membangun personal branding yang kuat dan sustainable, sesuai dengan Positioning saya sebagai '", 'CONTENT PILLAR MAPPING'!C81, "' dan Brand Archetype '", 'CONTENT PILLAR MAPPING'!D86, "'.", CHAR(10),
"✔ Kemas dalam bentuk tabel agar rapi, mudah di baca dan dipahami, dengan kolom 'Judul Konten', 'Pilar', 'Format', 'Draft Script', 'CTA', 'Saran Visual', dan 'Full Caption'. (Kosongkan kolom Link Prompt jika ada)."
),
"")</f>
        <v/>
      </c>
      <c r="L176" s="199" t="n"/>
      <c r="M176" s="199" t="n"/>
      <c r="N176" s="102" t="n"/>
      <c r="O176" s="102" t="n"/>
      <c r="P176" s="102" t="n"/>
      <c r="Q176" s="102" t="n"/>
      <c r="R176" s="102" t="n"/>
      <c r="S176" s="102" t="n"/>
      <c r="T176" s="102" t="n"/>
      <c r="U176" s="102" t="n"/>
      <c r="V176" s="102" t="n"/>
      <c r="W176" s="102" t="n"/>
      <c r="X176" s="102" t="n"/>
      <c r="Y176" s="102" t="n"/>
      <c r="Z176" s="102" t="n"/>
      <c r="AA176" s="102" t="n"/>
      <c r="AB176" s="102" t="n"/>
      <c r="AC176" s="102" t="n"/>
      <c r="AD176" s="102" t="n"/>
    </row>
    <row r="177" ht="15.75" customHeight="1" s="205">
      <c r="A177" s="102" t="n"/>
      <c r="B177" s="142" t="n"/>
      <c r="C177" s="143" t="n"/>
      <c r="D177" s="143" t="n"/>
      <c r="E177" s="143" t="n"/>
      <c r="F177" s="143" t="n"/>
      <c r="G177" s="144" t="n"/>
      <c r="H177" s="145">
        <f>IF(K177&lt;&gt;"", HYPERLINK("https://chatgpt.com/?prompt=" &amp; SUBSTITUTE(SUBSTITUTE(K177, " ", "+"), "&amp;", "dan") &amp; "&amp;force-refresh=true&amp;timestamp=" &amp; TEXT(NOW(), "yyyymmddhhmmss"), "👉 Klik untuk Generate Script! 🔥"), "")</f>
        <v/>
      </c>
      <c r="I177" s="143" t="n"/>
      <c r="J177" s="146" t="n"/>
      <c r="K177" s="130">
        <f>IF(AND(B177&lt;&gt;"", C177&lt;&gt;"", D177&lt;&gt;"", E177&lt;&gt;"", F177&lt;&gt;"", G177&lt;&gt;"", J177&lt;&gt;"", 'CONTENT PILLAR MAPPING'!C80&lt;&gt;"", 'CONTENT PILLAR MAPPING'!E80&lt;&gt;"", 'CONTENT PILLAR MAPPING'!F80&lt;&gt;"", 'CONTENT PILLAR MAPPING'!C83&lt;&gt;"", 'CONTENT PILLAR MAPPING'!C88&lt;&gt;"", 'CONTENT PILLAR MAPPING'!D88&lt;&gt;"", 'CONTENT PILLAR MAPPING'!E88&lt;&gt;"", 'CONTENT PILLAR MAPPING'!D96&lt;&gt;"", 'CONTENT PILLAR MAPPING'!D97&lt;&gt;""),
CONCATENATE(
"Sebagai seorang top konten kreator dengan niche utama '", 'CONTENT PILLAR MAPPING'!C80, "', spesifik kategori '", 'CONTENT PILLAR MAPPING'!E80, "', dan super spesifik '", 'CONTENT PILLAR MAPPING'!F80, "', yang dikenal sebagai '", 'CONTENT PILLAR MAPPING'!C83, "'.", CHAR(10),
"Saya memiliki Tone of Voice: '", 'CONTENT PILLAR MAPPING'!C88, "', Brand Archetype: '", 'CONTENT PILLAR MAPPING'!D88, "', dan Deskripsi Gaya Komunikasi: '", 'CONTENT PILLAR MAPPING'!E88, "'.", CHAR(10),
"Target audiens saya adalah: '", 'CONTENT PILLAR MAPPING'!D96, "', dengan segmentasi audiens: '", 'CONTENT PILLAR MAPPING'!D97, "'.", CHAR(10), CHAR(10),
"Mohon buatkan script konten yang **sangat powerful, menarik, inovatif, dan siap pakai** dengan judul ide '", B177, "'.", CHAR(10),
"Konten ini memiliki pilar '", C177, "', nilai tambah utama '", F177, "', dan akan menggunakan storytelling framework '", G177, "'.", CHAR(10),
"Gambaran singkat ide kontennya adalah: '", J177, "'.", CHAR(10),
"Konten ini akan diunggah di platform '", E177, "' dengan format '", D177,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 "'.** Sesuaikan dengan gaya komunikasi saya, dengan fokus pada nilai tambah '", F177,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MAPPING'!D96, ", khusus ", 'CONTENT PILLAR MAPPING'!D97, ") dan membantu mereka menyelesaikan masalah atau mencapai tujuan mereka.", CHAR(10),
"✔ Membantuku membangun personal branding yang kuat dan sustainable, sesuai dengan Positioning saya sebagai '", 'CONTENT PILLAR MAPPING'!C83, "' dan Brand Archetype '", 'CONTENT PILLAR MAPPING'!D88, "'.", CHAR(10),
"✔ Kemas dalam bentuk tabel agar rapi, mudah di baca dan dipahami, dengan kolom 'Judul Konten', 'Pilar', 'Format', 'Draft Script', 'CTA', 'Saran Visual', dan 'Full Caption'. (Kosongkan kolom Link Prompt jika ada)."
),
"")</f>
        <v/>
      </c>
      <c r="L177" s="91" t="n"/>
      <c r="M177" s="91" t="n"/>
      <c r="N177" s="102" t="n"/>
      <c r="O177" s="102" t="n"/>
      <c r="P177" s="102" t="n"/>
      <c r="Q177" s="102" t="n"/>
      <c r="R177" s="102" t="n"/>
      <c r="S177" s="102" t="n"/>
      <c r="T177" s="102" t="n"/>
      <c r="U177" s="102" t="n"/>
      <c r="V177" s="102" t="n"/>
      <c r="W177" s="102" t="n"/>
      <c r="X177" s="102" t="n"/>
      <c r="Y177" s="102" t="n"/>
      <c r="Z177" s="102" t="n"/>
      <c r="AA177" s="102" t="n"/>
      <c r="AB177" s="102" t="n"/>
      <c r="AC177" s="102" t="n"/>
      <c r="AD177" s="102" t="n"/>
    </row>
    <row r="178" ht="15.75" customHeight="1" s="205">
      <c r="A178" s="102" t="n"/>
      <c r="B178" s="147" t="n"/>
      <c r="C178" s="144" t="n"/>
      <c r="D178" s="144" t="n"/>
      <c r="E178" s="144" t="n"/>
      <c r="F178" s="144" t="n"/>
      <c r="G178" s="144" t="n"/>
      <c r="H178" s="141">
        <f>IF(K178&lt;&gt;"", HYPERLINK("https://chatgpt.com/?prompt=" &amp; SUBSTITUTE(SUBSTITUTE(K178, " ", "+"), "&amp;", "dan") &amp; "&amp;force-refresh=true&amp;timestamp=" &amp; TEXT(NOW(), "yyyymmddhhmmss"), "👉 Klik untuk Generate Script! 🔥"), "")</f>
        <v/>
      </c>
      <c r="I178" s="144" t="n"/>
      <c r="J178" s="148" t="n"/>
      <c r="K178" s="140">
        <f>IF(AND(B178&lt;&gt;"", C178&lt;&gt;"", D178&lt;&gt;"", E178&lt;&gt;"", F178&lt;&gt;"", G178&lt;&gt;"", J178&lt;&gt;"", 'CONTENT PILLAR MAPPING'!C80&lt;&gt;"", 'CONTENT PILLAR MAPPING'!E80&lt;&gt;"", 'CONTENT PILLAR MAPPING'!F80&lt;&gt;"", 'CONTENT PILLAR MAPPING'!C83&lt;&gt;"", 'CONTENT PILLAR MAPPING'!C88&lt;&gt;"", 'CONTENT PILLAR MAPPING'!D88&lt;&gt;"", 'CONTENT PILLAR MAPPING'!E88&lt;&gt;"", 'CONTENT PILLAR MAPPING'!D96&lt;&gt;"", 'CONTENT PILLAR MAPPING'!D97&lt;&gt;""),
CONCATENATE(
"Sebagai seorang top konten kreator dengan niche utama '", 'CONTENT PILLAR MAPPING'!C80, "', spesifik kategori '", 'CONTENT PILLAR MAPPING'!E80, "', dan super spesifik '", 'CONTENT PILLAR MAPPING'!F80, "', yang dikenal sebagai '", 'CONTENT PILLAR MAPPING'!C83, "'.", CHAR(10),
"Saya memiliki Tone of Voice: '", 'CONTENT PILLAR MAPPING'!C88, "', Brand Archetype: '", 'CONTENT PILLAR MAPPING'!D88, "', dan Deskripsi Gaya Komunikasi: '", 'CONTENT PILLAR MAPPING'!E88, "'.", CHAR(10),
"Target audiens saya adalah: '", 'CONTENT PILLAR MAPPING'!D96, "', dengan segmentasi audiens: '", 'CONTENT PILLAR MAPPING'!D97, "'.", CHAR(10), CHAR(10),
"Mohon buatkan script konten yang **sangat powerful, menarik, inovatif, dan siap pakai** dengan judul ide '", B178, "'.", CHAR(10),
"Konten ini memiliki pilar '", C178, "', nilai tambah utama '", F178, "', dan akan menggunakan storytelling framework '", G178, "'.", CHAR(10),
"Gambaran singkat ide kontennya adalah: '", J178, "'.", CHAR(10),
"Konten ini akan diunggah di platform '", E178, "' dengan format '", D178,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 "'.** Sesuaikan dengan gaya komunikasi saya, dengan fokus pada nilai tambah '", F178,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MAPPING'!D96, ", khusus ", 'CONTENT PILLAR MAPPING'!D97, ") dan membantu mereka menyelesaikan masalah atau mencapai tujuan mereka.", CHAR(10),
"✔ Membantuku membangun personal branding yang kuat dan sustainable, sesuai dengan Positioning saya sebagai '", 'CONTENT PILLAR MAPPING'!C83, "' dan Brand Archetype '", 'CONTENT PILLAR MAPPING'!D88, "'.", CHAR(10),
"✔ Kemas dalam bentuk tabel agar rapi, mudah di baca dan dipahami, dengan kolom 'Judul Konten', 'Pilar', 'Format', 'Draft Script', 'CTA', 'Saran Visual', dan 'Full Caption'. (Kosongkan kolom Link Prompt jika ada)."
),
"")</f>
        <v/>
      </c>
      <c r="L178" s="199" t="n"/>
      <c r="M178" s="199" t="n"/>
      <c r="N178" s="102" t="n"/>
      <c r="O178" s="102" t="n"/>
      <c r="P178" s="102" t="n"/>
      <c r="Q178" s="102" t="n"/>
      <c r="R178" s="102" t="n"/>
      <c r="S178" s="102" t="n"/>
      <c r="T178" s="102" t="n"/>
      <c r="U178" s="102" t="n"/>
      <c r="V178" s="102" t="n"/>
      <c r="W178" s="102" t="n"/>
      <c r="X178" s="102" t="n"/>
      <c r="Y178" s="102" t="n"/>
      <c r="Z178" s="102" t="n"/>
      <c r="AA178" s="102" t="n"/>
      <c r="AB178" s="102" t="n"/>
      <c r="AC178" s="102" t="n"/>
      <c r="AD178" s="102" t="n"/>
    </row>
    <row r="179" ht="15.75" customHeight="1" s="205">
      <c r="A179" s="102" t="n"/>
      <c r="B179" s="142" t="n"/>
      <c r="C179" s="143" t="n"/>
      <c r="D179" s="143" t="n"/>
      <c r="E179" s="143" t="n"/>
      <c r="F179" s="143" t="n"/>
      <c r="G179" s="144" t="n"/>
      <c r="H179" s="145">
        <f>IF(K179&lt;&gt;"", HYPERLINK("https://chatgpt.com/?prompt=" &amp; SUBSTITUTE(SUBSTITUTE(K179, " ", "+"), "&amp;", "dan") &amp; "&amp;force-refresh=true&amp;timestamp=" &amp; TEXT(NOW(), "yyyymmddhhmmss"), "👉 Klik untuk Generate Script! 🔥"), "")</f>
        <v/>
      </c>
      <c r="I179" s="143" t="n"/>
      <c r="J179" s="146" t="n"/>
      <c r="K179" s="130">
        <f>IF(AND(B179&lt;&gt;"", C179&lt;&gt;"", D179&lt;&gt;"", E179&lt;&gt;"", F179&lt;&gt;"", G179&lt;&gt;"", J179&lt;&gt;"", 'CONTENT PILLAR MAPPING'!C82&lt;&gt;"", 'CONTENT PILLAR MAPPING'!E82&lt;&gt;"", 'CONTENT PILLAR MAPPING'!F82&lt;&gt;"", 'CONTENT PILLAR MAPPING'!C85&lt;&gt;"", 'CONTENT PILLAR MAPPING'!C90&lt;&gt;"", 'CONTENT PILLAR MAPPING'!D90&lt;&gt;"", 'CONTENT PILLAR MAPPING'!E90&lt;&gt;"", 'CONTENT PILLAR MAPPING'!D98&lt;&gt;"", 'CONTENT PILLAR MAPPING'!D99&lt;&gt;""),
CONCATENATE(
"Sebagai seorang top konten kreator dengan niche utama '", 'CONTENT PILLAR MAPPING'!C82, "', spesifik kategori '", 'CONTENT PILLAR MAPPING'!E82, "', dan super spesifik '", 'CONTENT PILLAR MAPPING'!F82, "', yang dikenal sebagai '", 'CONTENT PILLAR MAPPING'!C85, "'.", CHAR(10),
"Saya memiliki Tone of Voice: '", 'CONTENT PILLAR MAPPING'!C90, "', Brand Archetype: '", 'CONTENT PILLAR MAPPING'!D90, "', dan Deskripsi Gaya Komunikasi: '", 'CONTENT PILLAR MAPPING'!E90, "'.", CHAR(10),
"Target audiens saya adalah: '", 'CONTENT PILLAR MAPPING'!D98, "', dengan segmentasi audiens: '", 'CONTENT PILLAR MAPPING'!D99, "'.", CHAR(10), CHAR(10),
"Mohon buatkan script konten yang **sangat powerful, menarik, inovatif, dan siap pakai** dengan judul ide '", B179, "'.", CHAR(10),
"Konten ini memiliki pilar '", C179, "', nilai tambah utama '", F179, "', dan akan menggunakan storytelling framework '", G179, "'.", CHAR(10),
"Gambaran singkat ide kontennya adalah: '", J179, "'.", CHAR(10),
"Konten ini akan diunggah di platform '", E179, "' dengan format '", D179,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 "'.** Sesuaikan dengan gaya komunikasi saya, dengan fokus pada nilai tambah '", F179,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MAPPING'!D98, ", khusus ", 'CONTENT PILLAR MAPPING'!D99, ") dan membantu mereka menyelesaikan masalah atau mencapai tujuan mereka.", CHAR(10),
"✔ Membantuku membangun personal branding yang kuat dan sustainable, sesuai dengan Positioning saya sebagai '", 'CONTENT PILLAR MAPPING'!C85, "' dan Brand Archetype '", 'CONTENT PILLAR MAPPING'!D90, "'.", CHAR(10),
"✔ Kemas dalam bentuk tabel agar rapi, mudah di baca dan dipahami, dengan kolom 'Judul Konten', 'Pilar', 'Format', 'Draft Script', 'CTA', 'Saran Visual', dan 'Full Caption'. (Kosongkan kolom Link Prompt jika ada)."
),
"")</f>
        <v/>
      </c>
      <c r="L179" s="91" t="n"/>
      <c r="M179" s="91" t="n"/>
      <c r="N179" s="102" t="n"/>
      <c r="O179" s="102" t="n"/>
      <c r="P179" s="102" t="n"/>
      <c r="Q179" s="102" t="n"/>
      <c r="R179" s="102" t="n"/>
      <c r="S179" s="102" t="n"/>
      <c r="T179" s="102" t="n"/>
      <c r="U179" s="102" t="n"/>
      <c r="V179" s="102" t="n"/>
      <c r="W179" s="102" t="n"/>
      <c r="X179" s="102" t="n"/>
      <c r="Y179" s="102" t="n"/>
      <c r="Z179" s="102" t="n"/>
      <c r="AA179" s="102" t="n"/>
      <c r="AB179" s="102" t="n"/>
      <c r="AC179" s="102" t="n"/>
      <c r="AD179" s="102" t="n"/>
    </row>
    <row r="180" ht="15.75" customHeight="1" s="205">
      <c r="A180" s="102" t="n"/>
      <c r="B180" s="147" t="n"/>
      <c r="C180" s="144" t="n"/>
      <c r="D180" s="144" t="n"/>
      <c r="E180" s="144" t="n"/>
      <c r="F180" s="144" t="n"/>
      <c r="G180" s="144" t="n"/>
      <c r="H180" s="141">
        <f>IF(K180&lt;&gt;"", HYPERLINK("https://chatgpt.com/?prompt=" &amp; SUBSTITUTE(SUBSTITUTE(K180, " ", "+"), "&amp;", "dan") &amp; "&amp;force-refresh=true&amp;timestamp=" &amp; TEXT(NOW(), "yyyymmddhhmmss"), "👉 Klik untuk Generate Script! 🔥"), "")</f>
        <v/>
      </c>
      <c r="I180" s="144" t="n"/>
      <c r="J180" s="148" t="n"/>
      <c r="K180" s="140">
        <f>IF(AND(B180&lt;&gt;"", C180&lt;&gt;"", D180&lt;&gt;"", E180&lt;&gt;"", F180&lt;&gt;"", G180&lt;&gt;"", J180&lt;&gt;"", 'CONTENT PILLAR MAPPING'!C82&lt;&gt;"", 'CONTENT PILLAR MAPPING'!E82&lt;&gt;"", 'CONTENT PILLAR MAPPING'!F82&lt;&gt;"", 'CONTENT PILLAR MAPPING'!C85&lt;&gt;"", 'CONTENT PILLAR MAPPING'!C90&lt;&gt;"", 'CONTENT PILLAR MAPPING'!D90&lt;&gt;"", 'CONTENT PILLAR MAPPING'!E90&lt;&gt;"", 'CONTENT PILLAR MAPPING'!D98&lt;&gt;"", 'CONTENT PILLAR MAPPING'!D99&lt;&gt;""),
CONCATENATE(
"Sebagai seorang top konten kreator dengan niche utama '", 'CONTENT PILLAR MAPPING'!C82, "', spesifik kategori '", 'CONTENT PILLAR MAPPING'!E82, "', dan super spesifik '", 'CONTENT PILLAR MAPPING'!F82, "', yang dikenal sebagai '", 'CONTENT PILLAR MAPPING'!C85, "'.", CHAR(10),
"Saya memiliki Tone of Voice: '", 'CONTENT PILLAR MAPPING'!C90, "', Brand Archetype: '", 'CONTENT PILLAR MAPPING'!D90, "', dan Deskripsi Gaya Komunikasi: '", 'CONTENT PILLAR MAPPING'!E90, "'.", CHAR(10),
"Target audiens saya adalah: '", 'CONTENT PILLAR MAPPING'!D98, "', dengan segmentasi audiens: '", 'CONTENT PILLAR MAPPING'!D99, "'.", CHAR(10), CHAR(10),
"Mohon buatkan script konten yang **sangat powerful, menarik, inovatif, dan siap pakai** dengan judul ide '", B180, "'.", CHAR(10),
"Konten ini memiliki pilar '", C180, "', nilai tambah utama '", F180, "', dan akan menggunakan storytelling framework '", G180, "'.", CHAR(10),
"Gambaran singkat ide kontennya adalah: '", J180, "'.", CHAR(10),
"Konten ini akan diunggah di platform '", E180, "' dengan format '", D180,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 "'.** Sesuaikan dengan gaya komunikasi saya, dengan fokus pada nilai tambah '", F180,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MAPPING'!D98, ", khusus ", 'CONTENT PILLAR MAPPING'!D99, ") dan membantu mereka menyelesaikan masalah atau mencapai tujuan mereka.", CHAR(10),
"✔ Membantuku membangun personal branding yang kuat dan sustainable, sesuai dengan Positioning saya sebagai '", 'CONTENT PILLAR MAPPING'!C85, "' dan Brand Archetype '", 'CONTENT PILLAR MAPPING'!D90, "'.", CHAR(10),
"✔ Kemas dalam bentuk tabel agar rapi, mudah di baca dan dipahami, dengan kolom 'Judul Konten', 'Pilar', 'Format', 'Draft Script', 'CTA', 'Saran Visual', dan 'Full Caption'. (Kosongkan kolom Link Prompt jika ada)."
),
"")</f>
        <v/>
      </c>
      <c r="L180" s="199" t="n"/>
      <c r="M180" s="199" t="n"/>
      <c r="N180" s="102" t="n"/>
      <c r="O180" s="102" t="n"/>
      <c r="P180" s="102" t="n"/>
      <c r="Q180" s="102" t="n"/>
      <c r="R180" s="102" t="n"/>
      <c r="S180" s="102" t="n"/>
      <c r="T180" s="102" t="n"/>
      <c r="U180" s="102" t="n"/>
      <c r="V180" s="102" t="n"/>
      <c r="W180" s="102" t="n"/>
      <c r="X180" s="102" t="n"/>
      <c r="Y180" s="102" t="n"/>
      <c r="Z180" s="102" t="n"/>
      <c r="AA180" s="102" t="n"/>
      <c r="AB180" s="102" t="n"/>
      <c r="AC180" s="102" t="n"/>
      <c r="AD180" s="102" t="n"/>
    </row>
    <row r="181" ht="15.75" customHeight="1" s="205">
      <c r="A181" s="102" t="n"/>
      <c r="B181" s="142" t="n"/>
      <c r="C181" s="143" t="n"/>
      <c r="D181" s="143" t="n"/>
      <c r="E181" s="143" t="n"/>
      <c r="F181" s="143" t="n"/>
      <c r="G181" s="144" t="n"/>
      <c r="H181" s="145">
        <f>IF(K181&lt;&gt;"", HYPERLINK("https://chatgpt.com/?prompt=" &amp; SUBSTITUTE(SUBSTITUTE(K181, " ", "+"), "&amp;", "dan") &amp; "&amp;force-refresh=true&amp;timestamp=" &amp; TEXT(NOW(), "yyyymmddhhmmss"), "👉 Klik untuk Generate Script! 🔥"), "")</f>
        <v/>
      </c>
      <c r="I181" s="143" t="n"/>
      <c r="J181" s="146" t="n"/>
      <c r="K181" s="130">
        <f>IF(AND(B181&lt;&gt;"", C181&lt;&gt;"", D181&lt;&gt;"", E181&lt;&gt;"", F181&lt;&gt;"", G181&lt;&gt;"", J181&lt;&gt;"", 'CONTENT PILLAR MAPPING'!C84&lt;&gt;"", 'CONTENT PILLAR MAPPING'!E84&lt;&gt;"", 'CONTENT PILLAR MAPPING'!F84&lt;&gt;"", 'CONTENT PILLAR MAPPING'!C87&lt;&gt;"", 'CONTENT PILLAR MAPPING'!C92&lt;&gt;"", 'CONTENT PILLAR MAPPING'!D92&lt;&gt;"", 'CONTENT PILLAR MAPPING'!E92&lt;&gt;"", 'CONTENT PILLAR MAPPING'!D100&lt;&gt;"", 'CONTENT PILLAR MAPPING'!D101&lt;&gt;""),
CONCATENATE(
"Sebagai seorang top konten kreator dengan niche utama '", 'CONTENT PILLAR MAPPING'!C84, "', spesifik kategori '", 'CONTENT PILLAR MAPPING'!E84, "', dan super spesifik '", 'CONTENT PILLAR MAPPING'!F84, "', yang dikenal sebagai '", 'CONTENT PILLAR MAPPING'!C87, "'.", CHAR(10),
"Saya memiliki Tone of Voice: '", 'CONTENT PILLAR MAPPING'!C92, "', Brand Archetype: '", 'CONTENT PILLAR MAPPING'!D92, "', dan Deskripsi Gaya Komunikasi: '", 'CONTENT PILLAR MAPPING'!E92, "'.", CHAR(10),
"Target audiens saya adalah: '", 'CONTENT PILLAR MAPPING'!D100, "', dengan segmentasi audiens: '", 'CONTENT PILLAR MAPPING'!D101, "'.", CHAR(10), CHAR(10),
"Mohon buatkan script konten yang **sangat powerful, menarik, inovatif, dan siap pakai** dengan judul ide '", B181, "'.", CHAR(10),
"Konten ini memiliki pilar '", C181, "', nilai tambah utama '", F181, "', dan akan menggunakan storytelling framework '", G181, "'.", CHAR(10),
"Gambaran singkat ide kontennya adalah: '", J181, "'.", CHAR(10),
"Konten ini akan diunggah di platform '", E181, "' dengan format '", D181,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 "'.** Sesuaikan dengan gaya komunikasi saya, dengan fokus pada nilai tambah '", F181,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MAPPING'!D100, ", khusus ", 'CONTENT PILLAR MAPPING'!D101, ") dan membantu mereka menyelesaikan masalah atau mencapai tujuan mereka.", CHAR(10),
"✔ Membantuku membangun personal branding yang kuat dan sustainable, sesuai dengan Positioning saya sebagai '", 'CONTENT PILLAR MAPPING'!C87, "' dan Brand Archetype '", 'CONTENT PILLAR MAPPING'!D92, "'.", CHAR(10),
"✔ Kemas dalam bentuk tabel agar rapi, mudah di baca dan dipahami, dengan kolom 'Judul Konten', 'Pilar', 'Format', 'Draft Script', 'CTA', 'Saran Visual', dan 'Full Caption'. (Kosongkan kolom Link Prompt jika ada)."
),
"")</f>
        <v/>
      </c>
      <c r="L181" s="91" t="n"/>
      <c r="M181" s="91" t="n"/>
      <c r="N181" s="102" t="n"/>
      <c r="O181" s="102" t="n"/>
      <c r="P181" s="102" t="n"/>
      <c r="Q181" s="102" t="n"/>
      <c r="R181" s="102" t="n"/>
      <c r="S181" s="102" t="n"/>
      <c r="T181" s="102" t="n"/>
      <c r="U181" s="102" t="n"/>
      <c r="V181" s="102" t="n"/>
      <c r="W181" s="102" t="n"/>
      <c r="X181" s="102" t="n"/>
      <c r="Y181" s="102" t="n"/>
      <c r="Z181" s="102" t="n"/>
      <c r="AA181" s="102" t="n"/>
      <c r="AB181" s="102" t="n"/>
      <c r="AC181" s="102" t="n"/>
      <c r="AD181" s="102" t="n"/>
    </row>
    <row r="182" ht="15.75" customHeight="1" s="205">
      <c r="A182" s="102" t="n"/>
      <c r="B182" s="147" t="n"/>
      <c r="C182" s="144" t="n"/>
      <c r="D182" s="144" t="n"/>
      <c r="E182" s="144" t="n"/>
      <c r="F182" s="144" t="n"/>
      <c r="G182" s="144" t="n"/>
      <c r="H182" s="141">
        <f>IF(K182&lt;&gt;"", HYPERLINK("https://chatgpt.com/?prompt=" &amp; SUBSTITUTE(SUBSTITUTE(K182, " ", "+"), "&amp;", "dan") &amp; "&amp;force-refresh=true&amp;timestamp=" &amp; TEXT(NOW(), "yyyymmddhhmmss"), "👉 Klik untuk Generate Script! 🔥"), "")</f>
        <v/>
      </c>
      <c r="I182" s="144" t="n"/>
      <c r="J182" s="148" t="n"/>
      <c r="K182" s="140">
        <f>IF(AND(B182&lt;&gt;"", C182&lt;&gt;"", D182&lt;&gt;"", E182&lt;&gt;"", F182&lt;&gt;"", G182&lt;&gt;"", J182&lt;&gt;"", 'CONTENT PILLAR MAPPING'!C84&lt;&gt;"", 'CONTENT PILLAR MAPPING'!E84&lt;&gt;"", 'CONTENT PILLAR MAPPING'!F84&lt;&gt;"", 'CONTENT PILLAR MAPPING'!C87&lt;&gt;"", 'CONTENT PILLAR MAPPING'!C92&lt;&gt;"", 'CONTENT PILLAR MAPPING'!D92&lt;&gt;"", 'CONTENT PILLAR MAPPING'!E92&lt;&gt;"", 'CONTENT PILLAR MAPPING'!D100&lt;&gt;"", 'CONTENT PILLAR MAPPING'!D101&lt;&gt;""),
CONCATENATE(
"Sebagai seorang top konten kreator dengan niche utama '", 'CONTENT PILLAR MAPPING'!C84, "', spesifik kategori '", 'CONTENT PILLAR MAPPING'!E84, "', dan super spesifik '", 'CONTENT PILLAR MAPPING'!F84, "', yang dikenal sebagai '", 'CONTENT PILLAR MAPPING'!C87, "'.", CHAR(10),
"Saya memiliki Tone of Voice: '", 'CONTENT PILLAR MAPPING'!C92, "', Brand Archetype: '", 'CONTENT PILLAR MAPPING'!D92, "', dan Deskripsi Gaya Komunikasi: '", 'CONTENT PILLAR MAPPING'!E92, "'.", CHAR(10),
"Target audiens saya adalah: '", 'CONTENT PILLAR MAPPING'!D100, "', dengan segmentasi audiens: '", 'CONTENT PILLAR MAPPING'!D101, "'.", CHAR(10), CHAR(10),
"Mohon buatkan script konten yang **sangat powerful, menarik, inovatif, dan siap pakai** dengan judul ide '", B182, "'.", CHAR(10),
"Konten ini memiliki pilar '", C182, "', nilai tambah utama '", F182, "', dan akan menggunakan storytelling framework '", G182, "'.", CHAR(10),
"Gambaran singkat ide kontennya adalah: '", J182, "'.", CHAR(10),
"Konten ini akan diunggah di platform '", E182, "' dengan format '", D182,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 "'.** Sesuaikan dengan gaya komunikasi saya, dengan fokus pada nilai tambah '", F182,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MAPPING'!D100, ", khusus ", 'CONTENT PILLAR MAPPING'!D101, ") dan membantu mereka menyelesaikan masalah atau mencapai tujuan mereka.", CHAR(10),
"✔ Membantuku membangun personal branding yang kuat dan sustainable, sesuai dengan Positioning saya sebagai '", 'CONTENT PILLAR MAPPING'!C87, "' dan Brand Archetype '", 'CONTENT PILLAR MAPPING'!D92, "'.", CHAR(10),
"✔ Kemas dalam bentuk tabel agar rapi, mudah di baca dan dipahami, dengan kolom 'Judul Konten', 'Pilar', 'Format', 'Draft Script', 'CTA', 'Saran Visual', dan 'Full Caption'. (Kosongkan kolom Link Prompt jika ada)."
),
"")</f>
        <v/>
      </c>
      <c r="L182" s="199" t="n"/>
      <c r="M182" s="199" t="n"/>
      <c r="N182" s="102" t="n"/>
      <c r="O182" s="102" t="n"/>
      <c r="P182" s="102" t="n"/>
      <c r="Q182" s="102" t="n"/>
      <c r="R182" s="102" t="n"/>
      <c r="S182" s="102" t="n"/>
      <c r="T182" s="102" t="n"/>
      <c r="U182" s="102" t="n"/>
      <c r="V182" s="102" t="n"/>
      <c r="W182" s="102" t="n"/>
      <c r="X182" s="102" t="n"/>
      <c r="Y182" s="102" t="n"/>
      <c r="Z182" s="102" t="n"/>
      <c r="AA182" s="102" t="n"/>
      <c r="AB182" s="102" t="n"/>
      <c r="AC182" s="102" t="n"/>
      <c r="AD182" s="102" t="n"/>
    </row>
    <row r="183" ht="15.75" customHeight="1" s="205">
      <c r="A183" s="102" t="n"/>
      <c r="B183" s="142" t="n"/>
      <c r="C183" s="143" t="n"/>
      <c r="D183" s="143" t="n"/>
      <c r="E183" s="143" t="n"/>
      <c r="F183" s="143" t="n"/>
      <c r="G183" s="144" t="n"/>
      <c r="H183" s="145">
        <f>IF(K183&lt;&gt;"", HYPERLINK("https://chatgpt.com/?prompt=" &amp; SUBSTITUTE(SUBSTITUTE(K183, " ", "+"), "&amp;", "dan") &amp; "&amp;force-refresh=true&amp;timestamp=" &amp; TEXT(NOW(), "yyyymmddhhmmss"), "👉 Klik untuk Generate Script! 🔥"), "")</f>
        <v/>
      </c>
      <c r="I183" s="143" t="n"/>
      <c r="J183" s="146" t="n"/>
      <c r="K183" s="130">
        <f>IF(AND(B183&lt;&gt;"", C183&lt;&gt;"", D183&lt;&gt;"", E183&lt;&gt;"", F183&lt;&gt;"", G183&lt;&gt;"", J183&lt;&gt;"", 'CONTENT PILLAR MAPPING'!C86&lt;&gt;"", 'CONTENT PILLAR MAPPING'!E86&lt;&gt;"", 'CONTENT PILLAR MAPPING'!F86&lt;&gt;"", 'CONTENT PILLAR MAPPING'!C89&lt;&gt;"", 'CONTENT PILLAR MAPPING'!C94&lt;&gt;"", 'CONTENT PILLAR MAPPING'!D94&lt;&gt;"", 'CONTENT PILLAR MAPPING'!E94&lt;&gt;"", 'CONTENT PILLAR MAPPING'!D102&lt;&gt;"", 'CONTENT PILLAR MAPPING'!D103&lt;&gt;""),
CONCATENATE(
"Sebagai seorang top konten kreator dengan niche utama '", 'CONTENT PILLAR MAPPING'!C86, "', spesifik kategori '", 'CONTENT PILLAR MAPPING'!E86, "', dan super spesifik '", 'CONTENT PILLAR MAPPING'!F86, "', yang dikenal sebagai '", 'CONTENT PILLAR MAPPING'!C89, "'.", CHAR(10),
"Saya memiliki Tone of Voice: '", 'CONTENT PILLAR MAPPING'!C94, "', Brand Archetype: '", 'CONTENT PILLAR MAPPING'!D94, "', dan Deskripsi Gaya Komunikasi: '", 'CONTENT PILLAR MAPPING'!E94, "'.", CHAR(10),
"Target audiens saya adalah: '", 'CONTENT PILLAR MAPPING'!D102, "', dengan segmentasi audiens: '", 'CONTENT PILLAR MAPPING'!D103, "'.", CHAR(10), CHAR(10),
"Mohon buatkan script konten yang **sangat powerful, menarik, inovatif, dan siap pakai** dengan judul ide '", B183, "'.", CHAR(10),
"Konten ini memiliki pilar '", C183, "', nilai tambah utama '", F183, "', dan akan menggunakan storytelling framework '", G183, "'.", CHAR(10),
"Gambaran singkat ide kontennya adalah: '", J183, "'.", CHAR(10),
"Konten ini akan diunggah di platform '", E183, "' dengan format '", D183,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 "'.** Sesuaikan dengan gaya komunikasi saya, dengan fokus pada nilai tambah '", F183,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MAPPING'!D102, ", khusus ", 'CONTENT PILLAR MAPPING'!D103, ") dan membantu mereka menyelesaikan masalah atau mencapai tujuan mereka.", CHAR(10),
"✔ Membantuku membangun personal branding yang kuat dan sustainable, sesuai dengan Positioning saya sebagai '", 'CONTENT PILLAR MAPPING'!C89, "' dan Brand Archetype '", 'CONTENT PILLAR MAPPING'!D94, "'.", CHAR(10),
"✔ Kemas dalam bentuk tabel agar rapi, mudah di baca dan dipahami, dengan kolom 'Judul Konten', 'Pilar', 'Format', 'Draft Script', 'CTA', 'Saran Visual', dan 'Full Caption'. (Kosongkan kolom Link Prompt jika ada)."
),
"")</f>
        <v/>
      </c>
      <c r="L183" s="91" t="n"/>
      <c r="M183" s="91" t="n"/>
      <c r="N183" s="102" t="n"/>
      <c r="O183" s="102" t="n"/>
      <c r="P183" s="102" t="n"/>
      <c r="Q183" s="102" t="n"/>
      <c r="R183" s="102" t="n"/>
      <c r="S183" s="102" t="n"/>
      <c r="T183" s="102" t="n"/>
      <c r="U183" s="102" t="n"/>
      <c r="V183" s="102" t="n"/>
      <c r="W183" s="102" t="n"/>
      <c r="X183" s="102" t="n"/>
      <c r="Y183" s="102" t="n"/>
      <c r="Z183" s="102" t="n"/>
      <c r="AA183" s="102" t="n"/>
      <c r="AB183" s="102" t="n"/>
      <c r="AC183" s="102" t="n"/>
      <c r="AD183" s="102" t="n"/>
    </row>
    <row r="184" ht="15.75" customHeight="1" s="205">
      <c r="A184" s="102" t="n"/>
      <c r="B184" s="147" t="n"/>
      <c r="C184" s="144" t="n"/>
      <c r="D184" s="144" t="n"/>
      <c r="E184" s="144" t="n"/>
      <c r="F184" s="144" t="n"/>
      <c r="G184" s="144" t="n"/>
      <c r="H184" s="141">
        <f>IF(K184&lt;&gt;"", HYPERLINK("https://chatgpt.com/?prompt=" &amp; SUBSTITUTE(SUBSTITUTE(K184, " ", "+"), "&amp;", "dan") &amp; "&amp;force-refresh=true&amp;timestamp=" &amp; TEXT(NOW(), "yyyymmddhhmmss"), "👉 Klik untuk Generate Script! 🔥"), "")</f>
        <v/>
      </c>
      <c r="I184" s="144" t="n"/>
      <c r="J184" s="148" t="n"/>
      <c r="K184" s="140">
        <f>IF(AND(B184&lt;&gt;"", C184&lt;&gt;"", D184&lt;&gt;"", E184&lt;&gt;"", F184&lt;&gt;"", G184&lt;&gt;"", J184&lt;&gt;"", 'CONTENT PILLAR MAPPING'!C86&lt;&gt;"", 'CONTENT PILLAR MAPPING'!E86&lt;&gt;"", 'CONTENT PILLAR MAPPING'!F86&lt;&gt;"", 'CONTENT PILLAR MAPPING'!C89&lt;&gt;"", 'CONTENT PILLAR MAPPING'!C94&lt;&gt;"", 'CONTENT PILLAR MAPPING'!D94&lt;&gt;"", 'CONTENT PILLAR MAPPING'!E94&lt;&gt;"", 'CONTENT PILLAR MAPPING'!D102&lt;&gt;"", 'CONTENT PILLAR MAPPING'!D103&lt;&gt;""),
CONCATENATE(
"Sebagai seorang top konten kreator dengan niche utama '", 'CONTENT PILLAR MAPPING'!C86, "', spesifik kategori '", 'CONTENT PILLAR MAPPING'!E86, "', dan super spesifik '", 'CONTENT PILLAR MAPPING'!F86, "', yang dikenal sebagai '", 'CONTENT PILLAR MAPPING'!C89, "'.", CHAR(10),
"Saya memiliki Tone of Voice: '", 'CONTENT PILLAR MAPPING'!C94, "', Brand Archetype: '", 'CONTENT PILLAR MAPPING'!D94, "', dan Deskripsi Gaya Komunikasi: '", 'CONTENT PILLAR MAPPING'!E94, "'.", CHAR(10),
"Target audiens saya adalah: '", 'CONTENT PILLAR MAPPING'!D102, "', dengan segmentasi audiens: '", 'CONTENT PILLAR MAPPING'!D103, "'.", CHAR(10), CHAR(10),
"Mohon buatkan script konten yang **sangat powerful, menarik, inovatif, dan siap pakai** dengan judul ide '", B184, "'.", CHAR(10),
"Konten ini memiliki pilar '", C184, "', nilai tambah utama '", F184, "', dan akan menggunakan storytelling framework '", G184, "'.", CHAR(10),
"Gambaran singkat ide kontennya adalah: '", J184, "'.", CHAR(10),
"Konten ini akan diunggah di platform '", E184, "' dengan format '", D184,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 "'.** Sesuaikan dengan gaya komunikasi saya, dengan fokus pada nilai tambah '", F184,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MAPPING'!D102, ", khusus ", 'CONTENT PILLAR MAPPING'!D103, ") dan membantu mereka menyelesaikan masalah atau mencapai tujuan mereka.", CHAR(10),
"✔ Membantuku membangun personal branding yang kuat dan sustainable, sesuai dengan Positioning saya sebagai '", 'CONTENT PILLAR MAPPING'!C89, "' dan Brand Archetype '", 'CONTENT PILLAR MAPPING'!D94, "'.", CHAR(10),
"✔ Kemas dalam bentuk tabel agar rapi, mudah di baca dan dipahami, dengan kolom 'Judul Konten', 'Pilar', 'Format', 'Draft Script', 'CTA', 'Saran Visual', dan 'Full Caption'. (Kosongkan kolom Link Prompt jika ada)."
),
"")</f>
        <v/>
      </c>
      <c r="L184" s="199" t="n"/>
      <c r="M184" s="199" t="n"/>
      <c r="N184" s="102" t="n"/>
      <c r="O184" s="102" t="n"/>
      <c r="P184" s="102" t="n"/>
      <c r="Q184" s="102" t="n"/>
      <c r="R184" s="102" t="n"/>
      <c r="S184" s="102" t="n"/>
      <c r="T184" s="102" t="n"/>
      <c r="U184" s="102" t="n"/>
      <c r="V184" s="102" t="n"/>
      <c r="W184" s="102" t="n"/>
      <c r="X184" s="102" t="n"/>
      <c r="Y184" s="102" t="n"/>
      <c r="Z184" s="102" t="n"/>
      <c r="AA184" s="102" t="n"/>
      <c r="AB184" s="102" t="n"/>
      <c r="AC184" s="102" t="n"/>
      <c r="AD184" s="102" t="n"/>
    </row>
    <row r="185" ht="15.75" customHeight="1" s="205">
      <c r="A185" s="102" t="n"/>
      <c r="B185" s="142" t="n"/>
      <c r="C185" s="143" t="n"/>
      <c r="D185" s="143" t="n"/>
      <c r="E185" s="143" t="n"/>
      <c r="F185" s="143" t="n"/>
      <c r="G185" s="144" t="n"/>
      <c r="H185" s="145">
        <f>IF(K185&lt;&gt;"", HYPERLINK("https://chatgpt.com/?prompt=" &amp; SUBSTITUTE(SUBSTITUTE(K185, " ", "+"), "&amp;", "dan") &amp; "&amp;force-refresh=true&amp;timestamp=" &amp; TEXT(NOW(), "yyyymmddhhmmss"), "👉 Klik untuk Generate Script! 🔥"), "")</f>
        <v/>
      </c>
      <c r="I185" s="143" t="n"/>
      <c r="J185" s="146" t="n"/>
      <c r="K185" s="130">
        <f>IF(AND(B185&lt;&gt;"", C185&lt;&gt;"", D185&lt;&gt;"", E185&lt;&gt;"", F185&lt;&gt;"", G185&lt;&gt;"", J185&lt;&gt;"", 'CONTENT PILLAR MAPPING'!C88&lt;&gt;"", 'CONTENT PILLAR MAPPING'!E88&lt;&gt;"", 'CONTENT PILLAR MAPPING'!F88&lt;&gt;"", 'CONTENT PILLAR MAPPING'!C91&lt;&gt;"", 'CONTENT PILLAR MAPPING'!C96&lt;&gt;"", 'CONTENT PILLAR MAPPING'!D96&lt;&gt;"", 'CONTENT PILLAR MAPPING'!E96&lt;&gt;"", 'CONTENT PILLAR MAPPING'!D104&lt;&gt;"", 'CONTENT PILLAR MAPPING'!D105&lt;&gt;""),
CONCATENATE(
"Sebagai seorang top konten kreator dengan niche utama '", 'CONTENT PILLAR MAPPING'!C88, "', spesifik kategori '", 'CONTENT PILLAR MAPPING'!E88, "', dan super spesifik '", 'CONTENT PILLAR MAPPING'!F88, "', yang dikenal sebagai '", 'CONTENT PILLAR MAPPING'!C91, "'.", CHAR(10),
"Saya memiliki Tone of Voice: '", 'CONTENT PILLAR MAPPING'!C96, "', Brand Archetype: '", 'CONTENT PILLAR MAPPING'!D96, "', dan Deskripsi Gaya Komunikasi: '", 'CONTENT PILLAR MAPPING'!E96, "'.", CHAR(10),
"Target audiens saya adalah: '", 'CONTENT PILLAR MAPPING'!D104, "', dengan segmentasi audiens: '", 'CONTENT PILLAR MAPPING'!D105, "'.", CHAR(10), CHAR(10),
"Mohon buatkan script konten yang **sangat powerful, menarik, inovatif, dan siap pakai** dengan judul ide '", B185, "'.", CHAR(10),
"Konten ini memiliki pilar '", C185, "', nilai tambah utama '", F185, "', dan akan menggunakan storytelling framework '", G185, "'.", CHAR(10),
"Gambaran singkat ide kontennya adalah: '", J185, "'.", CHAR(10),
"Konten ini akan diunggah di platform '", E185, "' dengan format '", D185,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MAPPING'!C91, "'.** Sesuaikan dengan gaya komunikasi saya, dengan fokus pada nilai tambah '", F185,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MAPPING'!D104, ", khusus ", 'CONTENT PILLAR MAPPING'!D105, ") dan membantu mereka menyelesaikan masalah atau mencapai tujuan mereka.", CHAR(10),
"✔ Membantuku membangun personal branding yang kuat dan sustainable, sesuai dengan Positioning saya sebagai '", 'CONTENT PILLAR MAPPING'!C91, "' dan Brand Archetype '", 'CONTENT PILLAR MAPPING'!D96, "'.", CHAR(10),
"✔ Kemas dalam bentuk tabel agar rapi, mudah di baca dan dipahami, dengan kolom 'Judul Konten', 'Pilar', 'Format', 'Draft Script', 'CTA', 'Saran Visual', dan 'Full Caption'. (Kosongkan kolom Link Prompt jika ada)."
),
"")</f>
        <v/>
      </c>
      <c r="L185" s="91" t="n"/>
      <c r="M185" s="91" t="n"/>
      <c r="N185" s="102" t="n"/>
      <c r="O185" s="102" t="n"/>
      <c r="P185" s="102" t="n"/>
      <c r="Q185" s="102" t="n"/>
      <c r="R185" s="102" t="n"/>
      <c r="S185" s="102" t="n"/>
      <c r="T185" s="102" t="n"/>
      <c r="U185" s="102" t="n"/>
      <c r="V185" s="102" t="n"/>
      <c r="W185" s="102" t="n"/>
      <c r="X185" s="102" t="n"/>
      <c r="Y185" s="102" t="n"/>
      <c r="Z185" s="102" t="n"/>
      <c r="AA185" s="102" t="n"/>
      <c r="AB185" s="102" t="n"/>
      <c r="AC185" s="102" t="n"/>
      <c r="AD185" s="102" t="n"/>
    </row>
    <row r="186" ht="15.75" customHeight="1" s="205">
      <c r="A186" s="102" t="n"/>
      <c r="B186" s="147" t="n"/>
      <c r="C186" s="144" t="n"/>
      <c r="D186" s="144" t="n"/>
      <c r="E186" s="144" t="n"/>
      <c r="F186" s="144" t="n"/>
      <c r="G186" s="144" t="n"/>
      <c r="H186" s="141">
        <f>IF(K186&lt;&gt;"", HYPERLINK("https://chatgpt.com/?prompt=" &amp; SUBSTITUTE(SUBSTITUTE(K186, " ", "+"), "&amp;", "dan") &amp; "&amp;force-refresh=true&amp;timestamp=" &amp; TEXT(NOW(), "yyyymmddhhmmss"), "👉 Klik untuk Generate Script! 🔥"), "")</f>
        <v/>
      </c>
      <c r="I186" s="144" t="n"/>
      <c r="J186" s="148" t="n"/>
      <c r="K186" s="140">
        <f>IF(AND(B186&lt;&gt;"", C186&lt;&gt;"", D186&lt;&gt;"", E186&lt;&gt;"", F186&lt;&gt;"", G186&lt;&gt;"", J186&lt;&gt;"", 'CONTENT PILLAR MAPPING'!C88&lt;&gt;"", 'CONTENT PILLAR MAPPING'!E88&lt;&gt;"", 'CONTENT PILLAR MAPPING'!F88&lt;&gt;"", 'CONTENT PILLAR MAPPING'!C91&lt;&gt;"", 'CONTENT PILLAR MAPPING'!C96&lt;&gt;"", 'CONTENT PILLAR MAPPING'!D96&lt;&gt;"", 'CONTENT PILLAR MAPPING'!E96&lt;&gt;"", 'CONTENT PILLAR MAPPING'!D104&lt;&gt;"", 'CONTENT PILLAR MAPPING'!D105&lt;&gt;""),
CONCATENATE(
"Sebagai seorang top konten kreator dengan niche utama '", 'CONTENT PILLAR MAPPING'!C88, "', spesifik kategori '", 'CONTENT PILLAR MAPPING'!E88, "', dan super spesifik '", 'CONTENT PILLAR MAPPING'!F88, "', yang dikenal sebagai '", 'CONTENT PILLAR MAPPING'!C91, "'.", CHAR(10),
"Saya memiliki Tone of Voice: '", 'CONTENT PILLAR MAPPING'!C96, "', Brand Archetype: '", 'CONTENT PILLAR MAPPING'!D96, "', dan Deskripsi Gaya Komunikasi: '", 'CONTENT PILLAR MAPPING'!E96, "'.", CHAR(10),
"Target audiens saya adalah: '", 'CONTENT PILLAR MAPPING'!D104, "', dengan segmentasi audiens: '", 'CONTENT PILLAR MAPPING'!D105, "'.", CHAR(10), CHAR(10),
"Mohon buatkan script konten yang **sangat powerful, menarik, inovatif, dan siap pakai** dengan judul ide '", B186, "'.", CHAR(10),
"Konten ini memiliki pilar '", C186, "', nilai tambah utama '", F186, "', dan akan menggunakan storytelling framework '", G186, "'.", CHAR(10),
"Gambaran singkat ide kontennya adalah: '", J186, "'.", CHAR(10),
"Konten ini akan diunggah di platform '", E186, "' dengan format '", D186,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MAPPING'!C91, "'.** Sesuaikan dengan gaya komunikasi saya, dengan fokus pada nilai tambah '", F186,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MAPPING'!D104, ", khusus ", 'CONTENT PILLAR MAPPING'!D105, ") dan membantu mereka menyelesaikan masalah atau mencapai tujuan mereka.", CHAR(10),
"✔ Membantuku membangun personal branding yang kuat dan sustainable, sesuai dengan Positioning saya sebagai '", 'CONTENT PILLAR MAPPING'!C91, "' dan Brand Archetype '", 'CONTENT PILLAR MAPPING'!D96, "'.", CHAR(10),
"✔ Kemas dalam bentuk tabel agar rapi, mudah di baca dan dipahami, dengan kolom 'Judul Konten', 'Pilar', 'Format', 'Draft Script', 'CTA', 'Saran Visual', dan 'Full Caption'. (Kosongkan kolom Link Prompt jika ada)."
),
"")</f>
        <v/>
      </c>
      <c r="L186" s="199" t="n"/>
      <c r="M186" s="199" t="n"/>
      <c r="N186" s="102" t="n"/>
      <c r="O186" s="102" t="n"/>
      <c r="P186" s="102" t="n"/>
      <c r="Q186" s="102" t="n"/>
      <c r="R186" s="102" t="n"/>
      <c r="S186" s="102" t="n"/>
      <c r="T186" s="102" t="n"/>
      <c r="U186" s="102" t="n"/>
      <c r="V186" s="102" t="n"/>
      <c r="W186" s="102" t="n"/>
      <c r="X186" s="102" t="n"/>
      <c r="Y186" s="102" t="n"/>
      <c r="Z186" s="102" t="n"/>
      <c r="AA186" s="102" t="n"/>
      <c r="AB186" s="102" t="n"/>
      <c r="AC186" s="102" t="n"/>
      <c r="AD186" s="102" t="n"/>
    </row>
    <row r="187" ht="15.75" customHeight="1" s="205">
      <c r="A187" s="102" t="n"/>
      <c r="B187" s="142" t="n"/>
      <c r="C187" s="143" t="n"/>
      <c r="D187" s="143" t="n"/>
      <c r="E187" s="143" t="n"/>
      <c r="F187" s="143" t="n"/>
      <c r="G187" s="144" t="n"/>
      <c r="H187" s="145">
        <f>IF(K187&lt;&gt;"", HYPERLINK("https://chatgpt.com/?prompt=" &amp; SUBSTITUTE(SUBSTITUTE(K187, " ", "+"), "&amp;", "dan") &amp; "&amp;force-refresh=true&amp;timestamp=" &amp; TEXT(NOW(), "yyyymmddhhmmss"), "👉 Klik untuk Generate Script! 🔥"), "")</f>
        <v/>
      </c>
      <c r="I187" s="143" t="n"/>
      <c r="J187" s="146" t="n"/>
      <c r="K187" s="130">
        <f>IF(AND(B187&lt;&gt;"", C187&lt;&gt;"", D187&lt;&gt;"", E187&lt;&gt;"", F187&lt;&gt;"", G187&lt;&gt;"", J187&lt;&gt;"", 'CONTENT PILLAR MAPPING'!C90&lt;&gt;"", 'CONTENT PILLAR MAPPING'!E90&lt;&gt;"", 'CONTENT PILLAR MAPPING'!F90&lt;&gt;"", 'CONTENT PILLAR MAPPING'!C93&lt;&gt;"", 'CONTENT PILLAR MAPPING'!C98&lt;&gt;"", 'CONTENT PILLAR MAPPING'!D98&lt;&gt;"", 'CONTENT PILLAR MAPPING'!E98&lt;&gt;"", 'CONTENT PILLAR MAPPING'!D106&lt;&gt;"", 'CONTENT PILLAR MAPPING'!D107&lt;&gt;""),
CONCATENATE(
"Sebagai seorang top konten kreator dengan niche utama '", 'CONTENT PILLAR MAPPING'!C90, "', spesifik kategori '", 'CONTENT PILLAR MAPPING'!E90, "', dan super spesifik '", 'CONTENT PILLAR MAPPING'!F90, "', yang dikenal sebagai '", 'CONTENT PILLAR MAPPING'!C93, "'.", CHAR(10),
"Saya memiliki Tone of Voice: '", 'CONTENT PILLAR MAPPING'!C98, "', Brand Archetype: '", 'CONTENT PILLAR MAPPING'!D98, "', dan Deskripsi Gaya Komunikasi: '", 'CONTENT PILLAR MAPPING'!E98, "'.", CHAR(10),
"Target audiens saya adalah: '", 'CONTENT PILLAR MAPPING'!D106, "', dengan segmentasi audiens: '", 'CONTENT PILLAR MAPPING'!D107, "'.", CHAR(10), CHAR(10),
"Mohon buatkan script konten yang **sangat powerful, menarik, inovatif, dan siap pakai** dengan judul ide '", B187, "'.", CHAR(10),
"Konten ini memiliki pilar '", C187, "', nilai tambah utama '", F187, "', dan akan menggunakan storytelling framework '", G187, "'.", CHAR(10),
"Gambaran singkat ide kontennya adalah: '", J187, "'.", CHAR(10),
"Konten ini akan diunggah di platform '", E187, "' dengan format '", D187,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MAPPING'!C93, "'.** Sesuaikan dengan gaya komunikasi saya, dengan fokus pada nilai tambah '", F187,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MAPPING'!D106, ", khusus ", 'CONTENT PILLAR MAPPING'!D107, ") dan membantu mereka menyelesaikan masalah atau mencapai tujuan mereka.", CHAR(10),
"✔ Membantuku membangun personal branding yang kuat dan sustainable, sesuai dengan Positioning saya sebagai '", 'CONTENT PILLAR MAPPING'!C93, "' dan Brand Archetype '", 'CONTENT PILLAR MAPPING'!D98, "'.", CHAR(10),
"✔ Kemas dalam bentuk tabel agar rapi, mudah di baca dan dipahami, dengan kolom 'Judul Konten', 'Pilar', 'Format', 'Draft Script', 'CTA', 'Saran Visual', dan 'Full Caption'. (Kosongkan kolom Link Prompt jika ada)."
),
"")</f>
        <v/>
      </c>
      <c r="L187" s="91" t="n"/>
      <c r="M187" s="91" t="n"/>
      <c r="N187" s="102" t="n"/>
      <c r="O187" s="102" t="n"/>
      <c r="P187" s="102" t="n"/>
      <c r="Q187" s="102" t="n"/>
      <c r="R187" s="102" t="n"/>
      <c r="S187" s="102" t="n"/>
      <c r="T187" s="102" t="n"/>
      <c r="U187" s="102" t="n"/>
      <c r="V187" s="102" t="n"/>
      <c r="W187" s="102" t="n"/>
      <c r="X187" s="102" t="n"/>
      <c r="Y187" s="102" t="n"/>
      <c r="Z187" s="102" t="n"/>
      <c r="AA187" s="102" t="n"/>
      <c r="AB187" s="102" t="n"/>
      <c r="AC187" s="102" t="n"/>
      <c r="AD187" s="102" t="n"/>
    </row>
    <row r="188" ht="15.75" customHeight="1" s="205">
      <c r="A188" s="102" t="n"/>
      <c r="B188" s="147" t="n"/>
      <c r="C188" s="144" t="n"/>
      <c r="D188" s="144" t="n"/>
      <c r="E188" s="144" t="n"/>
      <c r="F188" s="144" t="n"/>
      <c r="G188" s="144" t="n"/>
      <c r="H188" s="141">
        <f>IF(K188&lt;&gt;"", HYPERLINK("https://chatgpt.com/?prompt=" &amp; SUBSTITUTE(SUBSTITUTE(K188, " ", "+"), "&amp;", "dan") &amp; "&amp;force-refresh=true&amp;timestamp=" &amp; TEXT(NOW(), "yyyymmddhhmmss"), "👉 Klik untuk Generate Script! 🔥"), "")</f>
        <v/>
      </c>
      <c r="I188" s="144" t="n"/>
      <c r="J188" s="148" t="n"/>
      <c r="K188" s="140">
        <f>IF(AND(B188&lt;&gt;"", C188&lt;&gt;"", D188&lt;&gt;"", E188&lt;&gt;"", F188&lt;&gt;"", G188&lt;&gt;"", J188&lt;&gt;"", 'CONTENT PILLAR MAPPING'!C90&lt;&gt;"", 'CONTENT PILLAR MAPPING'!E90&lt;&gt;"", 'CONTENT PILLAR MAPPING'!F90&lt;&gt;"", 'CONTENT PILLAR MAPPING'!C93&lt;&gt;"", 'CONTENT PILLAR MAPPING'!C98&lt;&gt;"", 'CONTENT PILLAR MAPPING'!D98&lt;&gt;"", 'CONTENT PILLAR MAPPING'!E98&lt;&gt;"", 'CONTENT PILLAR MAPPING'!D106&lt;&gt;"", 'CONTENT PILLAR MAPPING'!D107&lt;&gt;""),
CONCATENATE(
"Sebagai seorang top konten kreator dengan niche utama '", 'CONTENT PILLAR MAPPING'!C90, "', spesifik kategori '", 'CONTENT PILLAR MAPPING'!E90, "', dan super spesifik '", 'CONTENT PILLAR MAPPING'!F90, "', yang dikenal sebagai '", 'CONTENT PILLAR MAPPING'!C93, "'.", CHAR(10),
"Saya memiliki Tone of Voice: '", 'CONTENT PILLAR MAPPING'!C98, "', Brand Archetype: '", 'CONTENT PILLAR MAPPING'!D98, "', dan Deskripsi Gaya Komunikasi: '", 'CONTENT PILLAR MAPPING'!E98, "'.", CHAR(10),
"Target audiens saya adalah: '", 'CONTENT PILLAR MAPPING'!D106, "', dengan segmentasi audiens: '", 'CONTENT PILLAR MAPPING'!D107, "'.", CHAR(10), CHAR(10),
"Mohon buatkan script konten yang **sangat powerful, menarik, inovatif, dan siap pakai** dengan judul ide '", B188, "'.", CHAR(10),
"Konten ini memiliki pilar '", C188, "', nilai tambah utama '", F188, "', dan akan menggunakan storytelling framework '", G188, "'.", CHAR(10),
"Gambaran singkat ide kontennya adalah: '", J188, "'.", CHAR(10),
"Konten ini akan diunggah di platform '", E188, "' dengan format '", D188,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MAPPING'!C93, "'.** Sesuaikan dengan gaya komunikasi saya, dengan fokus pada nilai tambah '", F188,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MAPPING'!D106, ", khusus ", 'CONTENT PILLAR MAPPING'!D107, ") dan membantu mereka menyelesaikan masalah atau mencapai tujuan mereka.", CHAR(10),
"✔ Membantuku membangun personal branding yang kuat dan sustainable, sesuai dengan Positioning saya sebagai '", 'CONTENT PILLAR MAPPING'!C93, "' dan Brand Archetype '", 'CONTENT PILLAR MAPPING'!D98, "'.", CHAR(10),
"✔ Kemas dalam bentuk tabel agar rapi, mudah di baca dan dipahami, dengan kolom 'Judul Konten', 'Pilar', 'Format', 'Draft Script', 'CTA', 'Saran Visual', dan 'Full Caption'. (Kosongkan kolom Link Prompt jika ada)."
),
"")</f>
        <v/>
      </c>
      <c r="L188" s="199" t="n"/>
      <c r="M188" s="199" t="n"/>
      <c r="N188" s="102" t="n"/>
      <c r="O188" s="102" t="n"/>
      <c r="P188" s="102" t="n"/>
      <c r="Q188" s="102" t="n"/>
      <c r="R188" s="102" t="n"/>
      <c r="S188" s="102" t="n"/>
      <c r="T188" s="102" t="n"/>
      <c r="U188" s="102" t="n"/>
      <c r="V188" s="102" t="n"/>
      <c r="W188" s="102" t="n"/>
      <c r="X188" s="102" t="n"/>
      <c r="Y188" s="102" t="n"/>
      <c r="Z188" s="102" t="n"/>
      <c r="AA188" s="102" t="n"/>
      <c r="AB188" s="102" t="n"/>
      <c r="AC188" s="102" t="n"/>
      <c r="AD188" s="102" t="n"/>
    </row>
    <row r="189" ht="15.75" customHeight="1" s="205">
      <c r="A189" s="102" t="n"/>
      <c r="B189" s="142" t="n"/>
      <c r="C189" s="143" t="n"/>
      <c r="D189" s="143" t="n"/>
      <c r="E189" s="143" t="n"/>
      <c r="F189" s="143" t="n"/>
      <c r="G189" s="144" t="n"/>
      <c r="H189" s="145">
        <f>IF(K189&lt;&gt;"", HYPERLINK("https://chatgpt.com/?prompt=" &amp; SUBSTITUTE(SUBSTITUTE(K189, " ", "+"), "&amp;", "dan") &amp; "&amp;force-refresh=true&amp;timestamp=" &amp; TEXT(NOW(), "yyyymmddhhmmss"), "👉 Klik untuk Generate Script! 🔥"), "")</f>
        <v/>
      </c>
      <c r="I189" s="143" t="n"/>
      <c r="J189" s="146" t="n"/>
      <c r="K189" s="130">
        <f>IF(AND(B189&lt;&gt;"", C189&lt;&gt;"", D189&lt;&gt;"", E189&lt;&gt;"", F189&lt;&gt;"", G189&lt;&gt;"", J189&lt;&gt;"", 'CONTENT PILLAR MAPPING'!C92&lt;&gt;"", 'CONTENT PILLAR MAPPING'!E92&lt;&gt;"", 'CONTENT PILLAR MAPPING'!F92&lt;&gt;"", 'CONTENT PILLAR MAPPING'!C95&lt;&gt;"", 'CONTENT PILLAR MAPPING'!C100&lt;&gt;"", 'CONTENT PILLAR MAPPING'!D100&lt;&gt;"", 'CONTENT PILLAR MAPPING'!E100&lt;&gt;"", 'CONTENT PILLAR MAPPING'!D108&lt;&gt;"", 'CONTENT PILLAR MAPPING'!D109&lt;&gt;""),
CONCATENATE(
"Sebagai seorang top konten kreator dengan niche utama '", 'CONTENT PILLAR MAPPING'!C92, "', spesifik kategori '", 'CONTENT PILLAR MAPPING'!E92, "', dan super spesifik '", 'CONTENT PILLAR MAPPING'!F92, "', yang dikenal sebagai '", 'CONTENT PILLAR MAPPING'!C95, "'.", CHAR(10),
"Saya memiliki Tone of Voice: '", 'CONTENT PILLAR MAPPING'!C100, "', Brand Archetype: '", 'CONTENT PILLAR MAPPING'!D100, "', dan Deskripsi Gaya Komunikasi: '", 'CONTENT PILLAR MAPPING'!E100, "'.", CHAR(10),
"Target audiens saya adalah: '", 'CONTENT PILLAR MAPPING'!D108, "', dengan segmentasi audiens: '", 'CONTENT PILLAR MAPPING'!D109, "'.", CHAR(10), CHAR(10),
"Mohon buatkan script konten yang **sangat powerful, menarik, inovatif, dan siap pakai** dengan judul ide '", B189, "'.", CHAR(10),
"Konten ini memiliki pilar '", C189, "', nilai tambah utama '", F189, "', dan akan menggunakan storytelling framework '", G189, "'.", CHAR(10),
"Gambaran singkat ide kontennya adalah: '", J189, "'.", CHAR(10),
"Konten ini akan diunggah di platform '", E189, "' dengan format '", D189,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MAPPING'!C95, "'.** Sesuaikan dengan gaya komunikasi saya, dengan fokus pada nilai tambah '", F189,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MAPPING'!D108, ", khusus ", 'CONTENT PILLAR MAPPING'!D109, ") dan membantu mereka menyelesaikan masalah atau mencapai tujuan mereka.", CHAR(10),
"✔ Membantuku membangun personal branding yang kuat dan sustainable, sesuai dengan Positioning saya sebagai '", 'CONTENT PILLAR MAPPING'!C95, "' dan Brand Archetype '", 'CONTENT PILLAR MAPPING'!D100, "'.", CHAR(10),
"✔ Kemas dalam bentuk tabel agar rapi, mudah di baca dan dipahami, dengan kolom 'Judul Konten', 'Pilar', 'Format', 'Draft Script', 'CTA', 'Saran Visual', dan 'Full Caption'. (Kosongkan kolom Link Prompt jika ada)."
),
"")</f>
        <v/>
      </c>
      <c r="L189" s="91" t="n"/>
      <c r="M189" s="91" t="n"/>
      <c r="N189" s="102" t="n"/>
      <c r="O189" s="102" t="n"/>
      <c r="P189" s="102" t="n"/>
      <c r="Q189" s="102" t="n"/>
      <c r="R189" s="102" t="n"/>
      <c r="S189" s="102" t="n"/>
      <c r="T189" s="102" t="n"/>
      <c r="U189" s="102" t="n"/>
      <c r="V189" s="102" t="n"/>
      <c r="W189" s="102" t="n"/>
      <c r="X189" s="102" t="n"/>
      <c r="Y189" s="102" t="n"/>
      <c r="Z189" s="102" t="n"/>
      <c r="AA189" s="102" t="n"/>
      <c r="AB189" s="102" t="n"/>
      <c r="AC189" s="102" t="n"/>
      <c r="AD189" s="102" t="n"/>
    </row>
    <row r="190" ht="15.75" customHeight="1" s="205">
      <c r="A190" s="102" t="n"/>
      <c r="B190" s="147" t="n"/>
      <c r="C190" s="144" t="n"/>
      <c r="D190" s="144" t="n"/>
      <c r="E190" s="144" t="n"/>
      <c r="F190" s="144" t="n"/>
      <c r="G190" s="144" t="n"/>
      <c r="H190" s="141">
        <f>IF(K190&lt;&gt;"", HYPERLINK("https://chatgpt.com/?prompt=" &amp; SUBSTITUTE(SUBSTITUTE(K190, " ", "+"), "&amp;", "dan") &amp; "&amp;force-refresh=true&amp;timestamp=" &amp; TEXT(NOW(), "yyyymmddhhmmss"), "👉 Klik untuk Generate Script! 🔥"), "")</f>
        <v/>
      </c>
      <c r="I190" s="144" t="n"/>
      <c r="J190" s="148" t="n"/>
      <c r="K190" s="140">
        <f>IF(AND(B190&lt;&gt;"", C190&lt;&gt;"", D190&lt;&gt;"", E190&lt;&gt;"", F190&lt;&gt;"", G190&lt;&gt;"", J190&lt;&gt;"", 'CONTENT PILLAR MAPPING'!C92&lt;&gt;"", 'CONTENT PILLAR MAPPING'!E92&lt;&gt;"", 'CONTENT PILLAR MAPPING'!F92&lt;&gt;"", 'CONTENT PILLAR MAPPING'!C95&lt;&gt;"", 'CONTENT PILLAR MAPPING'!C100&lt;&gt;"", 'CONTENT PILLAR MAPPING'!D100&lt;&gt;"", 'CONTENT PILLAR MAPPING'!E100&lt;&gt;"", 'CONTENT PILLAR MAPPING'!D108&lt;&gt;"", 'CONTENT PILLAR MAPPING'!D109&lt;&gt;""),
CONCATENATE(
"Sebagai seorang top konten kreator dengan niche utama '", 'CONTENT PILLAR MAPPING'!C92, "', spesifik kategori '", 'CONTENT PILLAR MAPPING'!E92, "', dan super spesifik '", 'CONTENT PILLAR MAPPING'!F92, "', yang dikenal sebagai '", 'CONTENT PILLAR MAPPING'!C95, "'.", CHAR(10),
"Saya memiliki Tone of Voice: '", 'CONTENT PILLAR MAPPING'!C100, "', Brand Archetype: '", 'CONTENT PILLAR MAPPING'!D100, "', dan Deskripsi Gaya Komunikasi: '", 'CONTENT PILLAR MAPPING'!E100, "'.", CHAR(10),
"Target audiens saya adalah: '", 'CONTENT PILLAR MAPPING'!D108, "', dengan segmentasi audiens: '", 'CONTENT PILLAR MAPPING'!D109, "'.", CHAR(10), CHAR(10),
"Mohon buatkan script konten yang **sangat powerful, menarik, inovatif, dan siap pakai** dengan judul ide '", B190, "'.", CHAR(10),
"Konten ini memiliki pilar '", C190, "', nilai tambah utama '", F190, "', dan akan menggunakan storytelling framework '", G190, "'.", CHAR(10),
"Gambaran singkat ide kontennya adalah: '", J190, "'.", CHAR(10),
"Konten ini akan diunggah di platform '", E190, "' dengan format '", D190,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MAPPING'!C95, "'.** Sesuaikan dengan gaya komunikasi saya, dengan fokus pada nilai tambah '", F190,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MAPPING'!D108, ", khusus ", 'CONTENT PILLAR MAPPING'!D109, ") dan membantu mereka menyelesaikan masalah atau mencapai tujuan mereka.", CHAR(10),
"✔ Membantuku membangun personal branding yang kuat dan sustainable, sesuai dengan Positioning saya sebagai '", 'CONTENT PILLAR MAPPING'!C95, "' dan Brand Archetype '", 'CONTENT PILLAR MAPPING'!D100, "'.", CHAR(10),
"✔ Kemas dalam bentuk tabel agar rapi, mudah di baca dan dipahami, dengan kolom 'Judul Konten', 'Pilar', 'Format', 'Draft Script', 'CTA', 'Saran Visual', dan 'Full Caption'. (Kosongkan kolom Link Prompt jika ada)."
),
"")</f>
        <v/>
      </c>
      <c r="L190" s="199" t="n"/>
      <c r="M190" s="199" t="n"/>
      <c r="N190" s="102" t="n"/>
      <c r="O190" s="102" t="n"/>
      <c r="P190" s="102" t="n"/>
      <c r="Q190" s="102" t="n"/>
      <c r="R190" s="102" t="n"/>
      <c r="S190" s="102" t="n"/>
      <c r="T190" s="102" t="n"/>
      <c r="U190" s="102" t="n"/>
      <c r="V190" s="102" t="n"/>
      <c r="W190" s="102" t="n"/>
      <c r="X190" s="102" t="n"/>
      <c r="Y190" s="102" t="n"/>
      <c r="Z190" s="102" t="n"/>
      <c r="AA190" s="102" t="n"/>
      <c r="AB190" s="102" t="n"/>
      <c r="AC190" s="102" t="n"/>
      <c r="AD190" s="102" t="n"/>
    </row>
    <row r="191" ht="15.75" customHeight="1" s="205">
      <c r="A191" s="102" t="n"/>
      <c r="B191" s="142" t="n"/>
      <c r="C191" s="143" t="n"/>
      <c r="D191" s="143" t="n"/>
      <c r="E191" s="143" t="n"/>
      <c r="F191" s="143" t="n"/>
      <c r="G191" s="144" t="n"/>
      <c r="H191" s="145">
        <f>IF(K191&lt;&gt;"", HYPERLINK("https://chatgpt.com/?prompt=" &amp; SUBSTITUTE(SUBSTITUTE(K191, " ", "+"), "&amp;", "dan") &amp; "&amp;force-refresh=true&amp;timestamp=" &amp; TEXT(NOW(), "yyyymmddhhmmss"), "👉 Klik untuk Generate Script! 🔥"), "")</f>
        <v/>
      </c>
      <c r="I191" s="143" t="n"/>
      <c r="J191" s="146" t="n"/>
      <c r="K191" s="130">
        <f>IF(AND(B191&lt;&gt;"", C191&lt;&gt;"", D191&lt;&gt;"", E191&lt;&gt;"", F191&lt;&gt;"", G191&lt;&gt;"", J191&lt;&gt;"", 'CONTENT PILLAR MAPPING'!C94&lt;&gt;"", 'CONTENT PILLAR MAPPING'!E94&lt;&gt;"", 'CONTENT PILLAR MAPPING'!F94&lt;&gt;"", 'CONTENT PILLAR MAPPING'!C97&lt;&gt;"", 'CONTENT PILLAR MAPPING'!C102&lt;&gt;"", 'CONTENT PILLAR MAPPING'!D102&lt;&gt;"", 'CONTENT PILLAR MAPPING'!E102&lt;&gt;"", 'CONTENT PILLAR MAPPING'!D110&lt;&gt;"", 'CONTENT PILLAR MAPPING'!D111&lt;&gt;""),
CONCATENATE(
"Sebagai seorang top konten kreator dengan niche utama '", 'CONTENT PILLAR MAPPING'!C94, "', spesifik kategori '", 'CONTENT PILLAR MAPPING'!E94, "', dan super spesifik '", 'CONTENT PILLAR MAPPING'!F94, "', yang dikenal sebagai '", 'CONTENT PILLAR MAPPING'!C97, "'.", CHAR(10),
"Saya memiliki Tone of Voice: '", 'CONTENT PILLAR MAPPING'!C102, "', Brand Archetype: '", 'CONTENT PILLAR MAPPING'!D102, "', dan Deskripsi Gaya Komunikasi: '", 'CONTENT PILLAR MAPPING'!E102, "'.", CHAR(10),
"Target audiens saya adalah: '", 'CONTENT PILLAR MAPPING'!D110, "', dengan segmentasi audiens: '", 'CONTENT PILLAR MAPPING'!D111, "'.", CHAR(10), CHAR(10),
"Mohon buatkan script konten yang **sangat powerful, menarik, inovatif, dan siap pakai** dengan judul ide '", B191, "'.", CHAR(10),
"Konten ini memiliki pilar '", C191, "', nilai tambah utama '", F191, "', dan akan menggunakan storytelling framework '", G191, "'.", CHAR(10),
"Gambaran singkat ide kontennya adalah: '", J191, "'.", CHAR(10),
"Konten ini akan diunggah di platform '", E191, "' dengan format '", D191,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MAPPING'!C97, "'.** Sesuaikan dengan gaya komunikasi saya, dengan fokus pada nilai tambah '", F191,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MAPPING'!D110, ", khusus ", 'CONTENT PILLAR MAPPING'!D111, ") dan membantu mereka menyelesaikan masalah atau mencapai tujuan mereka.", CHAR(10),
"✔ Membantuku membangun personal branding yang kuat dan sustainable, sesuai dengan Positioning saya sebagai '", 'CONTENT PILLAR MAPPING'!C97, "' dan Brand Archetype '", 'CONTENT PILLAR MAPPING'!D102, "'.", CHAR(10),
"✔ Kemas dalam bentuk tabel agar rapi, mudah di baca dan dipahami, dengan kolom 'Judul Konten', 'Pilar', 'Format', 'Draft Script', 'CTA', 'Saran Visual', dan 'Full Caption'. (Kosongkan kolom Link Prompt jika ada)."
),
"")</f>
        <v/>
      </c>
      <c r="L191" s="91" t="n"/>
      <c r="M191" s="91" t="n"/>
      <c r="N191" s="102" t="n"/>
      <c r="O191" s="102" t="n"/>
      <c r="P191" s="102" t="n"/>
      <c r="Q191" s="102" t="n"/>
      <c r="R191" s="102" t="n"/>
      <c r="S191" s="102" t="n"/>
      <c r="T191" s="102" t="n"/>
      <c r="U191" s="102" t="n"/>
      <c r="V191" s="102" t="n"/>
      <c r="W191" s="102" t="n"/>
      <c r="X191" s="102" t="n"/>
      <c r="Y191" s="102" t="n"/>
      <c r="Z191" s="102" t="n"/>
      <c r="AA191" s="102" t="n"/>
      <c r="AB191" s="102" t="n"/>
      <c r="AC191" s="102" t="n"/>
      <c r="AD191" s="102" t="n"/>
    </row>
    <row r="192" ht="15.75" customHeight="1" s="205">
      <c r="A192" s="102" t="n"/>
      <c r="B192" s="147" t="n"/>
      <c r="C192" s="144" t="n"/>
      <c r="D192" s="144" t="n"/>
      <c r="E192" s="144" t="n"/>
      <c r="F192" s="144" t="n"/>
      <c r="G192" s="144" t="n"/>
      <c r="H192" s="141">
        <f>IF(K192&lt;&gt;"", HYPERLINK("https://chatgpt.com/?prompt=" &amp; SUBSTITUTE(SUBSTITUTE(K192, " ", "+"), "&amp;", "dan") &amp; "&amp;force-refresh=true&amp;timestamp=" &amp; TEXT(NOW(), "yyyymmddhhmmss"), "👉 Klik untuk Generate Script! 🔥"), "")</f>
        <v/>
      </c>
      <c r="I192" s="144" t="n"/>
      <c r="J192" s="148" t="n"/>
      <c r="K192" s="140">
        <f>IF(AND(B192&lt;&gt;"", C192&lt;&gt;"", D192&lt;&gt;"", E192&lt;&gt;"", F192&lt;&gt;"", G192&lt;&gt;"", J192&lt;&gt;"", 'CONTENT PILLAR MAPPING'!C94&lt;&gt;"", 'CONTENT PILLAR MAPPING'!E94&lt;&gt;"", 'CONTENT PILLAR MAPPING'!F94&lt;&gt;"", 'CONTENT PILLAR MAPPING'!C97&lt;&gt;"", 'CONTENT PILLAR MAPPING'!C102&lt;&gt;"", 'CONTENT PILLAR MAPPING'!D102&lt;&gt;"", 'CONTENT PILLAR MAPPING'!E102&lt;&gt;"", 'CONTENT PILLAR MAPPING'!D110&lt;&gt;"", 'CONTENT PILLAR MAPPING'!D111&lt;&gt;""),
CONCATENATE(
"Sebagai seorang top konten kreator dengan niche utama '", 'CONTENT PILLAR MAPPING'!C94, "', spesifik kategori '", 'CONTENT PILLAR MAPPING'!E94, "', dan super spesifik '", 'CONTENT PILLAR MAPPING'!F94, "', yang dikenal sebagai '", 'CONTENT PILLAR MAPPING'!C97, "'.", CHAR(10),
"Saya memiliki Tone of Voice: '", 'CONTENT PILLAR MAPPING'!C102, "', Brand Archetype: '", 'CONTENT PILLAR MAPPING'!D102, "', dan Deskripsi Gaya Komunikasi: '", 'CONTENT PILLAR MAPPING'!E102, "'.", CHAR(10),
"Target audiens saya adalah: '", 'CONTENT PILLAR MAPPING'!D110, "', dengan segmentasi audiens: '", 'CONTENT PILLAR MAPPING'!D111, "'.", CHAR(10), CHAR(10),
"Mohon buatkan script konten yang **sangat powerful, menarik, inovatif, dan siap pakai** dengan judul ide '", B192, "'.", CHAR(10),
"Konten ini memiliki pilar '", C192, "', nilai tambah utama '", F192, "', dan akan menggunakan storytelling framework '", G192, "'.", CHAR(10),
"Gambaran singkat ide kontennya adalah: '", J192, "'.", CHAR(10),
"Konten ini akan diunggah di platform '", E192, "' dengan format '", D192,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MAPPING'!C97, "'.** Sesuaikan dengan gaya komunikasi saya, dengan fokus pada nilai tambah '", F192,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MAPPING'!D110, ", khusus ", 'CONTENT PILLAR MAPPING'!D111, ") dan membantu mereka menyelesaikan masalah atau mencapai tujuan mereka.", CHAR(10),
"✔ Membantuku membangun personal branding yang kuat dan sustainable, sesuai dengan Positioning saya sebagai '", 'CONTENT PILLAR MAPPING'!C97, "' dan Brand Archetype '", 'CONTENT PILLAR MAPPING'!D102, "'.", CHAR(10),
"✔ Kemas dalam bentuk tabel agar rapi, mudah di baca dan dipahami, dengan kolom 'Judul Konten', 'Pilar', 'Format', 'Draft Script', 'CTA', 'Saran Visual', dan 'Full Caption'. (Kosongkan kolom Link Prompt jika ada)."
),
"")</f>
        <v/>
      </c>
      <c r="L192" s="199" t="n"/>
      <c r="M192" s="199" t="n"/>
      <c r="N192" s="102" t="n"/>
      <c r="O192" s="102" t="n"/>
      <c r="P192" s="102" t="n"/>
      <c r="Q192" s="102" t="n"/>
      <c r="R192" s="102" t="n"/>
      <c r="S192" s="102" t="n"/>
      <c r="T192" s="102" t="n"/>
      <c r="U192" s="102" t="n"/>
      <c r="V192" s="102" t="n"/>
      <c r="W192" s="102" t="n"/>
      <c r="X192" s="102" t="n"/>
      <c r="Y192" s="102" t="n"/>
      <c r="Z192" s="102" t="n"/>
      <c r="AA192" s="102" t="n"/>
      <c r="AB192" s="102" t="n"/>
      <c r="AC192" s="102" t="n"/>
      <c r="AD192" s="102" t="n"/>
    </row>
    <row r="193" ht="15.75" customHeight="1" s="205">
      <c r="A193" s="102" t="n"/>
      <c r="B193" s="142" t="n"/>
      <c r="C193" s="143" t="n"/>
      <c r="D193" s="143" t="n"/>
      <c r="E193" s="143" t="n"/>
      <c r="F193" s="143" t="n"/>
      <c r="G193" s="144" t="n"/>
      <c r="H193" s="145">
        <f>IF(K193&lt;&gt;"", HYPERLINK("https://chatgpt.com/?prompt=" &amp; SUBSTITUTE(SUBSTITUTE(K193, " ", "+"), "&amp;", "dan") &amp; "&amp;force-refresh=true&amp;timestamp=" &amp; TEXT(NOW(), "yyyymmddhhmmss"), "👉 Klik untuk Generate Script! 🔥"), "")</f>
        <v/>
      </c>
      <c r="I193" s="143" t="n"/>
      <c r="J193" s="146" t="n"/>
      <c r="K193" s="130">
        <f>IF(AND(B193&lt;&gt;"", C193&lt;&gt;"", D193&lt;&gt;"", E193&lt;&gt;"", F193&lt;&gt;"", G193&lt;&gt;"", J193&lt;&gt;"", 'CONTENT PILLAR MAPPING'!C96&lt;&gt;"", 'CONTENT PILLAR MAPPING'!E96&lt;&gt;"", 'CONTENT PILLAR MAPPING'!F96&lt;&gt;"", 'CONTENT PILLAR MAPPING'!C99&lt;&gt;"", 'CONTENT PILLAR MAPPING'!C104&lt;&gt;"", 'CONTENT PILLAR MAPPING'!D104&lt;&gt;"", 'CONTENT PILLAR MAPPING'!E104&lt;&gt;"", 'CONTENT PILLAR MAPPING'!D112&lt;&gt;"", 'CONTENT PILLAR MAPPING'!D113&lt;&gt;""),
CONCATENATE(
"Sebagai seorang top konten kreator dengan niche utama '", 'CONTENT PILLAR MAPPING'!C96, "', spesifik kategori '", 'CONTENT PILLAR MAPPING'!E96, "', dan super spesifik '", 'CONTENT PILLAR MAPPING'!F96, "', yang dikenal sebagai '", 'CONTENT PILLAR MAPPING'!C99, "'.", CHAR(10),
"Saya memiliki Tone of Voice: '", 'CONTENT PILLAR MAPPING'!C104, "', Brand Archetype: '", 'CONTENT PILLAR MAPPING'!D104, "', dan Deskripsi Gaya Komunikasi: '", 'CONTENT PILLAR MAPPING'!E104, "'.", CHAR(10),
"Target audiens saya adalah: '", 'CONTENT PILLAR MAPPING'!D112, "', dengan segmentasi audiens: '", 'CONTENT PILLAR MAPPING'!D113, "'.", CHAR(10), CHAR(10),
"Mohon buatkan script konten yang **sangat powerful, menarik, inovatif, dan siap pakai** dengan judul ide '", B193, "'.", CHAR(10),
"Konten ini memiliki pilar '", C193, "', nilai tambah utama '", F193, "', dan akan menggunakan storytelling framework '", G193, "'.", CHAR(10),
"Gambaran singkat ide kontennya adalah: '", J193, "'.", CHAR(10),
"Konten ini akan diunggah di platform '", E193, "' dengan format '", D193,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MAPPING'!C99, "'.** Sesuaikan dengan gaya komunikasi saya, dengan fokus pada nilai tambah '", F193,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MAPPING'!D112, ", khusus ", 'CONTENT PILLAR MAPPING'!D113, ") dan membantu mereka menyelesaikan masalah atau mencapai tujuan mereka.", CHAR(10),
"✔ Membantuku membangun personal branding yang kuat dan sustainable, sesuai dengan Positioning saya sebagai '", 'CONTENT PILLAR MAPPING'!C99, "' dan Brand Archetype '", 'CONTENT PILLAR MAPPING'!D104, "'.", CHAR(10),
"✔ Kemas dalam bentuk tabel agar rapi, mudah di baca dan dipahami, dengan kolom 'Judul Konten', 'Pilar', 'Format', 'Draft Script', 'CTA', 'Saran Visual', dan 'Full Caption'. (Kosongkan kolom Link Prompt jika ada)."
),
"")</f>
        <v/>
      </c>
      <c r="L193" s="91" t="n"/>
      <c r="M193" s="91" t="n"/>
      <c r="N193" s="102" t="n"/>
      <c r="O193" s="102" t="n"/>
      <c r="P193" s="102" t="n"/>
      <c r="Q193" s="102" t="n"/>
      <c r="R193" s="102" t="n"/>
      <c r="S193" s="102" t="n"/>
      <c r="T193" s="102" t="n"/>
      <c r="U193" s="102" t="n"/>
      <c r="V193" s="102" t="n"/>
      <c r="W193" s="102" t="n"/>
      <c r="X193" s="102" t="n"/>
      <c r="Y193" s="102" t="n"/>
      <c r="Z193" s="102" t="n"/>
      <c r="AA193" s="102" t="n"/>
      <c r="AB193" s="102" t="n"/>
      <c r="AC193" s="102" t="n"/>
      <c r="AD193" s="102" t="n"/>
    </row>
    <row r="194" ht="15.75" customHeight="1" s="205">
      <c r="A194" s="102" t="n"/>
      <c r="B194" s="147" t="n"/>
      <c r="C194" s="144" t="n"/>
      <c r="D194" s="144" t="n"/>
      <c r="E194" s="144" t="n"/>
      <c r="F194" s="144" t="n"/>
      <c r="G194" s="144" t="n"/>
      <c r="H194" s="141">
        <f>IF(K194&lt;&gt;"", HYPERLINK("https://chatgpt.com/?prompt=" &amp; SUBSTITUTE(SUBSTITUTE(K194, " ", "+"), "&amp;", "dan") &amp; "&amp;force-refresh=true&amp;timestamp=" &amp; TEXT(NOW(), "yyyymmddhhmmss"), "👉 Klik untuk Generate Script! 🔥"), "")</f>
        <v/>
      </c>
      <c r="I194" s="144" t="n"/>
      <c r="J194" s="148" t="n"/>
      <c r="K194" s="140">
        <f>IF(AND(B194&lt;&gt;"", C194&lt;&gt;"", D194&lt;&gt;"", E194&lt;&gt;"", F194&lt;&gt;"", G194&lt;&gt;"", J194&lt;&gt;"", 'CONTENT PILLAR MAPPING'!C96&lt;&gt;"", 'CONTENT PILLAR MAPPING'!E96&lt;&gt;"", 'CONTENT PILLAR MAPPING'!F96&lt;&gt;"", 'CONTENT PILLAR MAPPING'!C99&lt;&gt;"", 'CONTENT PILLAR MAPPING'!C104&lt;&gt;"", 'CONTENT PILLAR MAPPING'!D104&lt;&gt;"", 'CONTENT PILLAR MAPPING'!E104&lt;&gt;"", 'CONTENT PILLAR MAPPING'!D112&lt;&gt;"", 'CONTENT PILLAR MAPPING'!D113&lt;&gt;""),
CONCATENATE(
"Sebagai seorang top konten kreator dengan niche utama '", 'CONTENT PILLAR MAPPING'!C96, "', spesifik kategori '", 'CONTENT PILLAR MAPPING'!E96, "', dan super spesifik '", 'CONTENT PILLAR MAPPING'!F96, "', yang dikenal sebagai '", 'CONTENT PILLAR MAPPING'!C99, "'.", CHAR(10),
"Saya memiliki Tone of Voice: '", 'CONTENT PILLAR MAPPING'!C104, "', Brand Archetype: '", 'CONTENT PILLAR MAPPING'!D104, "', dan Deskripsi Gaya Komunikasi: '", 'CONTENT PILLAR MAPPING'!E104, "'.", CHAR(10),
"Target audiens saya adalah: '", 'CONTENT PILLAR MAPPING'!D112, "', dengan segmentasi audiens: '", 'CONTENT PILLAR MAPPING'!D113, "'.", CHAR(10), CHAR(10),
"Mohon buatkan script konten yang **sangat powerful, menarik, inovatif, dan siap pakai** dengan judul ide '", B194, "'.", CHAR(10),
"Konten ini memiliki pilar '", C194, "', nilai tambah utama '", F194, "', dan akan menggunakan storytelling framework '", G194, "'.", CHAR(10),
"Gambaran singkat ide kontennya adalah: '", J194, "'.", CHAR(10),
"Konten ini akan diunggah di platform '", E194, "' dengan format '", D194,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MAPPING'!C99, "'.** Sesuaikan dengan gaya komunikasi saya, dengan fokus pada nilai tambah '", F194,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MAPPING'!D112, ", khusus ", 'CONTENT PILLAR MAPPING'!D113, ") dan membantu mereka menyelesaikan masalah atau mencapai tujuan mereka.", CHAR(10),
"✔ Membantuku membangun personal branding yang kuat dan sustainable, sesuai dengan Positioning saya sebagai '", 'CONTENT PILLAR MAPPING'!C99, "' dan Brand Archetype '", 'CONTENT PILLAR MAPPING'!D104, "'.", CHAR(10),
"✔ Kemas dalam bentuk tabel agar rapi, mudah di baca dan dipahami, dengan kolom 'Judul Konten', 'Pilar', 'Format', 'Draft Script', 'CTA', 'Saran Visual', dan 'Full Caption'. (Kosongkan kolom Link Prompt jika ada)."
),
"")</f>
        <v/>
      </c>
      <c r="L194" s="199" t="n"/>
      <c r="M194" s="199" t="n"/>
      <c r="N194" s="102" t="n"/>
      <c r="O194" s="102" t="n"/>
      <c r="P194" s="102" t="n"/>
      <c r="Q194" s="102" t="n"/>
      <c r="R194" s="102" t="n"/>
      <c r="S194" s="102" t="n"/>
      <c r="T194" s="102" t="n"/>
      <c r="U194" s="102" t="n"/>
      <c r="V194" s="102" t="n"/>
      <c r="W194" s="102" t="n"/>
      <c r="X194" s="102" t="n"/>
      <c r="Y194" s="102" t="n"/>
      <c r="Z194" s="102" t="n"/>
      <c r="AA194" s="102" t="n"/>
      <c r="AB194" s="102" t="n"/>
      <c r="AC194" s="102" t="n"/>
      <c r="AD194" s="102" t="n"/>
    </row>
    <row r="195" ht="15.75" customHeight="1" s="205">
      <c r="A195" s="102" t="n"/>
      <c r="B195" s="142" t="n"/>
      <c r="C195" s="143" t="n"/>
      <c r="D195" s="143" t="n"/>
      <c r="E195" s="143" t="n"/>
      <c r="F195" s="143" t="n"/>
      <c r="G195" s="144" t="n"/>
      <c r="H195" s="145">
        <f>IF(K195&lt;&gt;"", HYPERLINK("https://chatgpt.com/?prompt=" &amp; SUBSTITUTE(SUBSTITUTE(K195, " ", "+"), "&amp;", "dan") &amp; "&amp;force-refresh=true&amp;timestamp=" &amp; TEXT(NOW(), "yyyymmddhhmmss"), "👉 Klik untuk Generate Script! 🔥"), "")</f>
        <v/>
      </c>
      <c r="I195" s="143" t="n"/>
      <c r="J195" s="146" t="n"/>
      <c r="K195" s="130">
        <f>IF(AND(B195&lt;&gt;"", C195&lt;&gt;"", D195&lt;&gt;"", E195&lt;&gt;"", F195&lt;&gt;"", G195&lt;&gt;"", J195&lt;&gt;"", 'CONTENT PILLAR MAPPING'!C98&lt;&gt;"", 'CONTENT PILLAR MAPPING'!E98&lt;&gt;"", 'CONTENT PILLAR MAPPING'!F98&lt;&gt;"", 'CONTENT PILLAR MAPPING'!C101&lt;&gt;"", 'CONTENT PILLAR MAPPING'!C106&lt;&gt;"", 'CONTENT PILLAR MAPPING'!D106&lt;&gt;"", 'CONTENT PILLAR MAPPING'!E106&lt;&gt;"", 'CONTENT PILLAR MAPPING'!D114&lt;&gt;"", 'CONTENT PILLAR MAPPING'!D115&lt;&gt;""),
CONCATENATE(
"Sebagai seorang top konten kreator dengan niche utama '", 'CONTENT PILLAR MAPPING'!C98, "', spesifik kategori '", 'CONTENT PILLAR MAPPING'!E98, "', dan super spesifik '", 'CONTENT PILLAR MAPPING'!F98, "', yang dikenal sebagai '", 'CONTENT PILLAR MAPPING'!C101, "'.", CHAR(10),
"Saya memiliki Tone of Voice: '", 'CONTENT PILLAR MAPPING'!C106, "', Brand Archetype: '", 'CONTENT PILLAR MAPPING'!D106, "', dan Deskripsi Gaya Komunikasi: '", 'CONTENT PILLAR MAPPING'!E106, "'.", CHAR(10),
"Target audiens saya adalah: '", 'CONTENT PILLAR MAPPING'!D114, "', dengan segmentasi audiens: '", 'CONTENT PILLAR MAPPING'!D115, "'.", CHAR(10), CHAR(10),
"Mohon buatkan script konten yang **sangat powerful, menarik, inovatif, dan siap pakai** dengan judul ide '", B195, "'.", CHAR(10),
"Konten ini memiliki pilar '", C195, "', nilai tambah utama '", F195, "', dan akan menggunakan storytelling framework '", G195, "'.", CHAR(10),
"Gambaran singkat ide kontennya adalah: '", J195, "'.", CHAR(10),
"Konten ini akan diunggah di platform '", E195, "' dengan format '", D195,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MAPPING'!C101, "'.** Sesuaikan dengan gaya komunikasi saya, dengan fokus pada nilai tambah '", F195,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MAPPING'!D114, ", khusus ", 'CONTENT PILLAR MAPPING'!D115, ") dan membantu mereka menyelesaikan masalah atau mencapai tujuan mereka.", CHAR(10),
"✔ Membantuku membangun personal branding yang kuat dan sustainable, sesuai dengan Positioning saya sebagai '", 'CONTENT PILLAR MAPPING'!C101, "' dan Brand Archetype '", 'CONTENT PILLAR MAPPING'!D106, "'.", CHAR(10),
"✔ Kemas dalam bentuk tabel agar rapi, mudah di baca dan dipahami, dengan kolom 'Judul Konten', 'Pilar', 'Format', 'Draft Script', 'CTA', 'Saran Visual', dan 'Full Caption'. (Kosongkan kolom Link Prompt jika ada)."
),
"")</f>
        <v/>
      </c>
      <c r="L195" s="91" t="n"/>
      <c r="M195" s="91" t="n"/>
      <c r="N195" s="102" t="n"/>
      <c r="O195" s="102" t="n"/>
      <c r="P195" s="102" t="n"/>
      <c r="Q195" s="102" t="n"/>
      <c r="R195" s="102" t="n"/>
      <c r="S195" s="102" t="n"/>
      <c r="T195" s="102" t="n"/>
      <c r="U195" s="102" t="n"/>
      <c r="V195" s="102" t="n"/>
      <c r="W195" s="102" t="n"/>
      <c r="X195" s="102" t="n"/>
      <c r="Y195" s="102" t="n"/>
      <c r="Z195" s="102" t="n"/>
      <c r="AA195" s="102" t="n"/>
      <c r="AB195" s="102" t="n"/>
      <c r="AC195" s="102" t="n"/>
      <c r="AD195" s="102" t="n"/>
    </row>
    <row r="196" ht="15.75" customHeight="1" s="205">
      <c r="A196" s="102" t="n"/>
      <c r="B196" s="147" t="n"/>
      <c r="C196" s="144" t="n"/>
      <c r="D196" s="144" t="n"/>
      <c r="E196" s="144" t="n"/>
      <c r="F196" s="144" t="n"/>
      <c r="G196" s="144" t="n"/>
      <c r="H196" s="141">
        <f>IF(K196&lt;&gt;"", HYPERLINK("https://chatgpt.com/?prompt=" &amp; SUBSTITUTE(SUBSTITUTE(K196, " ", "+"), "&amp;", "dan") &amp; "&amp;force-refresh=true&amp;timestamp=" &amp; TEXT(NOW(), "yyyymmddhhmmss"), "👉 Klik untuk Generate Script! 🔥"), "")</f>
        <v/>
      </c>
      <c r="I196" s="144" t="n"/>
      <c r="J196" s="148" t="n"/>
      <c r="K196" s="140">
        <f>IF(AND(B196&lt;&gt;"", C196&lt;&gt;"", D196&lt;&gt;"", E196&lt;&gt;"", F196&lt;&gt;"", G196&lt;&gt;"", J196&lt;&gt;"", 'CONTENT PILLAR MAPPING'!C98&lt;&gt;"", 'CONTENT PILLAR MAPPING'!E98&lt;&gt;"", 'CONTENT PILLAR MAPPING'!F98&lt;&gt;"", 'CONTENT PILLAR MAPPING'!C101&lt;&gt;"", 'CONTENT PILLAR MAPPING'!C106&lt;&gt;"", 'CONTENT PILLAR MAPPING'!D106&lt;&gt;"", 'CONTENT PILLAR MAPPING'!E106&lt;&gt;"", 'CONTENT PILLAR MAPPING'!D114&lt;&gt;"", 'CONTENT PILLAR MAPPING'!D115&lt;&gt;""),
CONCATENATE(
"Sebagai seorang top konten kreator dengan niche utama '", 'CONTENT PILLAR MAPPING'!C98, "', spesifik kategori '", 'CONTENT PILLAR MAPPING'!E98, "', dan super spesifik '", 'CONTENT PILLAR MAPPING'!F98, "', yang dikenal sebagai '", 'CONTENT PILLAR MAPPING'!C101, "'.", CHAR(10),
"Saya memiliki Tone of Voice: '", 'CONTENT PILLAR MAPPING'!C106, "', Brand Archetype: '", 'CONTENT PILLAR MAPPING'!D106, "', dan Deskripsi Gaya Komunikasi: '", 'CONTENT PILLAR MAPPING'!E106, "'.", CHAR(10),
"Target audiens saya adalah: '", 'CONTENT PILLAR MAPPING'!D114, "', dengan segmentasi audiens: '", 'CONTENT PILLAR MAPPING'!D115, "'.", CHAR(10), CHAR(10),
"Mohon buatkan script konten yang **sangat powerful, menarik, inovatif, dan siap pakai** dengan judul ide '", B196, "'.", CHAR(10),
"Konten ini memiliki pilar '", C196, "', nilai tambah utama '", F196, "', dan akan menggunakan storytelling framework '", G196, "'.", CHAR(10),
"Gambaran singkat ide kontennya adalah: '", J196, "'.", CHAR(10),
"Konten ini akan diunggah di platform '", E196, "' dengan format '", D196,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MAPPING'!C101, "'.** Sesuaikan dengan gaya komunikasi saya, dengan fokus pada nilai tambah '", F196,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MAPPING'!D114, ", khusus ", 'CONTENT PILLAR MAPPING'!D115, ") dan membantu mereka menyelesaikan masalah atau mencapai tujuan mereka.", CHAR(10),
"✔ Membantuku membangun personal branding yang kuat dan sustainable, sesuai dengan Positioning saya sebagai '", 'CONTENT PILLAR MAPPING'!C101, "' dan Brand Archetype '", 'CONTENT PILLAR MAPPING'!D106, "'.", CHAR(10),
"✔ Kemas dalam bentuk tabel agar rapi, mudah di baca dan dipahami, dengan kolom 'Judul Konten', 'Pilar', 'Format', 'Draft Script', 'CTA', 'Saran Visual', dan 'Full Caption'. (Kosongkan kolom Link Prompt jika ada)."
),
"")</f>
        <v/>
      </c>
      <c r="L196" s="199" t="n"/>
      <c r="M196" s="199" t="n"/>
      <c r="N196" s="102" t="n"/>
      <c r="O196" s="102" t="n"/>
      <c r="P196" s="102" t="n"/>
      <c r="Q196" s="102" t="n"/>
      <c r="R196" s="102" t="n"/>
      <c r="S196" s="102" t="n"/>
      <c r="T196" s="102" t="n"/>
      <c r="U196" s="102" t="n"/>
      <c r="V196" s="102" t="n"/>
      <c r="W196" s="102" t="n"/>
      <c r="X196" s="102" t="n"/>
      <c r="Y196" s="102" t="n"/>
      <c r="Z196" s="102" t="n"/>
      <c r="AA196" s="102" t="n"/>
      <c r="AB196" s="102" t="n"/>
      <c r="AC196" s="102" t="n"/>
      <c r="AD196" s="102" t="n"/>
    </row>
    <row r="197" ht="15.75" customHeight="1" s="205">
      <c r="A197" s="102" t="n"/>
      <c r="B197" s="142" t="n"/>
      <c r="C197" s="143" t="n"/>
      <c r="D197" s="143" t="n"/>
      <c r="E197" s="143" t="n"/>
      <c r="F197" s="143" t="n"/>
      <c r="G197" s="144" t="n"/>
      <c r="H197" s="145">
        <f>IF(K197&lt;&gt;"", HYPERLINK("https://chatgpt.com/?prompt=" &amp; SUBSTITUTE(SUBSTITUTE(K197, " ", "+"), "&amp;", "dan") &amp; "&amp;force-refresh=true&amp;timestamp=" &amp; TEXT(NOW(), "yyyymmddhhmmss"), "👉 Klik untuk Generate Script! 🔥"), "")</f>
        <v/>
      </c>
      <c r="I197" s="143" t="n"/>
      <c r="J197" s="146" t="n"/>
      <c r="K197" s="130">
        <f>IF(AND(B197&lt;&gt;"", C197&lt;&gt;"", D197&lt;&gt;"", E197&lt;&gt;"", F197&lt;&gt;"", G197&lt;&gt;"", J197&lt;&gt;"", 'CONTENT PILLAR MAPPING'!C100&lt;&gt;"", 'CONTENT PILLAR MAPPING'!E100&lt;&gt;"", 'CONTENT PILLAR MAPPING'!F100&lt;&gt;"", 'CONTENT PILLAR MAPPING'!C103&lt;&gt;"", 'CONTENT PILLAR MAPPING'!C108&lt;&gt;"", 'CONTENT PILLAR MAPPING'!D108&lt;&gt;"", 'CONTENT PILLAR MAPPING'!E108&lt;&gt;"", 'CONTENT PILLAR MAPPING'!D116&lt;&gt;"", 'CONTENT PILLAR MAPPING'!D117&lt;&gt;""),
CONCATENATE(
"Sebagai seorang top konten kreator dengan niche utama '", 'CONTENT PILLAR MAPPING'!C100, "', spesifik kategori '", 'CONTENT PILLAR MAPPING'!E100, "', dan super spesifik '", 'CONTENT PILLAR MAPPING'!F100, "', yang dikenal sebagai '", 'CONTENT PILLAR MAPPING'!C103, "'.", CHAR(10),
"Saya memiliki Tone of Voice: '", 'CONTENT PILLAR MAPPING'!C108, "', Brand Archetype: '", 'CONTENT PILLAR MAPPING'!D108, "', dan Deskripsi Gaya Komunikasi: '", 'CONTENT PILLAR MAPPING'!E108, "'.", CHAR(10),
"Target audiens saya adalah: '", 'CONTENT PILLAR MAPPING'!D116, "', dengan segmentasi audiens: '", 'CONTENT PILLAR MAPPING'!D117, "'.", CHAR(10), CHAR(10),
"Mohon buatkan script konten yang **sangat powerful, menarik, inovatif, dan siap pakai** dengan judul ide '", B197, "'.", CHAR(10),
"Konten ini memiliki pilar '", C197, "', nilai tambah utama '", F197, "', dan akan menggunakan storytelling framework '", G197, "'.", CHAR(10),
"Gambaran singkat ide kontennya adalah: '", J197, "'.", CHAR(10),
"Konten ini akan diunggah di platform '", E197, "' dengan format '", D197,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MAPPING'!C103, "'.** Sesuaikan dengan gaya komunikasi saya, dengan fokus pada nilai tambah '", F197,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MAPPING'!D116, ", khusus ", 'CONTENT PILLAR MAPPING'!D117, ") dan membantu mereka menyelesaikan masalah atau mencapai tujuan mereka.", CHAR(10),
"✔ Membantuku membangun personal branding yang kuat dan sustainable, sesuai dengan Positioning saya sebagai '", 'CONTENT PILLAR MAPPING'!C103, "' dan Brand Archetype '", 'CONTENT PILLAR MAPPING'!D108, "'.", CHAR(10),
"✔ Kemas dalam bentuk tabel agar rapi, mudah di baca dan dipahami, dengan kolom 'Judul Konten', 'Pilar', 'Format', 'Draft Script', 'CTA', 'Saran Visual', dan 'Full Caption'. (Kosongkan kolom Link Prompt jika ada)."
),
"")</f>
        <v/>
      </c>
      <c r="L197" s="91" t="n"/>
      <c r="M197" s="91" t="n"/>
      <c r="N197" s="102" t="n"/>
      <c r="O197" s="102" t="n"/>
      <c r="P197" s="102" t="n"/>
      <c r="Q197" s="102" t="n"/>
      <c r="R197" s="102" t="n"/>
      <c r="S197" s="102" t="n"/>
      <c r="T197" s="102" t="n"/>
      <c r="U197" s="102" t="n"/>
      <c r="V197" s="102" t="n"/>
      <c r="W197" s="102" t="n"/>
      <c r="X197" s="102" t="n"/>
      <c r="Y197" s="102" t="n"/>
      <c r="Z197" s="102" t="n"/>
      <c r="AA197" s="102" t="n"/>
      <c r="AB197" s="102" t="n"/>
      <c r="AC197" s="102" t="n"/>
      <c r="AD197" s="102" t="n"/>
    </row>
    <row r="198" ht="15.75" customHeight="1" s="205">
      <c r="A198" s="102" t="n"/>
      <c r="B198" s="147" t="n"/>
      <c r="C198" s="144" t="n"/>
      <c r="D198" s="144" t="n"/>
      <c r="E198" s="144" t="n"/>
      <c r="F198" s="144" t="n"/>
      <c r="G198" s="144" t="n"/>
      <c r="H198" s="141">
        <f>IF(K198&lt;&gt;"", HYPERLINK("https://chatgpt.com/?prompt=" &amp; SUBSTITUTE(SUBSTITUTE(K198, " ", "+"), "&amp;", "dan") &amp; "&amp;force-refresh=true&amp;timestamp=" &amp; TEXT(NOW(), "yyyymmddhhmmss"), "👉 Klik untuk Generate Script! 🔥"), "")</f>
        <v/>
      </c>
      <c r="I198" s="144" t="n"/>
      <c r="J198" s="148" t="n"/>
      <c r="K198" s="140">
        <f>IF(AND(B198&lt;&gt;"", C198&lt;&gt;"", D198&lt;&gt;"", E198&lt;&gt;"", F198&lt;&gt;"", G198&lt;&gt;"", J198&lt;&gt;"", 'CONTENT PILLAR MAPPING'!C100&lt;&gt;"", 'CONTENT PILLAR MAPPING'!E100&lt;&gt;"", 'CONTENT PILLAR MAPPING'!F100&lt;&gt;"", 'CONTENT PILLAR MAPPING'!C103&lt;&gt;"", 'CONTENT PILLAR MAPPING'!C108&lt;&gt;"", 'CONTENT PILLAR MAPPING'!D108&lt;&gt;"", 'CONTENT PILLAR MAPPING'!E108&lt;&gt;"", 'CONTENT PILLAR MAPPING'!D116&lt;&gt;"", 'CONTENT PILLAR MAPPING'!D117&lt;&gt;""),
CONCATENATE(
"Sebagai seorang top konten kreator dengan niche utama '", 'CONTENT PILLAR MAPPING'!C100, "', spesifik kategori '", 'CONTENT PILLAR MAPPING'!E100, "', dan super spesifik '", 'CONTENT PILLAR MAPPING'!F100, "', yang dikenal sebagai '", 'CONTENT PILLAR MAPPING'!C103, "'.", CHAR(10),
"Saya memiliki Tone of Voice: '", 'CONTENT PILLAR MAPPING'!C108, "', Brand Archetype: '", 'CONTENT PILLAR MAPPING'!D108, "', dan Deskripsi Gaya Komunikasi: '", 'CONTENT PILLAR MAPPING'!E108, "'.", CHAR(10),
"Target audiens saya adalah: '", 'CONTENT PILLAR MAPPING'!D116, "', dengan segmentasi audiens: '", 'CONTENT PILLAR MAPPING'!D117, "'.", CHAR(10), CHAR(10),
"Mohon buatkan script konten yang **sangat powerful, menarik, inovatif, dan siap pakai** dengan judul ide '", B198, "'.", CHAR(10),
"Konten ini memiliki pilar '", C198, "', nilai tambah utama '", F198, "', dan akan menggunakan storytelling framework '", G198, "'.", CHAR(10),
"Gambaran singkat ide kontennya adalah: '", J198, "'.", CHAR(10),
"Konten ini akan diunggah di platform '", E198, "' dengan format '", D198,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MAPPING'!C103, "'.** Sesuaikan dengan gaya komunikasi saya, dengan fokus pada nilai tambah '", F198,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MAPPING'!D116, ", khusus ", 'CONTENT PILLAR MAPPING'!D117, ") dan membantu mereka menyelesaikan masalah atau mencapai tujuan mereka.", CHAR(10),
"✔ Membantuku membangun personal branding yang kuat dan sustainable, sesuai dengan Positioning saya sebagai '", 'CONTENT PILLAR MAPPING'!C103, "' dan Brand Archetype '", 'CONTENT PILLAR MAPPING'!D108, "'.", CHAR(10),
"✔ Kemas dalam bentuk tabel agar rapi, mudah di baca dan dipahami, dengan kolom 'Judul Konten', 'Pilar', 'Format', 'Draft Script', 'CTA', 'Saran Visual', dan 'Full Caption'. (Kosongkan kolom Link Prompt jika ada)."
),
"")</f>
        <v/>
      </c>
      <c r="L198" s="199" t="n"/>
      <c r="M198" s="199" t="n"/>
      <c r="N198" s="102" t="n"/>
      <c r="O198" s="102" t="n"/>
      <c r="P198" s="102" t="n"/>
      <c r="Q198" s="102" t="n"/>
      <c r="R198" s="102" t="n"/>
      <c r="S198" s="102" t="n"/>
      <c r="T198" s="102" t="n"/>
      <c r="U198" s="102" t="n"/>
      <c r="V198" s="102" t="n"/>
      <c r="W198" s="102" t="n"/>
      <c r="X198" s="102" t="n"/>
      <c r="Y198" s="102" t="n"/>
      <c r="Z198" s="102" t="n"/>
      <c r="AA198" s="102" t="n"/>
      <c r="AB198" s="102" t="n"/>
      <c r="AC198" s="102" t="n"/>
      <c r="AD198" s="102" t="n"/>
    </row>
    <row r="199" ht="15.75" customHeight="1" s="205">
      <c r="A199" s="102" t="n"/>
      <c r="B199" s="142" t="n"/>
      <c r="C199" s="143" t="n"/>
      <c r="D199" s="143" t="n"/>
      <c r="E199" s="143" t="n"/>
      <c r="F199" s="143" t="n"/>
      <c r="G199" s="144" t="n"/>
      <c r="H199" s="145">
        <f>IF(K199&lt;&gt;"", HYPERLINK("https://chatgpt.com/?prompt=" &amp; SUBSTITUTE(SUBSTITUTE(K199, " ", "+"), "&amp;", "dan") &amp; "&amp;force-refresh=true&amp;timestamp=" &amp; TEXT(NOW(), "yyyymmddhhmmss"), "👉 Klik untuk Generate Script! 🔥"), "")</f>
        <v/>
      </c>
      <c r="I199" s="143" t="n"/>
      <c r="J199" s="146" t="n"/>
      <c r="K199" s="130">
        <f>IF(AND(B199&lt;&gt;"", C199&lt;&gt;"", D199&lt;&gt;"", E199&lt;&gt;"", F199&lt;&gt;"", G199&lt;&gt;"", J199&lt;&gt;"", 'CONTENT PILLAR MAPPING'!C102&lt;&gt;"", 'CONTENT PILLAR MAPPING'!E102&lt;&gt;"", 'CONTENT PILLAR MAPPING'!F102&lt;&gt;"", 'CONTENT PILLAR MAPPING'!C105&lt;&gt;"", 'CONTENT PILLAR MAPPING'!C110&lt;&gt;"", 'CONTENT PILLAR MAPPING'!D110&lt;&gt;"", 'CONTENT PILLAR MAPPING'!E110&lt;&gt;"", 'CONTENT PILLAR MAPPING'!D118&lt;&gt;"", 'CONTENT PILLAR MAPPING'!D119&lt;&gt;""),
CONCATENATE(
"Sebagai seorang top konten kreator dengan niche utama '", 'CONTENT PILLAR MAPPING'!C102, "', spesifik kategori '", 'CONTENT PILLAR MAPPING'!E102, "', dan super spesifik '", 'CONTENT PILLAR MAPPING'!F102, "', yang dikenal sebagai '", 'CONTENT PILLAR MAPPING'!C105, "'.", CHAR(10),
"Saya memiliki Tone of Voice: '", 'CONTENT PILLAR MAPPING'!C110, "', Brand Archetype: '", 'CONTENT PILLAR MAPPING'!D110, "', dan Deskripsi Gaya Komunikasi: '", 'CONTENT PILLAR MAPPING'!E110, "'.", CHAR(10),
"Target audiens saya adalah: '", 'CONTENT PILLAR MAPPING'!D118, "', dengan segmentasi audiens: '", 'CONTENT PILLAR MAPPING'!D119, "'.", CHAR(10), CHAR(10),
"Mohon buatkan script konten yang **sangat powerful, menarik, inovatif, dan siap pakai** dengan judul ide '", B199, "'.", CHAR(10),
"Konten ini memiliki pilar '", C199, "', nilai tambah utama '", F199, "', dan akan menggunakan storytelling framework '", G199, "'.", CHAR(10),
"Gambaran singkat ide kontennya adalah: '", J199, "'.", CHAR(10),
"Konten ini akan diunggah di platform '", E199, "' dengan format '", D199,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MAPPING'!C105, "'.** Sesuaikan dengan gaya komunikasi saya, dengan fokus pada nilai tambah '", F199,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MAPPING'!D118, ", khusus ", 'CONTENT PILLAR MAPPING'!D119, ") dan membantu mereka menyelesaikan masalah atau mencapai tujuan mereka.", CHAR(10),
"✔ Membantuku membangun personal branding yang kuat dan sustainable, sesuai dengan Positioning saya sebagai '", 'CONTENT PILLAR MAPPING'!C105, "' dan Brand Archetype '", 'CONTENT PILLAR MAPPING'!D110, "'.", CHAR(10),
"✔ Kemas dalam bentuk tabel agar rapi, mudah di baca dan dipahami, dengan kolom 'Judul Konten', 'Pilar', 'Format', 'Draft Script', 'CTA', 'Saran Visual', dan 'Full Caption'. (Kosongkan kolom Link Prompt jika ada)."
),
"")</f>
        <v/>
      </c>
      <c r="L199" s="91" t="n"/>
      <c r="M199" s="91" t="n"/>
      <c r="N199" s="102" t="n"/>
      <c r="O199" s="102" t="n"/>
      <c r="P199" s="102" t="n"/>
      <c r="Q199" s="102" t="n"/>
      <c r="R199" s="102" t="n"/>
      <c r="S199" s="102" t="n"/>
      <c r="T199" s="102" t="n"/>
      <c r="U199" s="102" t="n"/>
      <c r="V199" s="102" t="n"/>
      <c r="W199" s="102" t="n"/>
      <c r="X199" s="102" t="n"/>
      <c r="Y199" s="102" t="n"/>
      <c r="Z199" s="102" t="n"/>
      <c r="AA199" s="102" t="n"/>
      <c r="AB199" s="102" t="n"/>
      <c r="AC199" s="102" t="n"/>
      <c r="AD199" s="102" t="n"/>
    </row>
    <row r="200" ht="15.75" customHeight="1" s="205">
      <c r="A200" s="102" t="n"/>
      <c r="B200" s="147" t="n"/>
      <c r="C200" s="144" t="n"/>
      <c r="D200" s="144" t="n"/>
      <c r="E200" s="144" t="n"/>
      <c r="F200" s="144" t="n"/>
      <c r="G200" s="144" t="n"/>
      <c r="H200" s="141">
        <f>IF(K200&lt;&gt;"", HYPERLINK("https://chatgpt.com/?prompt=" &amp; SUBSTITUTE(SUBSTITUTE(K200, " ", "+"), "&amp;", "dan") &amp; "&amp;force-refresh=true&amp;timestamp=" &amp; TEXT(NOW(), "yyyymmddhhmmss"), "👉 Klik untuk Generate Script! 🔥"), "")</f>
        <v/>
      </c>
      <c r="I200" s="144" t="n"/>
      <c r="J200" s="148" t="n"/>
      <c r="K200" s="140">
        <f>IF(AND(B200&lt;&gt;"", C200&lt;&gt;"", D200&lt;&gt;"", E200&lt;&gt;"", F200&lt;&gt;"", G200&lt;&gt;"", J200&lt;&gt;"", 'CONTENT PILLAR MAPPING'!C102&lt;&gt;"", 'CONTENT PILLAR MAPPING'!E102&lt;&gt;"", 'CONTENT PILLAR MAPPING'!F102&lt;&gt;"", 'CONTENT PILLAR MAPPING'!C105&lt;&gt;"", 'CONTENT PILLAR MAPPING'!C110&lt;&gt;"", 'CONTENT PILLAR MAPPING'!D110&lt;&gt;"", 'CONTENT PILLAR MAPPING'!E110&lt;&gt;"", 'CONTENT PILLAR MAPPING'!D118&lt;&gt;"", 'CONTENT PILLAR MAPPING'!D119&lt;&gt;""),
CONCATENATE(
"Sebagai seorang top konten kreator dengan niche utama '", 'CONTENT PILLAR MAPPING'!C102, "', spesifik kategori '", 'CONTENT PILLAR MAPPING'!E102, "', dan super spesifik '", 'CONTENT PILLAR MAPPING'!F102, "', yang dikenal sebagai '", 'CONTENT PILLAR MAPPING'!C105, "'.", CHAR(10),
"Saya memiliki Tone of Voice: '", 'CONTENT PILLAR MAPPING'!C110, "', Brand Archetype: '", 'CONTENT PILLAR MAPPING'!D110, "', dan Deskripsi Gaya Komunikasi: '", 'CONTENT PILLAR MAPPING'!E110, "'.", CHAR(10),
"Target audiens saya adalah: '", 'CONTENT PILLAR MAPPING'!D118, "', dengan segmentasi audiens: '", 'CONTENT PILLAR MAPPING'!D119, "'.", CHAR(10), CHAR(10),
"Mohon buatkan script konten yang **sangat powerful, menarik, inovatif, dan siap pakai** dengan judul ide '", B200, "'.", CHAR(10),
"Konten ini memiliki pilar '", C200, "', nilai tambah utama '", F200, "', dan akan menggunakan storytelling framework '", G200, "'.", CHAR(10),
"Gambaran singkat ide kontennya adalah: '", J200, "'.", CHAR(10),
"Konten ini akan diunggah di platform '", E200, "' dengan format '", D200,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MAPPING'!C105, "'.** Sesuaikan dengan gaya komunikasi saya, dengan fokus pada nilai tambah '", F200,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MAPPING'!D118, ", khusus ", 'CONTENT PILLAR MAPPING'!D119, ") dan membantu mereka menyelesaikan masalah atau mencapai tujuan mereka.", CHAR(10),
"✔ Membantuku membangun personal branding yang kuat dan sustainable, sesuai dengan Positioning saya sebagai '", 'CONTENT PILLAR MAPPING'!C105, "' dan Brand Archetype '", 'CONTENT PILLAR MAPPING'!D110, "'.", CHAR(10),
"✔ Kemas dalam bentuk tabel agar rapi, mudah di baca dan dipahami, dengan kolom 'Judul Konten', 'Pilar', 'Format', 'Draft Script', 'CTA', 'Saran Visual', dan 'Full Caption'. (Kosongkan kolom Link Prompt jika ada)."
),
"")</f>
        <v/>
      </c>
      <c r="L200" s="199" t="n"/>
      <c r="M200" s="199" t="n"/>
      <c r="N200" s="102" t="n"/>
      <c r="O200" s="102" t="n"/>
      <c r="P200" s="102" t="n"/>
      <c r="Q200" s="102" t="n"/>
      <c r="R200" s="102" t="n"/>
      <c r="S200" s="102" t="n"/>
      <c r="T200" s="102" t="n"/>
      <c r="U200" s="102" t="n"/>
      <c r="V200" s="102" t="n"/>
      <c r="W200" s="102" t="n"/>
      <c r="X200" s="102" t="n"/>
      <c r="Y200" s="102" t="n"/>
      <c r="Z200" s="102" t="n"/>
      <c r="AA200" s="102" t="n"/>
      <c r="AB200" s="102" t="n"/>
      <c r="AC200" s="102" t="n"/>
      <c r="AD200" s="102" t="n"/>
    </row>
    <row r="201" ht="15.75" customHeight="1" s="205">
      <c r="A201" s="102" t="n"/>
      <c r="B201" s="142" t="n"/>
      <c r="C201" s="143" t="n"/>
      <c r="D201" s="143" t="n"/>
      <c r="E201" s="143" t="n"/>
      <c r="F201" s="143" t="n"/>
      <c r="G201" s="144" t="n"/>
      <c r="H201" s="145">
        <f>IF(K201&lt;&gt;"", HYPERLINK("https://chatgpt.com/?prompt=" &amp; SUBSTITUTE(SUBSTITUTE(K201, " ", "+"), "&amp;", "dan") &amp; "&amp;force-refresh=true&amp;timestamp=" &amp; TEXT(NOW(), "yyyymmddhhmmss"), "👉 Klik untuk Generate Script! 🔥"), "")</f>
        <v/>
      </c>
      <c r="I201" s="143" t="n"/>
      <c r="J201" s="146" t="n"/>
      <c r="K201" s="130">
        <f>IF(AND(B201&lt;&gt;"", C201&lt;&gt;"", D201&lt;&gt;"", E201&lt;&gt;"", F201&lt;&gt;"", G201&lt;&gt;"", J201&lt;&gt;"", 'CONTENT PILLAR MAPPING'!C104&lt;&gt;"", 'CONTENT PILLAR MAPPING'!E104&lt;&gt;"", 'CONTENT PILLAR MAPPING'!F104&lt;&gt;"", 'CONTENT PILLAR MAPPING'!C107&lt;&gt;"", 'CONTENT PILLAR MAPPING'!C112&lt;&gt;"", 'CONTENT PILLAR MAPPING'!D112&lt;&gt;"", 'CONTENT PILLAR MAPPING'!E112&lt;&gt;"", 'CONTENT PILLAR MAPPING'!D120&lt;&gt;"", 'CONTENT PILLAR MAPPING'!D121&lt;&gt;""),
CONCATENATE(
"Sebagai seorang top konten kreator dengan niche utama '", 'CONTENT PILLAR MAPPING'!C104, "', spesifik kategori '", 'CONTENT PILLAR MAPPING'!E104, "', dan super spesifik '", 'CONTENT PILLAR MAPPING'!F104, "', yang dikenal sebagai '", 'CONTENT PILLAR MAPPING'!C107, "'.", CHAR(10),
"Saya memiliki Tone of Voice: '", 'CONTENT PILLAR MAPPING'!C112, "', Brand Archetype: '", 'CONTENT PILLAR MAPPING'!D112, "', dan Deskripsi Gaya Komunikasi: '", 'CONTENT PILLAR MAPPING'!E112, "'.", CHAR(10),
"Target audiens saya adalah: '", 'CONTENT PILLAR MAPPING'!D120, "', dengan segmentasi audiens: '", 'CONTENT PILLAR MAPPING'!D121, "'.", CHAR(10), CHAR(10),
"Mohon buatkan script konten yang **sangat powerful, menarik, inovatif, dan siap pakai** dengan judul ide '", B201, "'.", CHAR(10),
"Konten ini memiliki pilar '", C201, "', nilai tambah utama '", F201, "', dan akan menggunakan storytelling framework '", G201, "'.", CHAR(10),
"Gambaran singkat ide kontennya adalah: '", J201, "'.", CHAR(10),
"Konten ini akan diunggah di platform '", E201, "' dengan format '", D201,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MAPPING'!C107, "'.** Sesuaikan dengan gaya komunikasi saya, dengan fokus pada nilai tambah '", F201,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MAPPING'!D120, ", khusus ", 'CONTENT PILLAR MAPPING'!D121, ") dan membantu mereka menyelesaikan masalah atau mencapai tujuan mereka.", CHAR(10),
"✔ Membantuku membangun personal branding yang kuat dan sustainable, sesuai dengan Positioning saya sebagai '", 'CONTENT PILLAR MAPPING'!C107, "' dan Brand Archetype '", 'CONTENT PILLAR MAPPING'!D112, "'.", CHAR(10),
"✔ Kemas dalam bentuk tabel agar rapi, mudah di baca dan dipahami, dengan kolom 'Judul Konten', 'Pilar', 'Format', 'Draft Script', 'CTA', 'Saran Visual', dan 'Full Caption'. (Kosongkan kolom Link Prompt jika ada)."
),
"")</f>
        <v/>
      </c>
      <c r="L201" s="91" t="n"/>
      <c r="M201" s="91" t="n"/>
      <c r="N201" s="102" t="n"/>
      <c r="O201" s="102" t="n"/>
      <c r="P201" s="102" t="n"/>
      <c r="Q201" s="102" t="n"/>
      <c r="R201" s="102" t="n"/>
      <c r="S201" s="102" t="n"/>
      <c r="T201" s="102" t="n"/>
      <c r="U201" s="102" t="n"/>
      <c r="V201" s="102" t="n"/>
      <c r="W201" s="102" t="n"/>
      <c r="X201" s="102" t="n"/>
      <c r="Y201" s="102" t="n"/>
      <c r="Z201" s="102" t="n"/>
      <c r="AA201" s="102" t="n"/>
      <c r="AB201" s="102" t="n"/>
      <c r="AC201" s="102" t="n"/>
      <c r="AD201" s="102" t="n"/>
    </row>
    <row r="202" ht="15.75" customHeight="1" s="205">
      <c r="A202" s="102" t="n"/>
      <c r="B202" s="147" t="n"/>
      <c r="C202" s="144" t="n"/>
      <c r="D202" s="144" t="n"/>
      <c r="E202" s="144" t="n"/>
      <c r="F202" s="144" t="n"/>
      <c r="G202" s="144" t="n"/>
      <c r="H202" s="141">
        <f>IF(K202&lt;&gt;"", HYPERLINK("https://chatgpt.com/?prompt=" &amp; SUBSTITUTE(SUBSTITUTE(K202, " ", "+"), "&amp;", "dan") &amp; "&amp;force-refresh=true&amp;timestamp=" &amp; TEXT(NOW(), "yyyymmddhhmmss"), "👉 Klik untuk Generate Script! 🔥"), "")</f>
        <v/>
      </c>
      <c r="I202" s="144" t="n"/>
      <c r="J202" s="148" t="n"/>
      <c r="K202" s="140">
        <f>IF(AND(B202&lt;&gt;"", C202&lt;&gt;"", D202&lt;&gt;"", E202&lt;&gt;"", F202&lt;&gt;"", G202&lt;&gt;"", J202&lt;&gt;"", 'CONTENT PILLAR MAPPING'!C104&lt;&gt;"", 'CONTENT PILLAR MAPPING'!E104&lt;&gt;"", 'CONTENT PILLAR MAPPING'!F104&lt;&gt;"", 'CONTENT PILLAR MAPPING'!C107&lt;&gt;"", 'CONTENT PILLAR MAPPING'!C112&lt;&gt;"", 'CONTENT PILLAR MAPPING'!D112&lt;&gt;"", 'CONTENT PILLAR MAPPING'!E112&lt;&gt;"", 'CONTENT PILLAR MAPPING'!D120&lt;&gt;"", 'CONTENT PILLAR MAPPING'!D121&lt;&gt;""),
CONCATENATE(
"Sebagai seorang top konten kreator dengan niche utama '", 'CONTENT PILLAR MAPPING'!C104, "', spesifik kategori '", 'CONTENT PILLAR MAPPING'!E104, "', dan super spesifik '", 'CONTENT PILLAR MAPPING'!F104, "', yang dikenal sebagai '", 'CONTENT PILLAR MAPPING'!C107, "'.", CHAR(10),
"Saya memiliki Tone of Voice: '", 'CONTENT PILLAR MAPPING'!C112, "', Brand Archetype: '", 'CONTENT PILLAR MAPPING'!D112, "', dan Deskripsi Gaya Komunikasi: '", 'CONTENT PILLAR MAPPING'!E112, "'.", CHAR(10),
"Target audiens saya adalah: '", 'CONTENT PILLAR MAPPING'!D120, "', dengan segmentasi audiens: '", 'CONTENT PILLAR MAPPING'!D121, "'.", CHAR(10), CHAR(10),
"Mohon buatkan script konten yang **sangat powerful, menarik, inovatif, dan siap pakai** dengan judul ide '", B202, "'.", CHAR(10),
"Konten ini memiliki pilar '", C202, "', nilai tambah utama '", F202, "', dan akan menggunakan storytelling framework '", G202, "'.", CHAR(10),
"Gambaran singkat ide kontennya adalah: '", J202, "'.", CHAR(10),
"Konten ini akan diunggah di platform '", E202, "' dengan format '", D202,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MAPPING'!C107, "'.** Sesuaikan dengan gaya komunikasi saya, dengan fokus pada nilai tambah '", F202,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MAPPING'!D120, ", khusus ", 'CONTENT PILLAR MAPPING'!D121, ") dan membantu mereka menyelesaikan masalah atau mencapai tujuan mereka.", CHAR(10),
"✔ Membantuku membangun personal branding yang kuat dan sustainable, sesuai dengan Positioning saya sebagai '", 'CONTENT PILLAR MAPPING'!C107, "' dan Brand Archetype '", 'CONTENT PILLAR MAPPING'!D112, "'.", CHAR(10),
"✔ Kemas dalam bentuk tabel agar rapi, mudah di baca dan dipahami, dengan kolom 'Judul Konten', 'Pilar', 'Format', 'Draft Script', 'CTA', 'Saran Visual', dan 'Full Caption'. (Kosongkan kolom Link Prompt jika ada)."
),
"")</f>
        <v/>
      </c>
      <c r="L202" s="199" t="n"/>
      <c r="M202" s="199" t="n"/>
      <c r="N202" s="102" t="n"/>
      <c r="O202" s="102" t="n"/>
      <c r="P202" s="102" t="n"/>
      <c r="Q202" s="102" t="n"/>
      <c r="R202" s="102" t="n"/>
      <c r="S202" s="102" t="n"/>
      <c r="T202" s="102" t="n"/>
      <c r="U202" s="102" t="n"/>
      <c r="V202" s="102" t="n"/>
      <c r="W202" s="102" t="n"/>
      <c r="X202" s="102" t="n"/>
      <c r="Y202" s="102" t="n"/>
      <c r="Z202" s="102" t="n"/>
      <c r="AA202" s="102" t="n"/>
      <c r="AB202" s="102" t="n"/>
      <c r="AC202" s="102" t="n"/>
      <c r="AD202" s="102" t="n"/>
    </row>
    <row r="203" ht="15.75" customHeight="1" s="205">
      <c r="A203" s="102" t="n"/>
      <c r="B203" s="142" t="n"/>
      <c r="C203" s="143" t="n"/>
      <c r="D203" s="143" t="n"/>
      <c r="E203" s="143" t="n"/>
      <c r="F203" s="143" t="n"/>
      <c r="G203" s="144" t="n"/>
      <c r="H203" s="145">
        <f>IF(K203&lt;&gt;"", HYPERLINK("https://chatgpt.com/?prompt=" &amp; SUBSTITUTE(SUBSTITUTE(K203, " ", "+"), "&amp;", "dan") &amp; "&amp;force-refresh=true&amp;timestamp=" &amp; TEXT(NOW(), "yyyymmddhhmmss"), "👉 Klik untuk Generate Script! 🔥"), "")</f>
        <v/>
      </c>
      <c r="I203" s="143" t="n"/>
      <c r="J203" s="146" t="n"/>
      <c r="K203" s="130">
        <f>IF(AND(B203&lt;&gt;"", C203&lt;&gt;"", D203&lt;&gt;"", E203&lt;&gt;"", F203&lt;&gt;"", G203&lt;&gt;"", J203&lt;&gt;"", 'CONTENT PILLAR MAPPING'!C106&lt;&gt;"", 'CONTENT PILLAR MAPPING'!E106&lt;&gt;"", 'CONTENT PILLAR MAPPING'!F106&lt;&gt;"", 'CONTENT PILLAR MAPPING'!C109&lt;&gt;"", 'CONTENT PILLAR MAPPING'!C114&lt;&gt;"", 'CONTENT PILLAR MAPPING'!D114&lt;&gt;"", 'CONTENT PILLAR MAPPING'!E114&lt;&gt;"", 'CONTENT PILLAR MAPPING'!D122&lt;&gt;"", 'CONTENT PILLAR MAPPING'!D123&lt;&gt;""),
CONCATENATE(
"Sebagai seorang top konten kreator dengan niche utama '", 'CONTENT PILLAR MAPPING'!C106, "', spesifik kategori '", 'CONTENT PILLAR MAPPING'!E106, "', dan super spesifik '", 'CONTENT PILLAR MAPPING'!F106, "', yang dikenal sebagai '", 'CONTENT PILLAR MAPPING'!C109, "'.", CHAR(10),
"Saya memiliki Tone of Voice: '", 'CONTENT PILLAR MAPPING'!C114, "', Brand Archetype: '", 'CONTENT PILLAR MAPPING'!D114, "', dan Deskripsi Gaya Komunikasi: '", 'CONTENT PILLAR MAPPING'!E114, "'.", CHAR(10),
"Target audiens saya adalah: '", 'CONTENT PILLAR MAPPING'!D122, "', dengan segmentasi audiens: '", 'CONTENT PILLAR MAPPING'!D123, "'.", CHAR(10), CHAR(10),
"Mohon buatkan script konten yang **sangat powerful, menarik, inovatif, dan siap pakai** dengan judul ide '", B203, "'.", CHAR(10),
"Konten ini memiliki pilar '", C203, "', nilai tambah utama '", F203, "', dan akan menggunakan storytelling framework '", G203, "'.", CHAR(10),
"Gambaran singkat ide kontennya adalah: '", J203, "'.", CHAR(10),
"Konten ini akan diunggah di platform '", E203, "' dengan format '", D203,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MAPPING'!C109, "'.** Sesuaikan dengan gaya komunikasi saya, dengan fokus pada nilai tambah '", F203,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MAPPING'!D122, ", khusus ", 'CONTENT PILLAR MAPPING'!D123, ") dan membantu mereka menyelesaikan masalah atau mencapai tujuan mereka.", CHAR(10),
"✔ Membantuku membangun personal branding yang kuat dan sustainable, sesuai dengan Positioning saya sebagai '", 'CONTENT PILLAR MAPPING'!C109, "' dan Brand Archetype '", 'CONTENT PILLAR MAPPING'!D114, "'.", CHAR(10),
"✔ Kemas dalam bentuk tabel agar rapi, mudah di baca dan dipahami, dengan kolom 'Judul Konten', 'Pilar', 'Format', 'Draft Script', 'CTA', 'Saran Visual', dan 'Full Caption'. (Kosongkan kolom Link Prompt jika ada)."
),
"")</f>
        <v/>
      </c>
      <c r="L203" s="91" t="n"/>
      <c r="M203" s="91" t="n"/>
      <c r="N203" s="102" t="n"/>
      <c r="O203" s="102" t="n"/>
      <c r="P203" s="102" t="n"/>
      <c r="Q203" s="102" t="n"/>
      <c r="R203" s="102" t="n"/>
      <c r="S203" s="102" t="n"/>
      <c r="T203" s="102" t="n"/>
      <c r="U203" s="102" t="n"/>
      <c r="V203" s="102" t="n"/>
      <c r="W203" s="102" t="n"/>
      <c r="X203" s="102" t="n"/>
      <c r="Y203" s="102" t="n"/>
      <c r="Z203" s="102" t="n"/>
      <c r="AA203" s="102" t="n"/>
      <c r="AB203" s="102" t="n"/>
      <c r="AC203" s="102" t="n"/>
      <c r="AD203" s="102" t="n"/>
    </row>
    <row r="204" ht="15.75" customHeight="1" s="205">
      <c r="A204" s="102" t="n"/>
      <c r="B204" s="147" t="n"/>
      <c r="C204" s="144" t="n"/>
      <c r="D204" s="144" t="n"/>
      <c r="E204" s="144" t="n"/>
      <c r="F204" s="144" t="n"/>
      <c r="G204" s="144" t="n"/>
      <c r="H204" s="141">
        <f>IF(K204&lt;&gt;"", HYPERLINK("https://chatgpt.com/?prompt=" &amp; SUBSTITUTE(SUBSTITUTE(K204, " ", "+"), "&amp;", "dan") &amp; "&amp;force-refresh=true&amp;timestamp=" &amp; TEXT(NOW(), "yyyymmddhhmmss"), "👉 Klik untuk Generate Script! 🔥"), "")</f>
        <v/>
      </c>
      <c r="I204" s="144" t="n"/>
      <c r="J204" s="148" t="n"/>
      <c r="K204" s="140">
        <f>IF(AND(B204&lt;&gt;"", C204&lt;&gt;"", D204&lt;&gt;"", E204&lt;&gt;"", F204&lt;&gt;"", G204&lt;&gt;"", J204&lt;&gt;"", 'CONTENT PILLAR MAPPING'!C106&lt;&gt;"", 'CONTENT PILLAR MAPPING'!E106&lt;&gt;"", 'CONTENT PILLAR MAPPING'!F106&lt;&gt;"", 'CONTENT PILLAR MAPPING'!C109&lt;&gt;"", 'CONTENT PILLAR MAPPING'!C114&lt;&gt;"", 'CONTENT PILLAR MAPPING'!D114&lt;&gt;"", 'CONTENT PILLAR MAPPING'!E114&lt;&gt;"", 'CONTENT PILLAR MAPPING'!D122&lt;&gt;"", 'CONTENT PILLAR MAPPING'!D123&lt;&gt;""),
CONCATENATE(
"Sebagai seorang top konten kreator dengan niche utama '", 'CONTENT PILLAR MAPPING'!C106, "', spesifik kategori '", 'CONTENT PILLAR MAPPING'!E106, "', dan super spesifik '", 'CONTENT PILLAR MAPPING'!F106, "', yang dikenal sebagai '", 'CONTENT PILLAR MAPPING'!C109, "'.", CHAR(10),
"Saya memiliki Tone of Voice: '", 'CONTENT PILLAR MAPPING'!C114, "', Brand Archetype: '", 'CONTENT PILLAR MAPPING'!D114, "', dan Deskripsi Gaya Komunikasi: '", 'CONTENT PILLAR MAPPING'!E114, "'.", CHAR(10),
"Target audiens saya adalah: '", 'CONTENT PILLAR MAPPING'!D122, "', dengan segmentasi audiens: '", 'CONTENT PILLAR MAPPING'!D123, "'.", CHAR(10), CHAR(10),
"Mohon buatkan script konten yang **sangat powerful, menarik, inovatif, dan siap pakai** dengan judul ide '", B204, "'.", CHAR(10),
"Konten ini memiliki pilar '", C204, "', nilai tambah utama '", F204, "', dan akan menggunakan storytelling framework '", G204, "'.", CHAR(10),
"Gambaran singkat ide kontennya adalah: '", J204, "'.", CHAR(10),
"Konten ini akan diunggah di platform '", E204, "' dengan format '", D204,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MAPPING'!C109, "'.** Sesuaikan dengan gaya komunikasi saya, dengan fokus pada nilai tambah '", F204,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MAPPING'!D122, ", khusus ", 'CONTENT PILLAR MAPPING'!D123, ") dan membantu mereka menyelesaikan masalah atau mencapai tujuan mereka.", CHAR(10),
"✔ Membantuku membangun personal branding yang kuat dan sustainable, sesuai dengan Positioning saya sebagai '", 'CONTENT PILLAR MAPPING'!C109, "' dan Brand Archetype '", 'CONTENT PILLAR MAPPING'!D114, "'.", CHAR(10),
"✔ Kemas dalam bentuk tabel agar rapi, mudah di baca dan dipahami, dengan kolom 'Judul Konten', 'Pilar', 'Format', 'Draft Script', 'CTA', 'Saran Visual', dan 'Full Caption'. (Kosongkan kolom Link Prompt jika ada)."
),
"")</f>
        <v/>
      </c>
      <c r="L204" s="199" t="n"/>
      <c r="M204" s="199" t="n"/>
      <c r="N204" s="102" t="n"/>
      <c r="O204" s="102" t="n"/>
      <c r="P204" s="102" t="n"/>
      <c r="Q204" s="102" t="n"/>
      <c r="R204" s="102" t="n"/>
      <c r="S204" s="102" t="n"/>
      <c r="T204" s="102" t="n"/>
      <c r="U204" s="102" t="n"/>
      <c r="V204" s="102" t="n"/>
      <c r="W204" s="102" t="n"/>
      <c r="X204" s="102" t="n"/>
      <c r="Y204" s="102" t="n"/>
      <c r="Z204" s="102" t="n"/>
      <c r="AA204" s="102" t="n"/>
      <c r="AB204" s="102" t="n"/>
      <c r="AC204" s="102" t="n"/>
      <c r="AD204" s="102" t="n"/>
    </row>
    <row r="205" ht="15.75" customHeight="1" s="205">
      <c r="A205" s="102" t="n"/>
      <c r="B205" s="142" t="n"/>
      <c r="C205" s="143" t="n"/>
      <c r="D205" s="143" t="n"/>
      <c r="E205" s="143" t="n"/>
      <c r="F205" s="143" t="n"/>
      <c r="G205" s="144" t="n"/>
      <c r="H205" s="145">
        <f>IF(K205&lt;&gt;"", HYPERLINK("https://chatgpt.com/?prompt=" &amp; SUBSTITUTE(SUBSTITUTE(K205, " ", "+"), "&amp;", "dan") &amp; "&amp;force-refresh=true&amp;timestamp=" &amp; TEXT(NOW(), "yyyymmddhhmmss"), "👉 Klik untuk Generate Script! 🔥"), "")</f>
        <v/>
      </c>
      <c r="I205" s="143" t="n"/>
      <c r="J205" s="146" t="n"/>
      <c r="K205" s="130">
        <f>IF(AND(B205&lt;&gt;"", C205&lt;&gt;"", D205&lt;&gt;"", E205&lt;&gt;"", F205&lt;&gt;"", G205&lt;&gt;"", J205&lt;&gt;"", 'CONTENT PILLAR MAPPING'!C108&lt;&gt;"", 'CONTENT PILLAR MAPPING'!E108&lt;&gt;"", 'CONTENT PILLAR MAPPING'!F108&lt;&gt;"", 'CONTENT PILLAR MAPPING'!C111&lt;&gt;"", 'CONTENT PILLAR MAPPING'!C116&lt;&gt;"", 'CONTENT PILLAR MAPPING'!D116&lt;&gt;"", 'CONTENT PILLAR MAPPING'!E116&lt;&gt;"", 'CONTENT PILLAR MAPPING'!D124&lt;&gt;"", 'CONTENT PILLAR MAPPING'!D125&lt;&gt;""),
CONCATENATE(
"Sebagai seorang top konten kreator dengan niche utama '", 'CONTENT PILLAR MAPPING'!C108, "', spesifik kategori '", 'CONTENT PILLAR MAPPING'!E108, "', dan super spesifik '", 'CONTENT PILLAR MAPPING'!F108, "', yang dikenal sebagai '", 'CONTENT PILLAR MAPPING'!C111, "'.", CHAR(10),
"Saya memiliki Tone of Voice: '", 'CONTENT PILLAR MAPPING'!C116, "', Brand Archetype: '", 'CONTENT PILLAR MAPPING'!D116, "', dan Deskripsi Gaya Komunikasi: '", 'CONTENT PILLAR MAPPING'!E116, "'.", CHAR(10),
"Target audiens saya adalah: '", 'CONTENT PILLAR MAPPING'!D124, "', dengan segmentasi audiens: '", 'CONTENT PILLAR MAPPING'!D125, "'.", CHAR(10), CHAR(10),
"Mohon buatkan script konten yang **sangat powerful, menarik, inovatif, dan siap pakai** dengan judul ide '", B205, "'.", CHAR(10),
"Konten ini memiliki pilar '", C205, "', nilai tambah utama '", F205, "', dan akan menggunakan storytelling framework '", G205, "'.", CHAR(10),
"Gambaran singkat ide kontennya adalah: '", J205, "'.", CHAR(10),
"Konten ini akan diunggah di platform '", E205, "' dengan format '", D205,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MAPPING'!C111, "'.** Sesuaikan dengan gaya komunikasi saya, dengan fokus pada nilai tambah '", F205,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MAPPING'!D124, ", khusus ", 'CONTENT PILLAR MAPPING'!D125, ") dan membantu mereka menyelesaikan masalah atau mencapai tujuan mereka.", CHAR(10),
"✔ Membantuku membangun personal branding yang kuat dan sustainable, sesuai dengan Positioning saya sebagai '", 'CONTENT PILLAR MAPPING'!C111, "' dan Brand Archetype '", 'CONTENT PILLAR MAPPING'!D116, "'.", CHAR(10),
"✔ Kemas dalam bentuk tabel agar rapi, mudah di baca dan dipahami, dengan kolom 'Judul Konten', 'Pilar', 'Format', 'Draft Script', 'CTA', 'Saran Visual', dan 'Full Caption'. (Kosongkan kolom Link Prompt jika ada)."
),
"")</f>
        <v/>
      </c>
      <c r="L205" s="91" t="n"/>
      <c r="M205" s="91" t="n"/>
      <c r="N205" s="102" t="n"/>
      <c r="O205" s="102" t="n"/>
      <c r="P205" s="102" t="n"/>
      <c r="Q205" s="102" t="n"/>
      <c r="R205" s="102" t="n"/>
      <c r="S205" s="102" t="n"/>
      <c r="T205" s="102" t="n"/>
      <c r="U205" s="102" t="n"/>
      <c r="V205" s="102" t="n"/>
      <c r="W205" s="102" t="n"/>
      <c r="X205" s="102" t="n"/>
      <c r="Y205" s="102" t="n"/>
      <c r="Z205" s="102" t="n"/>
      <c r="AA205" s="102" t="n"/>
      <c r="AB205" s="102" t="n"/>
      <c r="AC205" s="102" t="n"/>
      <c r="AD205" s="102" t="n"/>
    </row>
    <row r="206" ht="15.75" customHeight="1" s="205">
      <c r="A206" s="102" t="n"/>
      <c r="B206" s="147" t="n"/>
      <c r="C206" s="144" t="n"/>
      <c r="D206" s="144" t="n"/>
      <c r="E206" s="144" t="n"/>
      <c r="F206" s="144" t="n"/>
      <c r="G206" s="144" t="n"/>
      <c r="H206" s="141">
        <f>IF(K206&lt;&gt;"", HYPERLINK("https://chatgpt.com/?prompt=" &amp; SUBSTITUTE(SUBSTITUTE(K206, " ", "+"), "&amp;", "dan") &amp; "&amp;force-refresh=true&amp;timestamp=" &amp; TEXT(NOW(), "yyyymmddhhmmss"), "👉 Klik untuk Generate Script! 🔥"), "")</f>
        <v/>
      </c>
      <c r="I206" s="144" t="n"/>
      <c r="J206" s="148" t="n"/>
      <c r="K206" s="140">
        <f>IF(AND(B206&lt;&gt;"", C206&lt;&gt;"", D206&lt;&gt;"", E206&lt;&gt;"", F206&lt;&gt;"", G206&lt;&gt;"", J206&lt;&gt;"", 'CONTENT PILLAR MAPPING'!C108&lt;&gt;"", 'CONTENT PILLAR MAPPING'!E108&lt;&gt;"", 'CONTENT PILLAR MAPPING'!F108&lt;&gt;"", 'CONTENT PILLAR MAPPING'!C111&lt;&gt;"", 'CONTENT PILLAR MAPPING'!C116&lt;&gt;"", 'CONTENT PILLAR MAPPING'!D116&lt;&gt;"", 'CONTENT PILLAR MAPPING'!E116&lt;&gt;"", 'CONTENT PILLAR MAPPING'!D124&lt;&gt;"", 'CONTENT PILLAR MAPPING'!D125&lt;&gt;""),
CONCATENATE(
"Sebagai seorang top konten kreator dengan niche utama '", 'CONTENT PILLAR MAPPING'!C108, "', spesifik kategori '", 'CONTENT PILLAR MAPPING'!E108, "', dan super spesifik '", 'CONTENT PILLAR MAPPING'!F108, "', yang dikenal sebagai '", 'CONTENT PILLAR MAPPING'!C111, "'.", CHAR(10),
"Saya memiliki Tone of Voice: '", 'CONTENT PILLAR MAPPING'!C116, "', Brand Archetype: '", 'CONTENT PILLAR MAPPING'!D116, "', dan Deskripsi Gaya Komunikasi: '", 'CONTENT PILLAR MAPPING'!E116, "'.", CHAR(10),
"Target audiens saya adalah: '", 'CONTENT PILLAR MAPPING'!D124, "', dengan segmentasi audiens: '", 'CONTENT PILLAR MAPPING'!D125, "'.", CHAR(10), CHAR(10),
"Mohon buatkan script konten yang **sangat powerful, menarik, inovatif, dan siap pakai** dengan judul ide '", B206, "'.", CHAR(10),
"Konten ini memiliki pilar '", C206, "', nilai tambah utama '", F206, "', dan akan menggunakan storytelling framework '", G206, "'.", CHAR(10),
"Gambaran singkat ide kontennya adalah: '", J206, "'.", CHAR(10),
"Konten ini akan diunggah di platform '", E206, "' dengan format '", D206,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MAPPING'!C111, "'.** Sesuaikan dengan gaya komunikasi saya, dengan fokus pada nilai tambah '", F206,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MAPPING'!D124, ", khusus ", 'CONTENT PILLAR MAPPING'!D125, ") dan membantu mereka menyelesaikan masalah atau mencapai tujuan mereka.", CHAR(10),
"✔ Membantuku membangun personal branding yang kuat dan sustainable, sesuai dengan Positioning saya sebagai '", 'CONTENT PILLAR MAPPING'!C111, "' dan Brand Archetype '", 'CONTENT PILLAR MAPPING'!D116, "'.", CHAR(10),
"✔ Kemas dalam bentuk tabel agar rapi, mudah di baca dan dipahami, dengan kolom 'Judul Konten', 'Pilar', 'Format', 'Draft Script', 'CTA', 'Saran Visual', dan 'Full Caption'. (Kosongkan kolom Link Prompt jika ada)."
),
"")</f>
        <v/>
      </c>
      <c r="L206" s="199" t="n"/>
      <c r="M206" s="199" t="n"/>
      <c r="N206" s="102" t="n"/>
      <c r="O206" s="102" t="n"/>
      <c r="P206" s="102" t="n"/>
      <c r="Q206" s="102" t="n"/>
      <c r="R206" s="102" t="n"/>
      <c r="S206" s="102" t="n"/>
      <c r="T206" s="102" t="n"/>
      <c r="U206" s="102" t="n"/>
      <c r="V206" s="102" t="n"/>
      <c r="W206" s="102" t="n"/>
      <c r="X206" s="102" t="n"/>
      <c r="Y206" s="102" t="n"/>
      <c r="Z206" s="102" t="n"/>
      <c r="AA206" s="102" t="n"/>
      <c r="AB206" s="102" t="n"/>
      <c r="AC206" s="102" t="n"/>
      <c r="AD206" s="102" t="n"/>
    </row>
    <row r="207" ht="15.75" customHeight="1" s="205">
      <c r="A207" s="102" t="n"/>
      <c r="B207" s="142" t="n"/>
      <c r="C207" s="143" t="n"/>
      <c r="D207" s="143" t="n"/>
      <c r="E207" s="143" t="n"/>
      <c r="F207" s="143" t="n"/>
      <c r="G207" s="144" t="n"/>
      <c r="H207" s="145">
        <f>IF(K207&lt;&gt;"", HYPERLINK("https://chatgpt.com/?prompt=" &amp; SUBSTITUTE(SUBSTITUTE(K207, " ", "+"), "&amp;", "dan") &amp; "&amp;force-refresh=true&amp;timestamp=" &amp; TEXT(NOW(), "yyyymmddhhmmss"), "👉 Klik untuk Generate Script! 🔥"), "")</f>
        <v/>
      </c>
      <c r="I207" s="143" t="n"/>
      <c r="J207" s="146" t="n"/>
      <c r="K207" s="130">
        <f>IF(AND(B207&lt;&gt;"", C207&lt;&gt;"", D207&lt;&gt;"", E207&lt;&gt;"", F207&lt;&gt;"", G207&lt;&gt;"", J207&lt;&gt;"", 'CONTENT PILLAR MAPPING'!C110&lt;&gt;"", 'CONTENT PILLAR MAPPING'!E110&lt;&gt;"", 'CONTENT PILLAR MAPPING'!F110&lt;&gt;"", 'CONTENT PILLAR MAPPING'!C113&lt;&gt;"", 'CONTENT PILLAR MAPPING'!C118&lt;&gt;"", 'CONTENT PILLAR MAPPING'!D118&lt;&gt;"", 'CONTENT PILLAR MAPPING'!E118&lt;&gt;"", 'CONTENT PILLAR MAPPING'!D126&lt;&gt;"", 'CONTENT PILLAR MAPPING'!D127&lt;&gt;""),
CONCATENATE(
"Sebagai seorang top konten kreator dengan niche utama '", 'CONTENT PILLAR MAPPING'!C110, "', spesifik kategori '", 'CONTENT PILLAR MAPPING'!E110, "', dan super spesifik '", 'CONTENT PILLAR MAPPING'!F110, "', yang dikenal sebagai '", 'CONTENT PILLAR MAPPING'!C113, "'.", CHAR(10),
"Saya memiliki Tone of Voice: '", 'CONTENT PILLAR MAPPING'!C118, "', Brand Archetype: '", 'CONTENT PILLAR MAPPING'!D118, "', dan Deskripsi Gaya Komunikasi: '", 'CONTENT PILLAR MAPPING'!E118, "'.", CHAR(10),
"Target audiens saya adalah: '", 'CONTENT PILLAR MAPPING'!D126, "', dengan segmentasi audiens: '", 'CONTENT PILLAR MAPPING'!D127, "'.", CHAR(10), CHAR(10),
"Mohon buatkan script konten yang **sangat powerful, menarik, inovatif, dan siap pakai** dengan judul ide '", B207, "'.", CHAR(10),
"Konten ini memiliki pilar '", C207, "', nilai tambah utama '", F207, "', dan akan menggunakan storytelling framework '", G207, "'.", CHAR(10),
"Gambaran singkat ide kontennya adalah: '", J207, "'.", CHAR(10),
"Konten ini akan diunggah di platform '", E207, "' dengan format '", D207,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MAPPING'!C113, "'.** Sesuaikan dengan gaya komunikasi saya, dengan fokus pada nilai tambah '", F207,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MAPPING'!D126, ", khusus ", 'CONTENT PILLAR MAPPING'!D127, ") dan membantu mereka menyelesaikan masalah atau mencapai tujuan mereka.", CHAR(10),
"✔ Membantuku membangun personal branding yang kuat dan sustainable, sesuai dengan Positioning saya sebagai '", 'CONTENT PILLAR MAPPING'!C113, "' dan Brand Archetype '", 'CONTENT PILLAR MAPPING'!D118, "'.", CHAR(10),
"✔ Kemas dalam bentuk tabel agar rapi, mudah di baca dan dipahami, dengan kolom 'Judul Konten', 'Pilar', 'Format', 'Draft Script', 'CTA', 'Saran Visual', dan 'Full Caption'. (Kosongkan kolom Link Prompt jika ada)."
),
"")</f>
        <v/>
      </c>
      <c r="L207" s="91" t="n"/>
      <c r="M207" s="91" t="n"/>
      <c r="N207" s="102" t="n"/>
      <c r="O207" s="102" t="n"/>
      <c r="P207" s="102" t="n"/>
      <c r="Q207" s="102" t="n"/>
      <c r="R207" s="102" t="n"/>
      <c r="S207" s="102" t="n"/>
      <c r="T207" s="102" t="n"/>
      <c r="U207" s="102" t="n"/>
      <c r="V207" s="102" t="n"/>
      <c r="W207" s="102" t="n"/>
      <c r="X207" s="102" t="n"/>
      <c r="Y207" s="102" t="n"/>
      <c r="Z207" s="102" t="n"/>
      <c r="AA207" s="102" t="n"/>
      <c r="AB207" s="102" t="n"/>
      <c r="AC207" s="102" t="n"/>
      <c r="AD207" s="102" t="n"/>
    </row>
    <row r="208" ht="15.75" customHeight="1" s="205">
      <c r="A208" s="102" t="n"/>
      <c r="B208" s="147" t="n"/>
      <c r="C208" s="144" t="n"/>
      <c r="D208" s="144" t="n"/>
      <c r="E208" s="144" t="n"/>
      <c r="F208" s="144" t="n"/>
      <c r="G208" s="144" t="n"/>
      <c r="H208" s="141">
        <f>IF(K208&lt;&gt;"", HYPERLINK("https://chatgpt.com/?prompt=" &amp; SUBSTITUTE(SUBSTITUTE(K208, " ", "+"), "&amp;", "dan") &amp; "&amp;force-refresh=true&amp;timestamp=" &amp; TEXT(NOW(), "yyyymmddhhmmss"), "👉 Klik untuk Generate Script! 🔥"), "")</f>
        <v/>
      </c>
      <c r="I208" s="144" t="n"/>
      <c r="J208" s="148" t="n"/>
      <c r="K208" s="140">
        <f>IF(AND(B208&lt;&gt;"", C208&lt;&gt;"", D208&lt;&gt;"", E208&lt;&gt;"", F208&lt;&gt;"", G208&lt;&gt;"", J208&lt;&gt;"", 'CONTENT PILLAR MAPPING'!C110&lt;&gt;"", 'CONTENT PILLAR MAPPING'!E110&lt;&gt;"", 'CONTENT PILLAR MAPPING'!F110&lt;&gt;"", 'CONTENT PILLAR MAPPING'!C113&lt;&gt;"", 'CONTENT PILLAR MAPPING'!C118&lt;&gt;"", 'CONTENT PILLAR MAPPING'!D118&lt;&gt;"", 'CONTENT PILLAR MAPPING'!E118&lt;&gt;"", 'CONTENT PILLAR MAPPING'!D126&lt;&gt;"", 'CONTENT PILLAR MAPPING'!D127&lt;&gt;""),
CONCATENATE(
"Sebagai seorang top konten kreator dengan niche utama '", 'CONTENT PILLAR MAPPING'!C110, "', spesifik kategori '", 'CONTENT PILLAR MAPPING'!E110, "', dan super spesifik '", 'CONTENT PILLAR MAPPING'!F110, "', yang dikenal sebagai '", 'CONTENT PILLAR MAPPING'!C113, "'.", CHAR(10),
"Saya memiliki Tone of Voice: '", 'CONTENT PILLAR MAPPING'!C118, "', Brand Archetype: '", 'CONTENT PILLAR MAPPING'!D118, "', dan Deskripsi Gaya Komunikasi: '", 'CONTENT PILLAR MAPPING'!E118, "'.", CHAR(10),
"Target audiens saya adalah: '", 'CONTENT PILLAR MAPPING'!D126, "', dengan segmentasi audiens: '", 'CONTENT PILLAR MAPPING'!D127, "'.", CHAR(10), CHAR(10),
"Mohon buatkan script konten yang **sangat powerful, menarik, inovatif, dan siap pakai** dengan judul ide '", B208, "'.", CHAR(10),
"Konten ini memiliki pilar '", C208, "', nilai tambah utama '", F208, "', dan akan menggunakan storytelling framework '", G208, "'.", CHAR(10),
"Gambaran singkat ide kontennya adalah: '", J208, "'.", CHAR(10),
"Konten ini akan diunggah di platform '", E208, "' dengan format '", D208,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MAPPING'!C113, "'.** Sesuaikan dengan gaya komunikasi saya, dengan fokus pada nilai tambah '", F208,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MAPPING'!D126, ", khusus ", 'CONTENT PILLAR MAPPING'!D127, ") dan membantu mereka menyelesaikan masalah atau mencapai tujuan mereka.", CHAR(10),
"✔ Membantuku membangun personal branding yang kuat dan sustainable, sesuai dengan Positioning saya sebagai '", 'CONTENT PILLAR MAPPING'!C113, "' dan Brand Archetype '", 'CONTENT PILLAR MAPPING'!D118, "'.", CHAR(10),
"✔ Kemas dalam bentuk tabel agar rapi, mudah di baca dan dipahami, dengan kolom 'Judul Konten', 'Pilar', 'Format', 'Draft Script', 'CTA', 'Saran Visual', dan 'Full Caption'. (Kosongkan kolom Link Prompt jika ada)."
),
"")</f>
        <v/>
      </c>
      <c r="L208" s="199" t="n"/>
      <c r="M208" s="199" t="n"/>
      <c r="N208" s="102" t="n"/>
      <c r="O208" s="102" t="n"/>
      <c r="P208" s="102" t="n"/>
      <c r="Q208" s="102" t="n"/>
      <c r="R208" s="102" t="n"/>
      <c r="S208" s="102" t="n"/>
      <c r="T208" s="102" t="n"/>
      <c r="U208" s="102" t="n"/>
      <c r="V208" s="102" t="n"/>
      <c r="W208" s="102" t="n"/>
      <c r="X208" s="102" t="n"/>
      <c r="Y208" s="102" t="n"/>
      <c r="Z208" s="102" t="n"/>
      <c r="AA208" s="102" t="n"/>
      <c r="AB208" s="102" t="n"/>
      <c r="AC208" s="102" t="n"/>
      <c r="AD208" s="102" t="n"/>
    </row>
    <row r="209" ht="15.75" customHeight="1" s="205">
      <c r="A209" s="102" t="n"/>
      <c r="B209" s="142" t="n"/>
      <c r="C209" s="143" t="n"/>
      <c r="D209" s="143" t="n"/>
      <c r="E209" s="143" t="n"/>
      <c r="F209" s="143" t="n"/>
      <c r="G209" s="144" t="n"/>
      <c r="H209" s="145">
        <f>IF(K209&lt;&gt;"", HYPERLINK("https://chatgpt.com/?prompt=" &amp; SUBSTITUTE(SUBSTITUTE(K209, " ", "+"), "&amp;", "dan") &amp; "&amp;force-refresh=true&amp;timestamp=" &amp; TEXT(NOW(), "yyyymmddhhmmss"), "👉 Klik untuk Generate Script! 🔥"), "")</f>
        <v/>
      </c>
      <c r="I209" s="143" t="n"/>
      <c r="J209" s="146" t="n"/>
      <c r="K209" s="130">
        <f>IF(AND(B209&lt;&gt;"", C209&lt;&gt;"", D209&lt;&gt;"", E209&lt;&gt;"", F209&lt;&gt;"", G209&lt;&gt;"", J209&lt;&gt;"", 'CONTENT PILLAR MAPPING'!C112&lt;&gt;"", 'CONTENT PILLAR MAPPING'!E112&lt;&gt;"", 'CONTENT PILLAR MAPPING'!F112&lt;&gt;"", 'CONTENT PILLAR MAPPING'!C115&lt;&gt;"", 'CONTENT PILLAR MAPPING'!C120&lt;&gt;"", 'CONTENT PILLAR MAPPING'!D120&lt;&gt;"", 'CONTENT PILLAR MAPPING'!E120&lt;&gt;"", 'CONTENT PILLAR MAPPING'!D128&lt;&gt;"", 'CONTENT PILLAR MAPPING'!D129&lt;&gt;""),
CONCATENATE(
"Sebagai seorang top konten kreator dengan niche utama '", 'CONTENT PILLAR MAPPING'!C112, "', spesifik kategori '", 'CONTENT PILLAR MAPPING'!E112, "', dan super spesifik '", 'CONTENT PILLAR MAPPING'!F112, "', yang dikenal sebagai '", 'CONTENT PILLAR MAPPING'!C115, "'.", CHAR(10),
"Saya memiliki Tone of Voice: '", 'CONTENT PILLAR MAPPING'!C120, "', Brand Archetype: '", 'CONTENT PILLAR MAPPING'!D120, "', dan Deskripsi Gaya Komunikasi: '", 'CONTENT PILLAR MAPPING'!E120, "'.", CHAR(10),
"Target audiens saya adalah: '", 'CONTENT PILLAR MAPPING'!D128, "', dengan segmentasi audiens: '", 'CONTENT PILLAR MAPPING'!D129, "'.", CHAR(10), CHAR(10),
"Mohon buatkan script konten yang **sangat powerful, menarik, inovatif, dan siap pakai** dengan judul ide '", B209, "'.", CHAR(10),
"Konten ini memiliki pilar '", C209, "', nilai tambah utama '", F209, "', dan akan menggunakan storytelling framework '", G209, "'.", CHAR(10),
"Gambaran singkat ide kontennya adalah: '", J209, "'.", CHAR(10),
"Konten ini akan diunggah di platform '", E209, "' dengan format '", D209,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MAPPING'!C115, "'.** Sesuaikan dengan gaya komunikasi saya, dengan fokus pada nilai tambah '", F209,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MAPPING'!D128, ", khusus ", 'CONTENT PILLAR MAPPING'!D129, ") dan membantu mereka menyelesaikan masalah atau mencapai tujuan mereka.", CHAR(10),
"✔ Membantuku membangun personal branding yang kuat dan sustainable, sesuai dengan Positioning saya sebagai '", 'CONTENT PILLAR MAPPING'!C115, "' dan Brand Archetype '", 'CONTENT PILLAR MAPPING'!D120, "'.", CHAR(10),
"✔ Kemas dalam bentuk tabel agar rapi, mudah di baca dan dipahami, dengan kolom 'Judul Konten', 'Pilar', 'Format', 'Draft Script', 'CTA', 'Saran Visual', dan 'Full Caption'. (Kosongkan kolom Link Prompt jika ada)."
),
"")</f>
        <v/>
      </c>
      <c r="L209" s="91" t="n"/>
      <c r="M209" s="91" t="n"/>
      <c r="N209" s="102" t="n"/>
      <c r="O209" s="102" t="n"/>
      <c r="P209" s="102" t="n"/>
      <c r="Q209" s="102" t="n"/>
      <c r="R209" s="102" t="n"/>
      <c r="S209" s="102" t="n"/>
      <c r="T209" s="102" t="n"/>
      <c r="U209" s="102" t="n"/>
      <c r="V209" s="102" t="n"/>
      <c r="W209" s="102" t="n"/>
      <c r="X209" s="102" t="n"/>
      <c r="Y209" s="102" t="n"/>
      <c r="Z209" s="102" t="n"/>
      <c r="AA209" s="102" t="n"/>
      <c r="AB209" s="102" t="n"/>
      <c r="AC209" s="102" t="n"/>
      <c r="AD209" s="102" t="n"/>
    </row>
    <row r="210" ht="15.75" customHeight="1" s="205">
      <c r="A210" s="102" t="n"/>
      <c r="B210" s="147" t="n"/>
      <c r="C210" s="144" t="n"/>
      <c r="D210" s="144" t="n"/>
      <c r="E210" s="144" t="n"/>
      <c r="F210" s="144" t="n"/>
      <c r="G210" s="144" t="n"/>
      <c r="H210" s="141">
        <f>IF(K210&lt;&gt;"", HYPERLINK("https://chatgpt.com/?prompt=" &amp; SUBSTITUTE(SUBSTITUTE(K210, " ", "+"), "&amp;", "dan") &amp; "&amp;force-refresh=true&amp;timestamp=" &amp; TEXT(NOW(), "yyyymmddhhmmss"), "👉 Klik untuk Generate Script! 🔥"), "")</f>
        <v/>
      </c>
      <c r="I210" s="144" t="n"/>
      <c r="J210" s="148" t="n"/>
      <c r="K210" s="140">
        <f>IF(AND(B210&lt;&gt;"", C210&lt;&gt;"", D210&lt;&gt;"", E210&lt;&gt;"", F210&lt;&gt;"", G210&lt;&gt;"", J210&lt;&gt;"", 'CONTENT PILLAR MAPPING'!C112&lt;&gt;"", 'CONTENT PILLAR MAPPING'!E112&lt;&gt;"", 'CONTENT PILLAR MAPPING'!F112&lt;&gt;"", 'CONTENT PILLAR MAPPING'!C115&lt;&gt;"", 'CONTENT PILLAR MAPPING'!C120&lt;&gt;"", 'CONTENT PILLAR MAPPING'!D120&lt;&gt;"", 'CONTENT PILLAR MAPPING'!E120&lt;&gt;"", 'CONTENT PILLAR MAPPING'!D128&lt;&gt;"", 'CONTENT PILLAR MAPPING'!D129&lt;&gt;""),
CONCATENATE(
"Sebagai seorang top konten kreator dengan niche utama '", 'CONTENT PILLAR MAPPING'!C112, "', spesifik kategori '", 'CONTENT PILLAR MAPPING'!E112, "', dan super spesifik '", 'CONTENT PILLAR MAPPING'!F112, "', yang dikenal sebagai '", 'CONTENT PILLAR MAPPING'!C115, "'.", CHAR(10),
"Saya memiliki Tone of Voice: '", 'CONTENT PILLAR MAPPING'!C120, "', Brand Archetype: '", 'CONTENT PILLAR MAPPING'!D120, "', dan Deskripsi Gaya Komunikasi: '", 'CONTENT PILLAR MAPPING'!E120, "'.", CHAR(10),
"Target audiens saya adalah: '", 'CONTENT PILLAR MAPPING'!D128, "', dengan segmentasi audiens: '", 'CONTENT PILLAR MAPPING'!D129, "'.", CHAR(10), CHAR(10),
"Mohon buatkan script konten yang **sangat powerful, menarik, inovatif, dan siap pakai** dengan judul ide '", B210, "'.", CHAR(10),
"Konten ini memiliki pilar '", C210, "', nilai tambah utama '", F210, "', dan akan menggunakan storytelling framework '", G210, "'.", CHAR(10),
"Gambaran singkat ide kontennya adalah: '", J210, "'.", CHAR(10),
"Konten ini akan diunggah di platform '", E210, "' dengan format '", D210,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MAPPING'!C115, "'.** Sesuaikan dengan gaya komunikasi saya, dengan fokus pada nilai tambah '", F210,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MAPPING'!D128, ", khusus ", 'CONTENT PILLAR MAPPING'!D129, ") dan membantu mereka menyelesaikan masalah atau mencapai tujuan mereka.", CHAR(10),
"✔ Membantuku membangun personal branding yang kuat dan sustainable, sesuai dengan Positioning saya sebagai '", 'CONTENT PILLAR MAPPING'!C115, "' dan Brand Archetype '", 'CONTENT PILLAR MAPPING'!D120, "'.", CHAR(10),
"✔ Kemas dalam bentuk tabel agar rapi, mudah di baca dan dipahami, dengan kolom 'Judul Konten', 'Pilar', 'Format', 'Draft Script', 'CTA', 'Saran Visual', dan 'Full Caption'. (Kosongkan kolom Link Prompt jika ada)."
),
"")</f>
        <v/>
      </c>
      <c r="L210" s="199" t="n"/>
      <c r="M210" s="199" t="n"/>
      <c r="N210" s="102" t="n"/>
      <c r="O210" s="102" t="n"/>
      <c r="P210" s="102" t="n"/>
      <c r="Q210" s="102" t="n"/>
      <c r="R210" s="102" t="n"/>
      <c r="S210" s="102" t="n"/>
      <c r="T210" s="102" t="n"/>
      <c r="U210" s="102" t="n"/>
      <c r="V210" s="102" t="n"/>
      <c r="W210" s="102" t="n"/>
      <c r="X210" s="102" t="n"/>
      <c r="Y210" s="102" t="n"/>
      <c r="Z210" s="102" t="n"/>
      <c r="AA210" s="102" t="n"/>
      <c r="AB210" s="102" t="n"/>
      <c r="AC210" s="102" t="n"/>
      <c r="AD210" s="102" t="n"/>
    </row>
    <row r="211" ht="15.75" customHeight="1" s="205">
      <c r="A211" s="102" t="n"/>
      <c r="B211" s="142" t="n"/>
      <c r="C211" s="143" t="n"/>
      <c r="D211" s="143" t="n"/>
      <c r="E211" s="143" t="n"/>
      <c r="F211" s="143" t="n"/>
      <c r="G211" s="144" t="n"/>
      <c r="H211" s="145">
        <f>IF(K211&lt;&gt;"", HYPERLINK("https://chatgpt.com/?prompt=" &amp; SUBSTITUTE(SUBSTITUTE(K211, " ", "+"), "&amp;", "dan") &amp; "&amp;force-refresh=true&amp;timestamp=" &amp; TEXT(NOW(), "yyyymmddhhmmss"), "👉 Klik untuk Generate Script! 🔥"), "")</f>
        <v/>
      </c>
      <c r="I211" s="143" t="n"/>
      <c r="J211" s="146" t="n"/>
      <c r="K211" s="130">
        <f>IF(AND(B211&lt;&gt;"", C211&lt;&gt;"", D211&lt;&gt;"", E211&lt;&gt;"", F211&lt;&gt;"", G211&lt;&gt;"", J211&lt;&gt;"", 'CONTENT PILLAR MAPPING'!C114&lt;&gt;"", 'CONTENT PILLAR MAPPING'!E114&lt;&gt;"", 'CONTENT PILLAR MAPPING'!F114&lt;&gt;"", 'CONTENT PILLAR MAPPING'!C117&lt;&gt;"", 'CONTENT PILLAR MAPPING'!C122&lt;&gt;"", 'CONTENT PILLAR MAPPING'!D122&lt;&gt;"", 'CONTENT PILLAR MAPPING'!E122&lt;&gt;"", 'CONTENT PILLAR MAPPING'!D130&lt;&gt;"", 'CONTENT PILLAR MAPPING'!D131&lt;&gt;""),
CONCATENATE(
"Sebagai seorang top konten kreator dengan niche utama '", 'CONTENT PILLAR MAPPING'!C114, "', spesifik kategori '", 'CONTENT PILLAR MAPPING'!E114, "', dan super spesifik '", 'CONTENT PILLAR MAPPING'!F114, "', yang dikenal sebagai '", 'CONTENT PILLAR MAPPING'!C117, "'.", CHAR(10),
"Saya memiliki Tone of Voice: '", 'CONTENT PILLAR MAPPING'!C122, "', Brand Archetype: '", 'CONTENT PILLAR MAPPING'!D122, "', dan Deskripsi Gaya Komunikasi: '", 'CONTENT PILLAR MAPPING'!E122, "'.", CHAR(10),
"Target audiens saya adalah: '", 'CONTENT PILLAR MAPPING'!D130, "', dengan segmentasi audiens: '", 'CONTENT PILLAR MAPPING'!D131, "'.", CHAR(10), CHAR(10),
"Mohon buatkan script konten yang **sangat powerful, menarik, inovatif, dan siap pakai** dengan judul ide '", B211, "'.", CHAR(10),
"Konten ini memiliki pilar '", C211, "', nilai tambah utama '", F211, "', dan akan menggunakan storytelling framework '", G211, "'.", CHAR(10),
"Gambaran singkat ide kontennya adalah: '", J211, "'.", CHAR(10),
"Konten ini akan diunggah di platform '", E211, "' dengan format '", D211,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MAPPING'!C117, "'.** Sesuaikan dengan gaya komunikasi saya, dengan fokus pada nilai tambah '", F211,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MAPPING'!D130, ", khusus ", 'CONTENT PILLAR MAPPING'!D131, ") dan membantu mereka menyelesaikan masalah atau mencapai tujuan mereka.", CHAR(10),
"✔ Membantuku membangun personal branding yang kuat dan sustainable, sesuai dengan Positioning saya sebagai '", 'CONTENT PILLAR MAPPING'!C117, "' dan Brand Archetype '", 'CONTENT PILLAR MAPPING'!D122, "'.", CHAR(10),
"✔ Kemas dalam bentuk tabel agar rapi, mudah di baca dan dipahami, dengan kolom 'Judul Konten', 'Pilar', 'Format', 'Draft Script', 'CTA', 'Saran Visual', dan 'Full Caption'. (Kosongkan kolom Link Prompt jika ada)."
),
"")</f>
        <v/>
      </c>
      <c r="L211" s="91" t="n"/>
      <c r="M211" s="91" t="n"/>
      <c r="N211" s="102" t="n"/>
      <c r="O211" s="102" t="n"/>
      <c r="P211" s="102" t="n"/>
      <c r="Q211" s="102" t="n"/>
      <c r="R211" s="102" t="n"/>
      <c r="S211" s="102" t="n"/>
      <c r="T211" s="102" t="n"/>
      <c r="U211" s="102" t="n"/>
      <c r="V211" s="102" t="n"/>
      <c r="W211" s="102" t="n"/>
      <c r="X211" s="102" t="n"/>
      <c r="Y211" s="102" t="n"/>
      <c r="Z211" s="102" t="n"/>
      <c r="AA211" s="102" t="n"/>
      <c r="AB211" s="102" t="n"/>
      <c r="AC211" s="102" t="n"/>
      <c r="AD211" s="102" t="n"/>
    </row>
    <row r="212" ht="15.75" customHeight="1" s="205">
      <c r="A212" s="102" t="n"/>
      <c r="B212" s="147" t="n"/>
      <c r="C212" s="144" t="n"/>
      <c r="D212" s="144" t="n"/>
      <c r="E212" s="144" t="n"/>
      <c r="F212" s="144" t="n"/>
      <c r="G212" s="144" t="n"/>
      <c r="H212" s="141">
        <f>IF(K212&lt;&gt;"", HYPERLINK("https://chatgpt.com/?prompt=" &amp; SUBSTITUTE(SUBSTITUTE(K212, " ", "+"), "&amp;", "dan") &amp; "&amp;force-refresh=true&amp;timestamp=" &amp; TEXT(NOW(), "yyyymmddhhmmss"), "👉 Klik untuk Generate Script! 🔥"), "")</f>
        <v/>
      </c>
      <c r="I212" s="144" t="n"/>
      <c r="J212" s="148" t="n"/>
      <c r="K212" s="140">
        <f>IF(AND(B212&lt;&gt;"", C212&lt;&gt;"", D212&lt;&gt;"", E212&lt;&gt;"", F212&lt;&gt;"", G212&lt;&gt;"", J212&lt;&gt;"", 'CONTENT PILLAR MAPPING'!C114&lt;&gt;"", 'CONTENT PILLAR MAPPING'!E114&lt;&gt;"", 'CONTENT PILLAR MAPPING'!F114&lt;&gt;"", 'CONTENT PILLAR MAPPING'!C117&lt;&gt;"", 'CONTENT PILLAR MAPPING'!C122&lt;&gt;"", 'CONTENT PILLAR MAPPING'!D122&lt;&gt;"", 'CONTENT PILLAR MAPPING'!E122&lt;&gt;"", 'CONTENT PILLAR MAPPING'!D130&lt;&gt;"", 'CONTENT PILLAR MAPPING'!D131&lt;&gt;""),
CONCATENATE(
"Sebagai seorang top konten kreator dengan niche utama '", 'CONTENT PILLAR MAPPING'!C114, "', spesifik kategori '", 'CONTENT PILLAR MAPPING'!E114, "', dan super spesifik '", 'CONTENT PILLAR MAPPING'!F114, "', yang dikenal sebagai '", 'CONTENT PILLAR MAPPING'!C117, "'.", CHAR(10),
"Saya memiliki Tone of Voice: '", 'CONTENT PILLAR MAPPING'!C122, "', Brand Archetype: '", 'CONTENT PILLAR MAPPING'!D122, "', dan Deskripsi Gaya Komunikasi: '", 'CONTENT PILLAR MAPPING'!E122, "'.", CHAR(10),
"Target audiens saya adalah: '", 'CONTENT PILLAR MAPPING'!D130, "', dengan segmentasi audiens: '", 'CONTENT PILLAR MAPPING'!D131, "'.", CHAR(10), CHAR(10),
"Mohon buatkan script konten yang **sangat powerful, menarik, inovatif, dan siap pakai** dengan judul ide '", B212, "'.", CHAR(10),
"Konten ini memiliki pilar '", C212, "', nilai tambah utama '", F212, "', dan akan menggunakan storytelling framework '", G212, "'.", CHAR(10),
"Gambaran singkat ide kontennya adalah: '", J212, "'.", CHAR(10),
"Konten ini akan diunggah di platform '", E212, "' dengan format '", D212,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MAPPING'!C117, "'.** Sesuaikan dengan gaya komunikasi saya, dengan fokus pada nilai tambah '", F212,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MAPPING'!D130, ", khusus ", 'CONTENT PILLAR MAPPING'!D131, ") dan membantu mereka menyelesaikan masalah atau mencapai tujuan mereka.", CHAR(10),
"✔ Membantuku membangun personal branding yang kuat dan sustainable, sesuai dengan Positioning saya sebagai '", 'CONTENT PILLAR MAPPING'!C117, "' dan Brand Archetype '", 'CONTENT PILLAR MAPPING'!D122, "'.", CHAR(10),
"✔ Kemas dalam bentuk tabel agar rapi, mudah di baca dan dipahami, dengan kolom 'Judul Konten', 'Pilar', 'Format', 'Draft Script', 'CTA', 'Saran Visual', dan 'Full Caption'. (Kosongkan kolom Link Prompt jika ada)."
),
"")</f>
        <v/>
      </c>
      <c r="L212" s="199" t="n"/>
      <c r="M212" s="199" t="n"/>
      <c r="N212" s="102" t="n"/>
      <c r="O212" s="102" t="n"/>
      <c r="P212" s="102" t="n"/>
      <c r="Q212" s="102" t="n"/>
      <c r="R212" s="102" t="n"/>
      <c r="S212" s="102" t="n"/>
      <c r="T212" s="102" t="n"/>
      <c r="U212" s="102" t="n"/>
      <c r="V212" s="102" t="n"/>
      <c r="W212" s="102" t="n"/>
      <c r="X212" s="102" t="n"/>
      <c r="Y212" s="102" t="n"/>
      <c r="Z212" s="102" t="n"/>
      <c r="AA212" s="102" t="n"/>
      <c r="AB212" s="102" t="n"/>
      <c r="AC212" s="102" t="n"/>
      <c r="AD212" s="102" t="n"/>
    </row>
    <row r="213" ht="15.75" customHeight="1" s="205">
      <c r="A213" s="102" t="n"/>
      <c r="B213" s="142" t="n"/>
      <c r="C213" s="143" t="n"/>
      <c r="D213" s="143" t="n"/>
      <c r="E213" s="143" t="n"/>
      <c r="F213" s="143" t="n"/>
      <c r="G213" s="144" t="n"/>
      <c r="H213" s="145">
        <f>IF(K213&lt;&gt;"", HYPERLINK("https://chatgpt.com/?prompt=" &amp; SUBSTITUTE(SUBSTITUTE(K213, " ", "+"), "&amp;", "dan") &amp; "&amp;force-refresh=true&amp;timestamp=" &amp; TEXT(NOW(), "yyyymmddhhmmss"), "👉 Klik untuk Generate Script! 🔥"), "")</f>
        <v/>
      </c>
      <c r="I213" s="143" t="n"/>
      <c r="J213" s="146" t="n"/>
      <c r="K213" s="130">
        <f>IF(AND(B213&lt;&gt;"", C213&lt;&gt;"", D213&lt;&gt;"", E213&lt;&gt;"", F213&lt;&gt;"", G213&lt;&gt;"", J213&lt;&gt;"", 'CONTENT PILLAR MAPPING'!C116&lt;&gt;"", 'CONTENT PILLAR MAPPING'!E116&lt;&gt;"", 'CONTENT PILLAR MAPPING'!F116&lt;&gt;"", 'CONTENT PILLAR MAPPING'!C119&lt;&gt;"", 'CONTENT PILLAR MAPPING'!C124&lt;&gt;"", 'CONTENT PILLAR MAPPING'!D124&lt;&gt;"", 'CONTENT PILLAR MAPPING'!E124&lt;&gt;"", 'CONTENT PILLAR MAPPING'!D132&lt;&gt;"", 'CONTENT PILLAR MAPPING'!D133&lt;&gt;""),
CONCATENATE(
"Sebagai seorang top konten kreator dengan niche utama '", 'CONTENT PILLAR MAPPING'!C116, "', spesifik kategori '", 'CONTENT PILLAR MAPPING'!E116, "', dan super spesifik '", 'CONTENT PILLAR MAPPING'!F116, "', yang dikenal sebagai '", 'CONTENT PILLAR MAPPING'!C119, "'.", CHAR(10),
"Saya memiliki Tone of Voice: '", 'CONTENT PILLAR MAPPING'!C124, "', Brand Archetype: '", 'CONTENT PILLAR MAPPING'!D124, "', dan Deskripsi Gaya Komunikasi: '", 'CONTENT PILLAR MAPPING'!E124, "'.", CHAR(10),
"Target audiens saya adalah: '", 'CONTENT PILLAR MAPPING'!D132, "', dengan segmentasi audiens: '", 'CONTENT PILLAR MAPPING'!D133, "'.", CHAR(10), CHAR(10),
"Mohon buatkan script konten yang **sangat powerful, menarik, inovatif, dan siap pakai** dengan judul ide '", B213, "'.", CHAR(10),
"Konten ini memiliki pilar '", C213, "', nilai tambah utama '", F213, "', dan akan menggunakan storytelling framework '", G213, "'.", CHAR(10),
"Gambaran singkat ide kontennya adalah: '", J213, "'.", CHAR(10),
"Konten ini akan diunggah di platform '", E213, "' dengan format '", D213,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MAPPING'!C119, "'.** Sesuaikan dengan gaya komunikasi saya, dengan fokus pada nilai tambah '", F213,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MAPPING'!D132, ", khusus ", 'CONTENT PILLAR MAPPING'!D133, ") dan membantu mereka menyelesaikan masalah atau mencapai tujuan mereka.", CHAR(10),
"✔ Membantuku membangun personal branding yang kuat dan sustainable, sesuai dengan Positioning saya sebagai '", 'CONTENT PILLAR MAPPING'!C119, "' dan Brand Archetype '", 'CONTENT PILLAR MAPPING'!D124, "'.", CHAR(10),
"✔ Kemas dalam bentuk tabel agar rapi, mudah di baca dan dipahami, dengan kolom 'Judul Konten', 'Pilar', 'Format', 'Draft Script', 'CTA', 'Saran Visual', dan 'Full Caption'. (Kosongkan kolom Link Prompt jika ada)."
),
"")</f>
        <v/>
      </c>
      <c r="L213" s="91" t="n"/>
      <c r="M213" s="91" t="n"/>
      <c r="N213" s="102" t="n"/>
      <c r="O213" s="102" t="n"/>
      <c r="P213" s="102" t="n"/>
      <c r="Q213" s="102" t="n"/>
      <c r="R213" s="102" t="n"/>
      <c r="S213" s="102" t="n"/>
      <c r="T213" s="102" t="n"/>
      <c r="U213" s="102" t="n"/>
      <c r="V213" s="102" t="n"/>
      <c r="W213" s="102" t="n"/>
      <c r="X213" s="102" t="n"/>
      <c r="Y213" s="102" t="n"/>
      <c r="Z213" s="102" t="n"/>
      <c r="AA213" s="102" t="n"/>
      <c r="AB213" s="102" t="n"/>
      <c r="AC213" s="102" t="n"/>
      <c r="AD213" s="102" t="n"/>
    </row>
    <row r="214" ht="15.75" customHeight="1" s="205">
      <c r="A214" s="102" t="n"/>
      <c r="B214" s="147" t="n"/>
      <c r="C214" s="144" t="n"/>
      <c r="D214" s="144" t="n"/>
      <c r="E214" s="144" t="n"/>
      <c r="F214" s="144" t="n"/>
      <c r="G214" s="144" t="n"/>
      <c r="H214" s="141">
        <f>IF(K214&lt;&gt;"", HYPERLINK("https://chatgpt.com/?prompt=" &amp; SUBSTITUTE(SUBSTITUTE(K214, " ", "+"), "&amp;", "dan") &amp; "&amp;force-refresh=true&amp;timestamp=" &amp; TEXT(NOW(), "yyyymmddhhmmss"), "👉 Klik untuk Generate Script! 🔥"), "")</f>
        <v/>
      </c>
      <c r="I214" s="144" t="n"/>
      <c r="J214" s="148" t="n"/>
      <c r="K214" s="140">
        <f>IF(AND(B214&lt;&gt;"", C214&lt;&gt;"", D214&lt;&gt;"", E214&lt;&gt;"", F214&lt;&gt;"", G214&lt;&gt;"", J214&lt;&gt;"", 'CONTENT PILLAR MAPPING'!C116&lt;&gt;"", 'CONTENT PILLAR MAPPING'!E116&lt;&gt;"", 'CONTENT PILLAR MAPPING'!F116&lt;&gt;"", 'CONTENT PILLAR MAPPING'!C119&lt;&gt;"", 'CONTENT PILLAR MAPPING'!C124&lt;&gt;"", 'CONTENT PILLAR MAPPING'!D124&lt;&gt;"", 'CONTENT PILLAR MAPPING'!E124&lt;&gt;"", 'CONTENT PILLAR MAPPING'!D132&lt;&gt;"", 'CONTENT PILLAR MAPPING'!D133&lt;&gt;""),
CONCATENATE(
"Sebagai seorang top konten kreator dengan niche utama '", 'CONTENT PILLAR MAPPING'!C116, "', spesifik kategori '", 'CONTENT PILLAR MAPPING'!E116, "', dan super spesifik '", 'CONTENT PILLAR MAPPING'!F116, "', yang dikenal sebagai '", 'CONTENT PILLAR MAPPING'!C119, "'.", CHAR(10),
"Saya memiliki Tone of Voice: '", 'CONTENT PILLAR MAPPING'!C124, "', Brand Archetype: '", 'CONTENT PILLAR MAPPING'!D124, "', dan Deskripsi Gaya Komunikasi: '", 'CONTENT PILLAR MAPPING'!E124, "'.", CHAR(10),
"Target audiens saya adalah: '", 'CONTENT PILLAR MAPPING'!D132, "', dengan segmentasi audiens: '", 'CONTENT PILLAR MAPPING'!D133, "'.", CHAR(10), CHAR(10),
"Mohon buatkan script konten yang **sangat powerful, menarik, inovatif, dan siap pakai** dengan judul ide '", B214, "'.", CHAR(10),
"Konten ini memiliki pilar '", C214, "', nilai tambah utama '", F214, "', dan akan menggunakan storytelling framework '", G214, "'.", CHAR(10),
"Gambaran singkat ide kontennya adalah: '", J214, "'.", CHAR(10),
"Konten ini akan diunggah di platform '", E214, "' dengan format '", D214,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MAPPING'!C119, "'.** Sesuaikan dengan gaya komunikasi saya, dengan fokus pada nilai tambah '", F214,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MAPPING'!D132, ", khusus ", 'CONTENT PILLAR MAPPING'!D133, ") dan membantu mereka menyelesaikan masalah atau mencapai tujuan mereka.", CHAR(10),
"✔ Membantuku membangun personal branding yang kuat dan sustainable, sesuai dengan Positioning saya sebagai '", 'CONTENT PILLAR MAPPING'!C119, "' dan Brand Archetype '", 'CONTENT PILLAR MAPPING'!D124, "'.", CHAR(10),
"✔ Kemas dalam bentuk tabel agar rapi, mudah di baca dan dipahami, dengan kolom 'Judul Konten', 'Pilar', 'Format', 'Draft Script', 'CTA', 'Saran Visual', dan 'Full Caption'. (Kosongkan kolom Link Prompt jika ada)."
),
"")</f>
        <v/>
      </c>
      <c r="L214" s="199" t="n"/>
      <c r="M214" s="199" t="n"/>
      <c r="N214" s="102" t="n"/>
      <c r="O214" s="102" t="n"/>
      <c r="P214" s="102" t="n"/>
      <c r="Q214" s="102" t="n"/>
      <c r="R214" s="102" t="n"/>
      <c r="S214" s="102" t="n"/>
      <c r="T214" s="102" t="n"/>
      <c r="U214" s="102" t="n"/>
      <c r="V214" s="102" t="n"/>
      <c r="W214" s="102" t="n"/>
      <c r="X214" s="102" t="n"/>
      <c r="Y214" s="102" t="n"/>
      <c r="Z214" s="102" t="n"/>
      <c r="AA214" s="102" t="n"/>
      <c r="AB214" s="102" t="n"/>
      <c r="AC214" s="102" t="n"/>
      <c r="AD214" s="102" t="n"/>
    </row>
    <row r="215" ht="15.75" customHeight="1" s="205">
      <c r="A215" s="102" t="n"/>
      <c r="B215" s="142" t="n"/>
      <c r="C215" s="143" t="n"/>
      <c r="D215" s="143" t="n"/>
      <c r="E215" s="143" t="n"/>
      <c r="F215" s="143" t="n"/>
      <c r="G215" s="144" t="n"/>
      <c r="H215" s="145">
        <f>IF(K215&lt;&gt;"", HYPERLINK("https://chatgpt.com/?prompt=" &amp; SUBSTITUTE(SUBSTITUTE(K215, " ", "+"), "&amp;", "dan") &amp; "&amp;force-refresh=true&amp;timestamp=" &amp; TEXT(NOW(), "yyyymmddhhmmss"), "👉 Klik untuk Generate Script! 🔥"), "")</f>
        <v/>
      </c>
      <c r="I215" s="143" t="n"/>
      <c r="J215" s="146" t="n"/>
      <c r="K215" s="130">
        <f>IF(AND(B215&lt;&gt;"", C215&lt;&gt;"", D215&lt;&gt;"", E215&lt;&gt;"", F215&lt;&gt;"", G215&lt;&gt;"", J215&lt;&gt;"", 'CONTENT PILLAR MAPPING'!C118&lt;&gt;"", 'CONTENT PILLAR MAPPING'!E118&lt;&gt;"", 'CONTENT PILLAR MAPPING'!F118&lt;&gt;"", 'CONTENT PILLAR MAPPING'!C121&lt;&gt;"", 'CONTENT PILLAR MAPPING'!C126&lt;&gt;"", 'CONTENT PILLAR MAPPING'!D126&lt;&gt;"", 'CONTENT PILLAR MAPPING'!E126&lt;&gt;"", 'CONTENT PILLAR MAPPING'!D134&lt;&gt;"", 'CONTENT PILLAR MAPPING'!D135&lt;&gt;""),
CONCATENATE(
"Sebagai seorang top konten kreator dengan niche utama '", 'CONTENT PILLAR MAPPING'!C118, "', spesifik kategori '", 'CONTENT PILLAR MAPPING'!E118, "', dan super spesifik '", 'CONTENT PILLAR MAPPING'!F118, "', yang dikenal sebagai '", 'CONTENT PILLAR MAPPING'!C121, "'.", CHAR(10),
"Saya memiliki Tone of Voice: '", 'CONTENT PILLAR MAPPING'!C126, "', Brand Archetype: '", 'CONTENT PILLAR MAPPING'!D126, "', dan Deskripsi Gaya Komunikasi: '", 'CONTENT PILLAR MAPPING'!E126, "'.", CHAR(10),
"Target audiens saya adalah: '", 'CONTENT PILLAR MAPPING'!D134, "', dengan segmentasi audiens: '", 'CONTENT PILLAR MAPPING'!D135, "'.", CHAR(10), CHAR(10),
"Mohon buatkan script konten yang **sangat powerful, menarik, inovatif, dan siap pakai** dengan judul ide '", B215, "'.", CHAR(10),
"Konten ini memiliki pilar '", C215, "', nilai tambah utama '", F215, "', dan akan menggunakan storytelling framework '", G215, "'.", CHAR(10),
"Gambaran singkat ide kontennya adalah: '", J215, "'.", CHAR(10),
"Konten ini akan diunggah di platform '", E215, "' dengan format '", D215,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MAPPING'!C121, "'.** Sesuaikan dengan gaya komunikasi saya, dengan fokus pada nilai tambah '", F215,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MAPPING'!D134, ", khusus ", 'CONTENT PILLAR MAPPING'!D135, ") dan membantu mereka menyelesaikan masalah atau mencapai tujuan mereka.", CHAR(10),
"✔ Membantuku membangun personal branding yang kuat dan sustainable, sesuai dengan Positioning saya sebagai '", 'CONTENT PILLAR MAPPING'!C121, "' dan Brand Archetype '", 'CONTENT PILLAR MAPPING'!D126, "'.", CHAR(10),
"✔ Kemas dalam bentuk tabel agar rapi, mudah di baca dan dipahami, dengan kolom 'Judul Konten', 'Pilar', 'Format', 'Draft Script', 'CTA', 'Saran Visual', dan 'Full Caption'. (Kosongkan kolom Link Prompt jika ada)."
),
"")</f>
        <v/>
      </c>
      <c r="L215" s="91" t="n"/>
      <c r="M215" s="91" t="n"/>
      <c r="N215" s="102" t="n"/>
      <c r="O215" s="102" t="n"/>
      <c r="P215" s="102" t="n"/>
      <c r="Q215" s="102" t="n"/>
      <c r="R215" s="102" t="n"/>
      <c r="S215" s="102" t="n"/>
      <c r="T215" s="102" t="n"/>
      <c r="U215" s="102" t="n"/>
      <c r="V215" s="102" t="n"/>
      <c r="W215" s="102" t="n"/>
      <c r="X215" s="102" t="n"/>
      <c r="Y215" s="102" t="n"/>
      <c r="Z215" s="102" t="n"/>
      <c r="AA215" s="102" t="n"/>
      <c r="AB215" s="102" t="n"/>
      <c r="AC215" s="102" t="n"/>
      <c r="AD215" s="102" t="n"/>
    </row>
    <row r="216" ht="15.75" customHeight="1" s="205">
      <c r="A216" s="102" t="n"/>
      <c r="B216" s="147" t="n"/>
      <c r="C216" s="144" t="n"/>
      <c r="D216" s="144" t="n"/>
      <c r="E216" s="144" t="n"/>
      <c r="F216" s="144" t="n"/>
      <c r="G216" s="144" t="n"/>
      <c r="H216" s="141">
        <f>IF(K216&lt;&gt;"", HYPERLINK("https://chatgpt.com/?prompt=" &amp; SUBSTITUTE(SUBSTITUTE(K216, " ", "+"), "&amp;", "dan") &amp; "&amp;force-refresh=true&amp;timestamp=" &amp; TEXT(NOW(), "yyyymmddhhmmss"), "👉 Klik untuk Generate Script! 🔥"), "")</f>
        <v/>
      </c>
      <c r="I216" s="144" t="n"/>
      <c r="J216" s="148" t="n"/>
      <c r="K216" s="140">
        <f>IF(AND(B216&lt;&gt;"", C216&lt;&gt;"", D216&lt;&gt;"", E216&lt;&gt;"", F216&lt;&gt;"", G216&lt;&gt;"", J216&lt;&gt;"", 'CONTENT PILLAR MAPPING'!C118&lt;&gt;"", 'CONTENT PILLAR MAPPING'!E118&lt;&gt;"", 'CONTENT PILLAR MAPPING'!F118&lt;&gt;"", 'CONTENT PILLAR MAPPING'!C121&lt;&gt;"", 'CONTENT PILLAR MAPPING'!C126&lt;&gt;"", 'CONTENT PILLAR MAPPING'!D126&lt;&gt;"", 'CONTENT PILLAR MAPPING'!E126&lt;&gt;"", 'CONTENT PILLAR MAPPING'!D134&lt;&gt;"", 'CONTENT PILLAR MAPPING'!D135&lt;&gt;""),
CONCATENATE(
"Sebagai seorang top konten kreator dengan niche utama '", 'CONTENT PILLAR MAPPING'!C118, "', spesifik kategori '", 'CONTENT PILLAR MAPPING'!E118, "', dan super spesifik '", 'CONTENT PILLAR MAPPING'!F118, "', yang dikenal sebagai '", 'CONTENT PILLAR MAPPING'!C121, "'.", CHAR(10),
"Saya memiliki Tone of Voice: '", 'CONTENT PILLAR MAPPING'!C126, "', Brand Archetype: '", 'CONTENT PILLAR MAPPING'!D126, "', dan Deskripsi Gaya Komunikasi: '", 'CONTENT PILLAR MAPPING'!E126, "'.", CHAR(10),
"Target audiens saya adalah: '", 'CONTENT PILLAR MAPPING'!D134, "', dengan segmentasi audiens: '", 'CONTENT PILLAR MAPPING'!D135, "'.", CHAR(10), CHAR(10),
"Mohon buatkan script konten yang **sangat powerful, menarik, inovatif, dan siap pakai** dengan judul ide '", B216, "'.", CHAR(10),
"Konten ini memiliki pilar '", C216, "', nilai tambah utama '", F216, "', dan akan menggunakan storytelling framework '", G216, "'.", CHAR(10),
"Gambaran singkat ide kontennya adalah: '", J216, "'.", CHAR(10),
"Konten ini akan diunggah di platform '", E216, "' dengan format '", D216,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MAPPING'!C121, "'.** Sesuaikan dengan gaya komunikasi saya, dengan fokus pada nilai tambah '", F216,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MAPPING'!D134, ", khusus ", 'CONTENT PILLAR MAPPING'!D135, ") dan membantu mereka menyelesaikan masalah atau mencapai tujuan mereka.", CHAR(10),
"✔ Membantuku membangun personal branding yang kuat dan sustainable, sesuai dengan Positioning saya sebagai '", 'CONTENT PILLAR MAPPING'!C121, "' dan Brand Archetype '", 'CONTENT PILLAR MAPPING'!D126, "'.", CHAR(10),
"✔ Kemas dalam bentuk tabel agar rapi, mudah di baca dan dipahami, dengan kolom 'Judul Konten', 'Pilar', 'Format', 'Draft Script', 'CTA', 'Saran Visual', dan 'Full Caption'. (Kosongkan kolom Link Prompt jika ada)."
),
"")</f>
        <v/>
      </c>
      <c r="L216" s="199" t="n"/>
      <c r="M216" s="199" t="n"/>
      <c r="N216" s="102" t="n"/>
      <c r="O216" s="102" t="n"/>
      <c r="P216" s="102" t="n"/>
      <c r="Q216" s="102" t="n"/>
      <c r="R216" s="102" t="n"/>
      <c r="S216" s="102" t="n"/>
      <c r="T216" s="102" t="n"/>
      <c r="U216" s="102" t="n"/>
      <c r="V216" s="102" t="n"/>
      <c r="W216" s="102" t="n"/>
      <c r="X216" s="102" t="n"/>
      <c r="Y216" s="102" t="n"/>
      <c r="Z216" s="102" t="n"/>
      <c r="AA216" s="102" t="n"/>
      <c r="AB216" s="102" t="n"/>
      <c r="AC216" s="102" t="n"/>
      <c r="AD216" s="102" t="n"/>
    </row>
    <row r="217" ht="15.75" customHeight="1" s="205">
      <c r="A217" s="102" t="n"/>
      <c r="B217" s="142" t="n"/>
      <c r="C217" s="143" t="n"/>
      <c r="D217" s="143" t="n"/>
      <c r="E217" s="143" t="n"/>
      <c r="F217" s="143" t="n"/>
      <c r="G217" s="144" t="n"/>
      <c r="H217" s="145">
        <f>IF(K217&lt;&gt;"", HYPERLINK("https://chatgpt.com/?prompt=" &amp; SUBSTITUTE(SUBSTITUTE(K217, " ", "+"), "&amp;", "dan") &amp; "&amp;force-refresh=true&amp;timestamp=" &amp; TEXT(NOW(), "yyyymmddhhmmss"), "👉 Klik untuk Generate Script! 🔥"), "")</f>
        <v/>
      </c>
      <c r="I217" s="143" t="n"/>
      <c r="J217" s="146" t="n"/>
      <c r="K217" s="130">
        <f>IF(AND(B217&lt;&gt;"", C217&lt;&gt;"", D217&lt;&gt;"", E217&lt;&gt;"", F217&lt;&gt;"", G217&lt;&gt;"", J217&lt;&gt;"", 'CONTENT PILLAR MAPPING'!C120&lt;&gt;"", 'CONTENT PILLAR MAPPING'!E120&lt;&gt;"", 'CONTENT PILLAR MAPPING'!F120&lt;&gt;"", 'CONTENT PILLAR MAPPING'!C123&lt;&gt;"", 'CONTENT PILLAR MAPPING'!C128&lt;&gt;"", 'CONTENT PILLAR MAPPING'!D128&lt;&gt;"", 'CONTENT PILLAR MAPPING'!E128&lt;&gt;"", 'CONTENT PILLAR MAPPING'!D136&lt;&gt;"", 'CONTENT PILLAR MAPPING'!D137&lt;&gt;""),
CONCATENATE(
"Sebagai seorang top konten kreator dengan niche utama '", 'CONTENT PILLAR MAPPING'!C120, "', spesifik kategori '", 'CONTENT PILLAR MAPPING'!E120, "', dan super spesifik '", 'CONTENT PILLAR MAPPING'!F120, "', yang dikenal sebagai '", 'CONTENT PILLAR MAPPING'!C123, "'.", CHAR(10),
"Saya memiliki Tone of Voice: '", 'CONTENT PILLAR MAPPING'!C128, "', Brand Archetype: '", 'CONTENT PILLAR MAPPING'!D128, "', dan Deskripsi Gaya Komunikasi: '", 'CONTENT PILLAR MAPPING'!E128, "'.", CHAR(10),
"Target audiens saya adalah: '", 'CONTENT PILLAR MAPPING'!D136, "', dengan segmentasi audiens: '", 'CONTENT PILLAR MAPPING'!D137, "'.", CHAR(10), CHAR(10),
"Mohon buatkan script konten yang **sangat powerful, menarik, inovatif, dan siap pakai** dengan judul ide '", B217, "'.", CHAR(10),
"Konten ini memiliki pilar '", C217, "', nilai tambah utama '", F217, "', dan akan menggunakan storytelling framework '", G217, "'.", CHAR(10),
"Gambaran singkat ide kontennya adalah: '", J217, "'.", CHAR(10),
"Konten ini akan diunggah di platform '", E217, "' dengan format '", D217,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MAPPING'!C123, "'.** Sesuaikan dengan gaya komunikasi saya, dengan fokus pada nilai tambah '", F217,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MAPPING'!D136, ", khusus ", 'CONTENT PILLAR MAPPING'!D137, ") dan membantu mereka menyelesaikan masalah atau mencapai tujuan mereka.", CHAR(10),
"✔ Membantuku membangun personal branding yang kuat dan sustainable, sesuai dengan Positioning saya sebagai '", 'CONTENT PILLAR MAPPING'!C123, "' dan Brand Archetype '", 'CONTENT PILLAR MAPPING'!D128, "'.", CHAR(10),
"✔ Kemas dalam bentuk tabel agar rapi, mudah di baca dan dipahami, dengan kolom 'Judul Konten', 'Pilar', 'Format', 'Draft Script', 'CTA', 'Saran Visual', dan 'Full Caption'. (Kosongkan kolom Link Prompt jika ada)."
),
"")</f>
        <v/>
      </c>
      <c r="L217" s="91" t="n"/>
      <c r="M217" s="91" t="n"/>
      <c r="N217" s="102" t="n"/>
      <c r="O217" s="102" t="n"/>
      <c r="P217" s="102" t="n"/>
      <c r="Q217" s="102" t="n"/>
      <c r="R217" s="102" t="n"/>
      <c r="S217" s="102" t="n"/>
      <c r="T217" s="102" t="n"/>
      <c r="U217" s="102" t="n"/>
      <c r="V217" s="102" t="n"/>
      <c r="W217" s="102" t="n"/>
      <c r="X217" s="102" t="n"/>
      <c r="Y217" s="102" t="n"/>
      <c r="Z217" s="102" t="n"/>
      <c r="AA217" s="102" t="n"/>
      <c r="AB217" s="102" t="n"/>
      <c r="AC217" s="102" t="n"/>
      <c r="AD217" s="102" t="n"/>
    </row>
    <row r="218" ht="15.75" customHeight="1" s="205">
      <c r="A218" s="102" t="n"/>
      <c r="B218" s="147" t="n"/>
      <c r="C218" s="144" t="n"/>
      <c r="D218" s="144" t="n"/>
      <c r="E218" s="144" t="n"/>
      <c r="F218" s="144" t="n"/>
      <c r="G218" s="144" t="n"/>
      <c r="H218" s="141">
        <f>IF(K218&lt;&gt;"", HYPERLINK("https://chatgpt.com/?prompt=" &amp; SUBSTITUTE(SUBSTITUTE(K218, " ", "+"), "&amp;", "dan") &amp; "&amp;force-refresh=true&amp;timestamp=" &amp; TEXT(NOW(), "yyyymmddhhmmss"), "👉 Klik untuk Generate Script! 🔥"), "")</f>
        <v/>
      </c>
      <c r="I218" s="144" t="n"/>
      <c r="J218" s="148" t="n"/>
      <c r="K218" s="140">
        <f>IF(AND(B218&lt;&gt;"", C218&lt;&gt;"", D218&lt;&gt;"", E218&lt;&gt;"", F218&lt;&gt;"", G218&lt;&gt;"", J218&lt;&gt;"", 'CONTENT PILLAR MAPPING'!C120&lt;&gt;"", 'CONTENT PILLAR MAPPING'!E120&lt;&gt;"", 'CONTENT PILLAR MAPPING'!F120&lt;&gt;"", 'CONTENT PILLAR MAPPING'!C123&lt;&gt;"", 'CONTENT PILLAR MAPPING'!C128&lt;&gt;"", 'CONTENT PILLAR MAPPING'!D128&lt;&gt;"", 'CONTENT PILLAR MAPPING'!E128&lt;&gt;"", 'CONTENT PILLAR MAPPING'!D136&lt;&gt;"", 'CONTENT PILLAR MAPPING'!D137&lt;&gt;""),
CONCATENATE(
"Sebagai seorang top konten kreator dengan niche utama '", 'CONTENT PILLAR MAPPING'!C120, "', spesifik kategori '", 'CONTENT PILLAR MAPPING'!E120, "', dan super spesifik '", 'CONTENT PILLAR MAPPING'!F120, "', yang dikenal sebagai '", 'CONTENT PILLAR MAPPING'!C123, "'.", CHAR(10),
"Saya memiliki Tone of Voice: '", 'CONTENT PILLAR MAPPING'!C128, "', Brand Archetype: '", 'CONTENT PILLAR MAPPING'!D128, "', dan Deskripsi Gaya Komunikasi: '", 'CONTENT PILLAR MAPPING'!E128, "'.", CHAR(10),
"Target audiens saya adalah: '", 'CONTENT PILLAR MAPPING'!D136, "', dengan segmentasi audiens: '", 'CONTENT PILLAR MAPPING'!D137, "'.", CHAR(10), CHAR(10),
"Mohon buatkan script konten yang **sangat powerful, menarik, inovatif, dan siap pakai** dengan judul ide '", B218, "'.", CHAR(10),
"Konten ini memiliki pilar '", C218, "', nilai tambah utama '", F218, "', dan akan menggunakan storytelling framework '", G218, "'.", CHAR(10),
"Gambaran singkat ide kontennya adalah: '", J218, "'.", CHAR(10),
"Konten ini akan diunggah di platform '", E218, "' dengan format '", D218,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MAPPING'!C123, "'.** Sesuaikan dengan gaya komunikasi saya, dengan fokus pada nilai tambah '", F218,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MAPPING'!D136, ", khusus ", 'CONTENT PILLAR MAPPING'!D137, ") dan membantu mereka menyelesaikan masalah atau mencapai tujuan mereka.", CHAR(10),
"✔ Membantuku membangun personal branding yang kuat dan sustainable, sesuai dengan Positioning saya sebagai '", 'CONTENT PILLAR MAPPING'!C123, "' dan Brand Archetype '", 'CONTENT PILLAR MAPPING'!D128, "'.", CHAR(10),
"✔ Kemas dalam bentuk tabel agar rapi, mudah di baca dan dipahami, dengan kolom 'Judul Konten', 'Pilar', 'Format', 'Draft Script', 'CTA', 'Saran Visual', dan 'Full Caption'. (Kosongkan kolom Link Prompt jika ada)."
),
"")</f>
        <v/>
      </c>
      <c r="L218" s="199" t="n"/>
      <c r="M218" s="199" t="n"/>
      <c r="N218" s="102" t="n"/>
      <c r="O218" s="102" t="n"/>
      <c r="P218" s="102" t="n"/>
      <c r="Q218" s="102" t="n"/>
      <c r="R218" s="102" t="n"/>
      <c r="S218" s="102" t="n"/>
      <c r="T218" s="102" t="n"/>
      <c r="U218" s="102" t="n"/>
      <c r="V218" s="102" t="n"/>
      <c r="W218" s="102" t="n"/>
      <c r="X218" s="102" t="n"/>
      <c r="Y218" s="102" t="n"/>
      <c r="Z218" s="102" t="n"/>
      <c r="AA218" s="102" t="n"/>
      <c r="AB218" s="102" t="n"/>
      <c r="AC218" s="102" t="n"/>
      <c r="AD218" s="102" t="n"/>
    </row>
    <row r="219" ht="15.75" customHeight="1" s="205">
      <c r="A219" s="102" t="n"/>
      <c r="B219" s="142" t="n"/>
      <c r="C219" s="143" t="n"/>
      <c r="D219" s="143" t="n"/>
      <c r="E219" s="143" t="n"/>
      <c r="F219" s="143" t="n"/>
      <c r="G219" s="144" t="n"/>
      <c r="H219" s="145">
        <f>IF(K219&lt;&gt;"", HYPERLINK("https://chatgpt.com/?prompt=" &amp; SUBSTITUTE(SUBSTITUTE(K219, " ", "+"), "&amp;", "dan") &amp; "&amp;force-refresh=true&amp;timestamp=" &amp; TEXT(NOW(), "yyyymmddhhmmss"), "👉 Klik untuk Generate Script! 🔥"), "")</f>
        <v/>
      </c>
      <c r="I219" s="143" t="n"/>
      <c r="J219" s="146" t="n"/>
      <c r="K219" s="130">
        <f>IF(AND(B219&lt;&gt;"", C219&lt;&gt;"", D219&lt;&gt;"", E219&lt;&gt;"", F219&lt;&gt;"", G219&lt;&gt;"", J219&lt;&gt;"", 'CONTENT PILLAR MAPPING'!C122&lt;&gt;"", 'CONTENT PILLAR MAPPING'!E122&lt;&gt;"", 'CONTENT PILLAR MAPPING'!F122&lt;&gt;"", 'CONTENT PILLAR MAPPING'!C125&lt;&gt;"", 'CONTENT PILLAR MAPPING'!C130&lt;&gt;"", 'CONTENT PILLAR MAPPING'!D130&lt;&gt;"", 'CONTENT PILLAR MAPPING'!E130&lt;&gt;"", 'CONTENT PILLAR MAPPING'!D138&lt;&gt;"", 'CONTENT PILLAR MAPPING'!D139&lt;&gt;""),
CONCATENATE(
"Sebagai seorang top konten kreator dengan niche utama '", 'CONTENT PILLAR MAPPING'!C122, "', spesifik kategori '", 'CONTENT PILLAR MAPPING'!E122, "', dan super spesifik '", 'CONTENT PILLAR MAPPING'!F122, "', yang dikenal sebagai '", 'CONTENT PILLAR MAPPING'!C125, "'.", CHAR(10),
"Saya memiliki Tone of Voice: '", 'CONTENT PILLAR MAPPING'!C130, "', Brand Archetype: '", 'CONTENT PILLAR MAPPING'!D130, "', dan Deskripsi Gaya Komunikasi: '", 'CONTENT PILLAR MAPPING'!E130, "'.", CHAR(10),
"Target audiens saya adalah: '", 'CONTENT PILLAR MAPPING'!D138, "', dengan segmentasi audiens: '", 'CONTENT PILLAR MAPPING'!D139, "'.", CHAR(10), CHAR(10),
"Mohon buatkan script konten yang **sangat powerful, menarik, inovatif, dan siap pakai** dengan judul ide '", B219, "'.", CHAR(10),
"Konten ini memiliki pilar '", C219, "', nilai tambah utama '", F219, "', dan akan menggunakan storytelling framework '", G219, "'.", CHAR(10),
"Gambaran singkat ide kontennya adalah: '", J219, "'.", CHAR(10),
"Konten ini akan diunggah di platform '", E219, "' dengan format '", D219,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MAPPING'!C125, "'.** Sesuaikan dengan gaya komunikasi saya, dengan fokus pada nilai tambah '", F219,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MAPPING'!D138, ", khusus ", 'CONTENT PILLAR MAPPING'!D139, ") dan membantu mereka menyelesaikan masalah atau mencapai tujuan mereka.", CHAR(10),
"✔ Membantuku membangun personal branding yang kuat dan sustainable, sesuai dengan Positioning saya sebagai '", 'CONTENT PILLAR MAPPING'!C125, "' dan Brand Archetype '", 'CONTENT PILLAR MAPPING'!D130, "'.", CHAR(10),
"✔ Kemas dalam bentuk tabel agar rapi, mudah di baca dan dipahami, dengan kolom 'Judul Konten', 'Pilar', 'Format', 'Draft Script', 'CTA', 'Saran Visual', dan 'Full Caption'. (Kosongkan kolom Link Prompt jika ada)."
),
"")</f>
        <v/>
      </c>
      <c r="L219" s="91" t="n"/>
      <c r="M219" s="91" t="n"/>
      <c r="N219" s="102" t="n"/>
      <c r="O219" s="102" t="n"/>
      <c r="P219" s="102" t="n"/>
      <c r="Q219" s="102" t="n"/>
      <c r="R219" s="102" t="n"/>
      <c r="S219" s="102" t="n"/>
      <c r="T219" s="102" t="n"/>
      <c r="U219" s="102" t="n"/>
      <c r="V219" s="102" t="n"/>
      <c r="W219" s="102" t="n"/>
      <c r="X219" s="102" t="n"/>
      <c r="Y219" s="102" t="n"/>
      <c r="Z219" s="102" t="n"/>
      <c r="AA219" s="102" t="n"/>
      <c r="AB219" s="102" t="n"/>
      <c r="AC219" s="102" t="n"/>
      <c r="AD219" s="102" t="n"/>
    </row>
    <row r="220" ht="15.75" customHeight="1" s="205">
      <c r="A220" s="102" t="n"/>
      <c r="B220" s="147" t="n"/>
      <c r="C220" s="144" t="n"/>
      <c r="D220" s="144" t="n"/>
      <c r="E220" s="144" t="n"/>
      <c r="F220" s="144" t="n"/>
      <c r="G220" s="144" t="n"/>
      <c r="H220" s="141">
        <f>IF(K220&lt;&gt;"", HYPERLINK("https://chatgpt.com/?prompt=" &amp; SUBSTITUTE(SUBSTITUTE(K220, " ", "+"), "&amp;", "dan") &amp; "&amp;force-refresh=true&amp;timestamp=" &amp; TEXT(NOW(), "yyyymmddhhmmss"), "👉 Klik untuk Generate Script! 🔥"), "")</f>
        <v/>
      </c>
      <c r="I220" s="144" t="n"/>
      <c r="J220" s="148" t="n"/>
      <c r="K220" s="140">
        <f>IF(AND(B220&lt;&gt;"", C220&lt;&gt;"", D220&lt;&gt;"", E220&lt;&gt;"", F220&lt;&gt;"", G220&lt;&gt;"", J220&lt;&gt;"", 'CONTENT PILLAR MAPPING'!C122&lt;&gt;"", 'CONTENT PILLAR MAPPING'!E122&lt;&gt;"", 'CONTENT PILLAR MAPPING'!F122&lt;&gt;"", 'CONTENT PILLAR MAPPING'!C125&lt;&gt;"", 'CONTENT PILLAR MAPPING'!C130&lt;&gt;"", 'CONTENT PILLAR MAPPING'!D130&lt;&gt;"", 'CONTENT PILLAR MAPPING'!E130&lt;&gt;"", 'CONTENT PILLAR MAPPING'!D138&lt;&gt;"", 'CONTENT PILLAR MAPPING'!D139&lt;&gt;""),
CONCATENATE(
"Sebagai seorang top konten kreator dengan niche utama '", 'CONTENT PILLAR MAPPING'!C122, "', spesifik kategori '", 'CONTENT PILLAR MAPPING'!E122, "', dan super spesifik '", 'CONTENT PILLAR MAPPING'!F122, "', yang dikenal sebagai '", 'CONTENT PILLAR MAPPING'!C125, "'.", CHAR(10),
"Saya memiliki Tone of Voice: '", 'CONTENT PILLAR MAPPING'!C130, "', Brand Archetype: '", 'CONTENT PILLAR MAPPING'!D130, "', dan Deskripsi Gaya Komunikasi: '", 'CONTENT PILLAR MAPPING'!E130, "'.", CHAR(10),
"Target audiens saya adalah: '", 'CONTENT PILLAR MAPPING'!D138, "', dengan segmentasi audiens: '", 'CONTENT PILLAR MAPPING'!D139, "'.", CHAR(10), CHAR(10),
"Mohon buatkan script konten yang **sangat powerful, menarik, inovatif, dan siap pakai** dengan judul ide '", B220, "'.", CHAR(10),
"Konten ini memiliki pilar '", C220, "', nilai tambah utama '", F220, "', dan akan menggunakan storytelling framework '", G220, "'.", CHAR(10),
"Gambaran singkat ide kontennya adalah: '", J220, "'.", CHAR(10),
"Konten ini akan diunggah di platform '", E220, "' dengan format '", D220,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MAPPING'!C125, "'.** Sesuaikan dengan gaya komunikasi saya, dengan fokus pada nilai tambah '", F220,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MAPPING'!D138, ", khusus ", 'CONTENT PILLAR MAPPING'!D139, ") dan membantu mereka menyelesaikan masalah atau mencapai tujuan mereka.", CHAR(10),
"✔ Membantuku membangun personal branding yang kuat dan sustainable, sesuai dengan Positioning saya sebagai '", 'CONTENT PILLAR MAPPING'!C125, "' dan Brand Archetype '", 'CONTENT PILLAR MAPPING'!D130, "'.", CHAR(10),
"✔ Kemas dalam bentuk tabel agar rapi, mudah di baca dan dipahami, dengan kolom 'Judul Konten', 'Pilar', 'Format', 'Draft Script', 'CTA', 'Saran Visual', dan 'Full Caption'. (Kosongkan kolom Link Prompt jika ada)."
),
"")</f>
        <v/>
      </c>
      <c r="L220" s="199" t="n"/>
      <c r="M220" s="199" t="n"/>
      <c r="N220" s="102" t="n"/>
      <c r="O220" s="102" t="n"/>
      <c r="P220" s="102" t="n"/>
      <c r="Q220" s="102" t="n"/>
      <c r="R220" s="102" t="n"/>
      <c r="S220" s="102" t="n"/>
      <c r="T220" s="102" t="n"/>
      <c r="U220" s="102" t="n"/>
      <c r="V220" s="102" t="n"/>
      <c r="W220" s="102" t="n"/>
      <c r="X220" s="102" t="n"/>
      <c r="Y220" s="102" t="n"/>
      <c r="Z220" s="102" t="n"/>
      <c r="AA220" s="102" t="n"/>
      <c r="AB220" s="102" t="n"/>
      <c r="AC220" s="102" t="n"/>
      <c r="AD220" s="102" t="n"/>
    </row>
    <row r="221" ht="15.75" customHeight="1" s="205">
      <c r="A221" s="102" t="n"/>
      <c r="B221" s="142" t="n"/>
      <c r="C221" s="143" t="n"/>
      <c r="D221" s="143" t="n"/>
      <c r="E221" s="143" t="n"/>
      <c r="F221" s="143" t="n"/>
      <c r="G221" s="144" t="n"/>
      <c r="H221" s="145">
        <f>IF(K221&lt;&gt;"", HYPERLINK("https://chatgpt.com/?prompt=" &amp; SUBSTITUTE(SUBSTITUTE(K221, " ", "+"), "&amp;", "dan") &amp; "&amp;force-refresh=true&amp;timestamp=" &amp; TEXT(NOW(), "yyyymmddhhmmss"), "👉 Klik untuk Generate Script! 🔥"), "")</f>
        <v/>
      </c>
      <c r="I221" s="143" t="n"/>
      <c r="J221" s="146" t="n"/>
      <c r="K221" s="130">
        <f>IF(AND(B221&lt;&gt;"", C221&lt;&gt;"", D221&lt;&gt;"", E221&lt;&gt;"", F221&lt;&gt;"", G221&lt;&gt;"", J221&lt;&gt;"", 'CONTENT PILLAR MAPPING'!C124&lt;&gt;"", 'CONTENT PILLAR MAPPING'!E124&lt;&gt;"", 'CONTENT PILLAR MAPPING'!F124&lt;&gt;"", 'CONTENT PILLAR MAPPING'!C127&lt;&gt;"", 'CONTENT PILLAR MAPPING'!C132&lt;&gt;"", 'CONTENT PILLAR MAPPING'!D132&lt;&gt;"", 'CONTENT PILLAR MAPPING'!E132&lt;&gt;"", 'CONTENT PILLAR MAPPING'!D140&lt;&gt;"", 'CONTENT PILLAR MAPPING'!D141&lt;&gt;""),
CONCATENATE(
"Sebagai seorang top konten kreator dengan niche utama '", 'CONTENT PILLAR MAPPING'!C124, "', spesifik kategori '", 'CONTENT PILLAR MAPPING'!E124, "', dan super spesifik '", 'CONTENT PILLAR MAPPING'!F124, "', yang dikenal sebagai '", 'CONTENT PILLAR MAPPING'!C127, "'.", CHAR(10),
"Saya memiliki Tone of Voice: '", 'CONTENT PILLAR MAPPING'!C132, "', Brand Archetype: '", 'CONTENT PILLAR MAPPING'!D132, "', dan Deskripsi Gaya Komunikasi: '", 'CONTENT PILLAR MAPPING'!E132, "'.", CHAR(10),
"Target audiens saya adalah: '", 'CONTENT PILLAR MAPPING'!D140, "', dengan segmentasi audiens: '", 'CONTENT PILLAR MAPPING'!D141, "'.", CHAR(10), CHAR(10),
"Mohon buatkan script konten yang **sangat powerful, menarik, inovatif, dan siap pakai** dengan judul ide '", B221, "'.", CHAR(10),
"Konten ini memiliki pilar '", C221, "', nilai tambah utama '", F221, "', dan akan menggunakan storytelling framework '", G221, "'.", CHAR(10),
"Gambaran singkat ide kontennya adalah: '", J221, "'.", CHAR(10),
"Konten ini akan diunggah di platform '", E221, "' dengan format '", D221,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MAPPING'!C127, "'.** Sesuaikan dengan gaya komunikasi saya, dengan fokus pada nilai tambah '", F221,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MAPPING'!D140, ", khusus ", 'CONTENT PILLAR MAPPING'!D141, ") dan membantu mereka menyelesaikan masalah atau mencapai tujuan mereka.", CHAR(10),
"✔ Membantuku membangun personal branding yang kuat dan sustainable, sesuai dengan Positioning saya sebagai '", 'CONTENT PILLAR MAPPING'!C127, "' dan Brand Archetype '", 'CONTENT PILLAR MAPPING'!D132, "'.", CHAR(10),
"✔ Kemas dalam bentuk tabel agar rapi, mudah di baca dan dipahami, dengan kolom 'Judul Konten', 'Pilar', 'Format', 'Draft Script', 'CTA', 'Saran Visual', dan 'Full Caption'. (Kosongkan kolom Link Prompt jika ada)."
),
"")</f>
        <v/>
      </c>
      <c r="L221" s="91" t="n"/>
      <c r="M221" s="91" t="n"/>
      <c r="N221" s="102" t="n"/>
      <c r="O221" s="102" t="n"/>
      <c r="P221" s="102" t="n"/>
      <c r="Q221" s="102" t="n"/>
      <c r="R221" s="102" t="n"/>
      <c r="S221" s="102" t="n"/>
      <c r="T221" s="102" t="n"/>
      <c r="U221" s="102" t="n"/>
      <c r="V221" s="102" t="n"/>
      <c r="W221" s="102" t="n"/>
      <c r="X221" s="102" t="n"/>
      <c r="Y221" s="102" t="n"/>
      <c r="Z221" s="102" t="n"/>
      <c r="AA221" s="102" t="n"/>
      <c r="AB221" s="102" t="n"/>
      <c r="AC221" s="102" t="n"/>
      <c r="AD221" s="102" t="n"/>
    </row>
    <row r="222" ht="15.75" customHeight="1" s="205">
      <c r="A222" s="102" t="n"/>
      <c r="B222" s="147" t="n"/>
      <c r="C222" s="144" t="n"/>
      <c r="D222" s="144" t="n"/>
      <c r="E222" s="144" t="n"/>
      <c r="F222" s="144" t="n"/>
      <c r="G222" s="144" t="n"/>
      <c r="H222" s="141">
        <f>IF(K222&lt;&gt;"", HYPERLINK("https://chatgpt.com/?prompt=" &amp; SUBSTITUTE(SUBSTITUTE(K222, " ", "+"), "&amp;", "dan") &amp; "&amp;force-refresh=true&amp;timestamp=" &amp; TEXT(NOW(), "yyyymmddhhmmss"), "👉 Klik untuk Generate Script! 🔥"), "")</f>
        <v/>
      </c>
      <c r="I222" s="144" t="n"/>
      <c r="J222" s="148" t="n"/>
      <c r="K222" s="140">
        <f>IF(AND(B222&lt;&gt;"", C222&lt;&gt;"", D222&lt;&gt;"", E222&lt;&gt;"", F222&lt;&gt;"", G222&lt;&gt;"", J222&lt;&gt;"", 'CONTENT PILLAR MAPPING'!C124&lt;&gt;"", 'CONTENT PILLAR MAPPING'!E124&lt;&gt;"", 'CONTENT PILLAR MAPPING'!F124&lt;&gt;"", 'CONTENT PILLAR MAPPING'!C127&lt;&gt;"", 'CONTENT PILLAR MAPPING'!C132&lt;&gt;"", 'CONTENT PILLAR MAPPING'!D132&lt;&gt;"", 'CONTENT PILLAR MAPPING'!E132&lt;&gt;"", 'CONTENT PILLAR MAPPING'!D140&lt;&gt;"", 'CONTENT PILLAR MAPPING'!D141&lt;&gt;""),
CONCATENATE(
"Sebagai seorang top konten kreator dengan niche utama '", 'CONTENT PILLAR MAPPING'!C124, "', spesifik kategori '", 'CONTENT PILLAR MAPPING'!E124, "', dan super spesifik '", 'CONTENT PILLAR MAPPING'!F124, "', yang dikenal sebagai '", 'CONTENT PILLAR MAPPING'!C127, "'.", CHAR(10),
"Saya memiliki Tone of Voice: '", 'CONTENT PILLAR MAPPING'!C132, "', Brand Archetype: '", 'CONTENT PILLAR MAPPING'!D132, "', dan Deskripsi Gaya Komunikasi: '", 'CONTENT PILLAR MAPPING'!E132, "'.", CHAR(10),
"Target audiens saya adalah: '", 'CONTENT PILLAR MAPPING'!D140, "', dengan segmentasi audiens: '", 'CONTENT PILLAR MAPPING'!D141, "'.", CHAR(10), CHAR(10),
"Mohon buatkan script konten yang **sangat powerful, menarik, inovatif, dan siap pakai** dengan judul ide '", B222, "'.", CHAR(10),
"Konten ini memiliki pilar '", C222, "', nilai tambah utama '", F222, "', dan akan menggunakan storytelling framework '", G222, "'.", CHAR(10),
"Gambaran singkat ide kontennya adalah: '", J222, "'.", CHAR(10),
"Konten ini akan diunggah di platform '", E222, "' dengan format '", D222,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MAPPING'!C127, "'.** Sesuaikan dengan gaya komunikasi saya, dengan fokus pada nilai tambah '", F222,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MAPPING'!D140, ", khusus ", 'CONTENT PILLAR MAPPING'!D141, ") dan membantu mereka menyelesaikan masalah atau mencapai tujuan mereka.", CHAR(10),
"✔ Membantuku membangun personal branding yang kuat dan sustainable, sesuai dengan Positioning saya sebagai '", 'CONTENT PILLAR MAPPING'!C127, "' dan Brand Archetype '", 'CONTENT PILLAR MAPPING'!D132, "'.", CHAR(10),
"✔ Kemas dalam bentuk tabel agar rapi, mudah di baca dan dipahami, dengan kolom 'Judul Konten', 'Pilar', 'Format', 'Draft Script', 'CTA', 'Saran Visual', dan 'Full Caption'. (Kosongkan kolom Link Prompt jika ada)."
),
"")</f>
        <v/>
      </c>
      <c r="L222" s="199" t="n"/>
      <c r="M222" s="199" t="n"/>
      <c r="N222" s="102" t="n"/>
      <c r="O222" s="102" t="n"/>
      <c r="P222" s="102" t="n"/>
      <c r="Q222" s="102" t="n"/>
      <c r="R222" s="102" t="n"/>
      <c r="S222" s="102" t="n"/>
      <c r="T222" s="102" t="n"/>
      <c r="U222" s="102" t="n"/>
      <c r="V222" s="102" t="n"/>
      <c r="W222" s="102" t="n"/>
      <c r="X222" s="102" t="n"/>
      <c r="Y222" s="102" t="n"/>
      <c r="Z222" s="102" t="n"/>
      <c r="AA222" s="102" t="n"/>
      <c r="AB222" s="102" t="n"/>
      <c r="AC222" s="102" t="n"/>
      <c r="AD222" s="102" t="n"/>
    </row>
    <row r="223" ht="15.75" customHeight="1" s="205">
      <c r="A223" s="102" t="n"/>
      <c r="B223" s="142" t="n"/>
      <c r="C223" s="143" t="n"/>
      <c r="D223" s="143" t="n"/>
      <c r="E223" s="143" t="n"/>
      <c r="F223" s="143" t="n"/>
      <c r="G223" s="144" t="n"/>
      <c r="H223" s="145">
        <f>IF(K223&lt;&gt;"", HYPERLINK("https://chatgpt.com/?prompt=" &amp; SUBSTITUTE(SUBSTITUTE(K223, " ", "+"), "&amp;", "dan") &amp; "&amp;force-refresh=true&amp;timestamp=" &amp; TEXT(NOW(), "yyyymmddhhmmss"), "👉 Klik untuk Generate Script! 🔥"), "")</f>
        <v/>
      </c>
      <c r="I223" s="143" t="n"/>
      <c r="J223" s="146" t="n"/>
      <c r="K223" s="130">
        <f>IF(AND(B223&lt;&gt;"", C223&lt;&gt;"", D223&lt;&gt;"", E223&lt;&gt;"", F223&lt;&gt;"", G223&lt;&gt;"", J223&lt;&gt;"", 'CONTENT PILLAR MAPPING'!C126&lt;&gt;"", 'CONTENT PILLAR MAPPING'!E126&lt;&gt;"", 'CONTENT PILLAR MAPPING'!F126&lt;&gt;"", 'CONTENT PILLAR MAPPING'!C129&lt;&gt;"", 'CONTENT PILLAR MAPPING'!C134&lt;&gt;"", 'CONTENT PILLAR MAPPING'!D134&lt;&gt;"", 'CONTENT PILLAR MAPPING'!E134&lt;&gt;"", 'CONTENT PILLAR MAPPING'!D142&lt;&gt;"", 'CONTENT PILLAR MAPPING'!D143&lt;&gt;""),
CONCATENATE(
"Sebagai seorang top konten kreator dengan niche utama '", 'CONTENT PILLAR MAPPING'!C126, "', spesifik kategori '", 'CONTENT PILLAR MAPPING'!E126, "', dan super spesifik '", 'CONTENT PILLAR MAPPING'!F126, "', yang dikenal sebagai '", 'CONTENT PILLAR MAPPING'!C129, "'.", CHAR(10),
"Saya memiliki Tone of Voice: '", 'CONTENT PILLAR MAPPING'!C134, "', Brand Archetype: '", 'CONTENT PILLAR MAPPING'!D134, "', dan Deskripsi Gaya Komunikasi: '", 'CONTENT PILLAR MAPPING'!E134, "'.", CHAR(10),
"Target audiens saya adalah: '", 'CONTENT PILLAR MAPPING'!D142, "', dengan segmentasi audiens: '", 'CONTENT PILLAR MAPPING'!D143, "'.", CHAR(10), CHAR(10),
"Mohon buatkan script konten yang **sangat powerful, menarik, inovatif, dan siap pakai** dengan judul ide '", B223, "'.", CHAR(10),
"Konten ini memiliki pilar '", C223, "', nilai tambah utama '", F223, "', dan akan menggunakan storytelling framework '", G223, "'.", CHAR(10),
"Gambaran singkat ide kontennya adalah: '", J223, "'.", CHAR(10),
"Konten ini akan diunggah di platform '", E223, "' dengan format '", D223,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MAPPING'!C129, "'.** Sesuaikan dengan gaya komunikasi saya, dengan fokus pada nilai tambah '", F223,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MAPPING'!D142, ", khusus ", 'CONTENT PILLAR MAPPING'!D143, ") dan membantu mereka menyelesaikan masalah atau mencapai tujuan mereka.", CHAR(10),
"✔ Membantuku membangun personal branding yang kuat dan sustainable, sesuai dengan Positioning saya sebagai '", 'CONTENT PILLAR MAPPING'!C129, "' dan Brand Archetype '", 'CONTENT PILLAR MAPPING'!D134, "'.", CHAR(10),
"✔ Kemas dalam bentuk tabel agar rapi, mudah di baca dan dipahami, dengan kolom 'Judul Konten', 'Pilar', 'Format', 'Draft Script', 'CTA', 'Saran Visual', dan 'Full Caption'. (Kosongkan kolom Link Prompt jika ada)."
),
"")</f>
        <v/>
      </c>
      <c r="L223" s="91" t="n"/>
      <c r="M223" s="91" t="n"/>
      <c r="N223" s="102" t="n"/>
      <c r="O223" s="102" t="n"/>
      <c r="P223" s="102" t="n"/>
      <c r="Q223" s="102" t="n"/>
      <c r="R223" s="102" t="n"/>
      <c r="S223" s="102" t="n"/>
      <c r="T223" s="102" t="n"/>
      <c r="U223" s="102" t="n"/>
      <c r="V223" s="102" t="n"/>
      <c r="W223" s="102" t="n"/>
      <c r="X223" s="102" t="n"/>
      <c r="Y223" s="102" t="n"/>
      <c r="Z223" s="102" t="n"/>
      <c r="AA223" s="102" t="n"/>
      <c r="AB223" s="102" t="n"/>
      <c r="AC223" s="102" t="n"/>
      <c r="AD223" s="102" t="n"/>
    </row>
    <row r="224" ht="15.75" customHeight="1" s="205">
      <c r="A224" s="102" t="n"/>
      <c r="B224" s="147" t="n"/>
      <c r="C224" s="144" t="n"/>
      <c r="D224" s="144" t="n"/>
      <c r="E224" s="144" t="n"/>
      <c r="F224" s="144" t="n"/>
      <c r="G224" s="144" t="n"/>
      <c r="H224" s="141">
        <f>IF(K224&lt;&gt;"", HYPERLINK("https://chatgpt.com/?prompt=" &amp; SUBSTITUTE(SUBSTITUTE(K224, " ", "+"), "&amp;", "dan") &amp; "&amp;force-refresh=true&amp;timestamp=" &amp; TEXT(NOW(), "yyyymmddhhmmss"), "👉 Klik untuk Generate Script! 🔥"), "")</f>
        <v/>
      </c>
      <c r="I224" s="144" t="n"/>
      <c r="J224" s="148" t="n"/>
      <c r="K224" s="140">
        <f>IF(AND(B224&lt;&gt;"", C224&lt;&gt;"", D224&lt;&gt;"", E224&lt;&gt;"", F224&lt;&gt;"", G224&lt;&gt;"", J224&lt;&gt;"", 'CONTENT PILLAR MAPPING'!C126&lt;&gt;"", 'CONTENT PILLAR MAPPING'!E126&lt;&gt;"", 'CONTENT PILLAR MAPPING'!F126&lt;&gt;"", 'CONTENT PILLAR MAPPING'!C129&lt;&gt;"", 'CONTENT PILLAR MAPPING'!C134&lt;&gt;"", 'CONTENT PILLAR MAPPING'!D134&lt;&gt;"", 'CONTENT PILLAR MAPPING'!E134&lt;&gt;"", 'CONTENT PILLAR MAPPING'!D142&lt;&gt;"", 'CONTENT PILLAR MAPPING'!D143&lt;&gt;""),
CONCATENATE(
"Sebagai seorang top konten kreator dengan niche utama '", 'CONTENT PILLAR MAPPING'!C126, "', spesifik kategori '", 'CONTENT PILLAR MAPPING'!E126, "', dan super spesifik '", 'CONTENT PILLAR MAPPING'!F126, "', yang dikenal sebagai '", 'CONTENT PILLAR MAPPING'!C129, "'.", CHAR(10),
"Saya memiliki Tone of Voice: '", 'CONTENT PILLAR MAPPING'!C134, "', Brand Archetype: '", 'CONTENT PILLAR MAPPING'!D134, "', dan Deskripsi Gaya Komunikasi: '", 'CONTENT PILLAR MAPPING'!E134, "'.", CHAR(10),
"Target audiens saya adalah: '", 'CONTENT PILLAR MAPPING'!D142, "', dengan segmentasi audiens: '", 'CONTENT PILLAR MAPPING'!D143, "'.", CHAR(10), CHAR(10),
"Mohon buatkan script konten yang **sangat powerful, menarik, inovatif, dan siap pakai** dengan judul ide '", B224, "'.", CHAR(10),
"Konten ini memiliki pilar '", C224, "', nilai tambah utama '", F224, "', dan akan menggunakan storytelling framework '", G224, "'.", CHAR(10),
"Gambaran singkat ide kontennya adalah: '", J224, "'.", CHAR(10),
"Konten ini akan diunggah di platform '", E224, "' dengan format '", D224,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MAPPING'!C129, "'.** Sesuaikan dengan gaya komunikasi saya, dengan fokus pada nilai tambah '", F224,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MAPPING'!D142, ", khusus ", 'CONTENT PILLAR MAPPING'!D143, ") dan membantu mereka menyelesaikan masalah atau mencapai tujuan mereka.", CHAR(10),
"✔ Membantuku membangun personal branding yang kuat dan sustainable, sesuai dengan Positioning saya sebagai '", 'CONTENT PILLAR MAPPING'!C129, "' dan Brand Archetype '", 'CONTENT PILLAR MAPPING'!D134, "'.", CHAR(10),
"✔ Kemas dalam bentuk tabel agar rapi, mudah di baca dan dipahami, dengan kolom 'Judul Konten', 'Pilar', 'Format', 'Draft Script', 'CTA', 'Saran Visual', dan 'Full Caption'. (Kosongkan kolom Link Prompt jika ada)."
),
"")</f>
        <v/>
      </c>
      <c r="L224" s="199" t="n"/>
      <c r="M224" s="199" t="n"/>
      <c r="N224" s="102" t="n"/>
      <c r="O224" s="102" t="n"/>
      <c r="P224" s="102" t="n"/>
      <c r="Q224" s="102" t="n"/>
      <c r="R224" s="102" t="n"/>
      <c r="S224" s="102" t="n"/>
      <c r="T224" s="102" t="n"/>
      <c r="U224" s="102" t="n"/>
      <c r="V224" s="102" t="n"/>
      <c r="W224" s="102" t="n"/>
      <c r="X224" s="102" t="n"/>
      <c r="Y224" s="102" t="n"/>
      <c r="Z224" s="102" t="n"/>
      <c r="AA224" s="102" t="n"/>
      <c r="AB224" s="102" t="n"/>
      <c r="AC224" s="102" t="n"/>
      <c r="AD224" s="102" t="n"/>
    </row>
    <row r="225" ht="15.75" customHeight="1" s="205">
      <c r="A225" s="102" t="n"/>
      <c r="B225" s="142" t="n"/>
      <c r="C225" s="143" t="n"/>
      <c r="D225" s="143" t="n"/>
      <c r="E225" s="143" t="n"/>
      <c r="F225" s="143" t="n"/>
      <c r="G225" s="144" t="n"/>
      <c r="H225" s="145">
        <f>IF(K225&lt;&gt;"", HYPERLINK("https://chatgpt.com/?prompt=" &amp; SUBSTITUTE(SUBSTITUTE(K225, " ", "+"), "&amp;", "dan") &amp; "&amp;force-refresh=true&amp;timestamp=" &amp; TEXT(NOW(), "yyyymmddhhmmss"), "👉 Klik untuk Generate Script! 🔥"), "")</f>
        <v/>
      </c>
      <c r="I225" s="143" t="n"/>
      <c r="J225" s="146" t="n"/>
      <c r="K225" s="130">
        <f>IF(AND(B225&lt;&gt;"", C225&lt;&gt;"", D225&lt;&gt;"", E225&lt;&gt;"", F225&lt;&gt;"", G225&lt;&gt;"", J225&lt;&gt;"", 'CONTENT PILLAR MAPPING'!C128&lt;&gt;"", 'CONTENT PILLAR MAPPING'!E128&lt;&gt;"", 'CONTENT PILLAR MAPPING'!F128&lt;&gt;"", 'CONTENT PILLAR MAPPING'!C131&lt;&gt;"", 'CONTENT PILLAR MAPPING'!C136&lt;&gt;"", 'CONTENT PILLAR MAPPING'!D136&lt;&gt;"", 'CONTENT PILLAR MAPPING'!E136&lt;&gt;"", 'CONTENT PILLAR MAPPING'!D144&lt;&gt;"", 'CONTENT PILLAR MAPPING'!D145&lt;&gt;""),
CONCATENATE(
"Sebagai seorang top konten kreator dengan niche utama '", 'CONTENT PILLAR MAPPING'!C128, "', spesifik kategori '", 'CONTENT PILLAR MAPPING'!E128, "', dan super spesifik '", 'CONTENT PILLAR MAPPING'!F128, "', yang dikenal sebagai '", 'CONTENT PILLAR MAPPING'!C131, "'.", CHAR(10),
"Saya memiliki Tone of Voice: '", 'CONTENT PILLAR MAPPING'!C136, "', Brand Archetype: '", 'CONTENT PILLAR MAPPING'!D136, "', dan Deskripsi Gaya Komunikasi: '", 'CONTENT PILLAR MAPPING'!E136, "'.", CHAR(10),
"Target audiens saya adalah: '", 'CONTENT PILLAR MAPPING'!D144, "', dengan segmentasi audiens: '", 'CONTENT PILLAR MAPPING'!D145, "'.", CHAR(10), CHAR(10),
"Mohon buatkan script konten yang **sangat powerful, menarik, inovatif, dan siap pakai** dengan judul ide '", B225, "'.", CHAR(10),
"Konten ini memiliki pilar '", C225, "', nilai tambah utama '", F225, "', dan akan menggunakan storytelling framework '", G225, "'.", CHAR(10),
"Gambaran singkat ide kontennya adalah: '", J225, "'.", CHAR(10),
"Konten ini akan diunggah di platform '", E225, "' dengan format '", D225,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MAPPING'!C131, "'.** Sesuaikan dengan gaya komunikasi saya, dengan fokus pada nilai tambah '", F225,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MAPPING'!D144, ", khusus ", 'CONTENT PILLAR MAPPING'!D145, ") dan membantu mereka menyelesaikan masalah atau mencapai tujuan mereka.", CHAR(10),
"✔ Membantuku membangun personal branding yang kuat dan sustainable, sesuai dengan Positioning saya sebagai '", 'CONTENT PILLAR MAPPING'!C131, "' dan Brand Archetype '", 'CONTENT PILLAR MAPPING'!D136, "'.", CHAR(10),
"✔ Kemas dalam bentuk tabel agar rapi, mudah di baca dan dipahami, dengan kolom 'Judul Konten', 'Pilar', 'Format', 'Draft Script', 'CTA', 'Saran Visual', dan 'Full Caption'. (Kosongkan kolom Link Prompt jika ada)."
),
"")</f>
        <v/>
      </c>
      <c r="L225" s="91" t="n"/>
      <c r="M225" s="91" t="n"/>
      <c r="N225" s="102" t="n"/>
      <c r="O225" s="102" t="n"/>
      <c r="P225" s="102" t="n"/>
      <c r="Q225" s="102" t="n"/>
      <c r="R225" s="102" t="n"/>
      <c r="S225" s="102" t="n"/>
      <c r="T225" s="102" t="n"/>
      <c r="U225" s="102" t="n"/>
      <c r="V225" s="102" t="n"/>
      <c r="W225" s="102" t="n"/>
      <c r="X225" s="102" t="n"/>
      <c r="Y225" s="102" t="n"/>
      <c r="Z225" s="102" t="n"/>
      <c r="AA225" s="102" t="n"/>
      <c r="AB225" s="102" t="n"/>
      <c r="AC225" s="102" t="n"/>
      <c r="AD225" s="102" t="n"/>
    </row>
    <row r="226" ht="15.75" customHeight="1" s="205">
      <c r="A226" s="102" t="n"/>
      <c r="B226" s="147" t="n"/>
      <c r="C226" s="144" t="n"/>
      <c r="D226" s="144" t="n"/>
      <c r="E226" s="144" t="n"/>
      <c r="F226" s="144" t="n"/>
      <c r="G226" s="144" t="n"/>
      <c r="H226" s="141">
        <f>IF(K226&lt;&gt;"", HYPERLINK("https://chatgpt.com/?prompt=" &amp; SUBSTITUTE(SUBSTITUTE(K226, " ", "+"), "&amp;", "dan") &amp; "&amp;force-refresh=true&amp;timestamp=" &amp; TEXT(NOW(), "yyyymmddhhmmss"), "👉 Klik untuk Generate Script! 🔥"), "")</f>
        <v/>
      </c>
      <c r="I226" s="144" t="n"/>
      <c r="J226" s="148" t="n"/>
      <c r="K226" s="140">
        <f>IF(AND(B226&lt;&gt;"", C226&lt;&gt;"", D226&lt;&gt;"", E226&lt;&gt;"", F226&lt;&gt;"", G226&lt;&gt;"", J226&lt;&gt;"", 'CONTENT PILLAR MAPPING'!C128&lt;&gt;"", 'CONTENT PILLAR MAPPING'!E128&lt;&gt;"", 'CONTENT PILLAR MAPPING'!F128&lt;&gt;"", 'CONTENT PILLAR MAPPING'!C131&lt;&gt;"", 'CONTENT PILLAR MAPPING'!C136&lt;&gt;"", 'CONTENT PILLAR MAPPING'!D136&lt;&gt;"", 'CONTENT PILLAR MAPPING'!E136&lt;&gt;"", 'CONTENT PILLAR MAPPING'!D144&lt;&gt;"", 'CONTENT PILLAR MAPPING'!D145&lt;&gt;""),
CONCATENATE(
"Sebagai seorang top konten kreator dengan niche utama '", 'CONTENT PILLAR MAPPING'!C128, "', spesifik kategori '", 'CONTENT PILLAR MAPPING'!E128, "', dan super spesifik '", 'CONTENT PILLAR MAPPING'!F128, "', yang dikenal sebagai '", 'CONTENT PILLAR MAPPING'!C131, "'.", CHAR(10),
"Saya memiliki Tone of Voice: '", 'CONTENT PILLAR MAPPING'!C136, "', Brand Archetype: '", 'CONTENT PILLAR MAPPING'!D136, "', dan Deskripsi Gaya Komunikasi: '", 'CONTENT PILLAR MAPPING'!E136, "'.", CHAR(10),
"Target audiens saya adalah: '", 'CONTENT PILLAR MAPPING'!D144, "', dengan segmentasi audiens: '", 'CONTENT PILLAR MAPPING'!D145, "'.", CHAR(10), CHAR(10),
"Mohon buatkan script konten yang **sangat powerful, menarik, inovatif, dan siap pakai** dengan judul ide '", B226, "'.", CHAR(10),
"Konten ini memiliki pilar '", C226, "', nilai tambah utama '", F226, "', dan akan menggunakan storytelling framework '", G226, "'.", CHAR(10),
"Gambaran singkat ide kontennya adalah: '", J226, "'.", CHAR(10),
"Konten ini akan diunggah di platform '", E226, "' dengan format '", D226,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MAPPING'!C131, "'.** Sesuaikan dengan gaya komunikasi saya, dengan fokus pada nilai tambah '", F226,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MAPPING'!D144, ", khusus ", 'CONTENT PILLAR MAPPING'!D145, ") dan membantu mereka menyelesaikan masalah atau mencapai tujuan mereka.", CHAR(10),
"✔ Membantuku membangun personal branding yang kuat dan sustainable, sesuai dengan Positioning saya sebagai '", 'CONTENT PILLAR MAPPING'!C131, "' dan Brand Archetype '", 'CONTENT PILLAR MAPPING'!D136, "'.", CHAR(10),
"✔ Kemas dalam bentuk tabel agar rapi, mudah di baca dan dipahami, dengan kolom 'Judul Konten', 'Pilar', 'Format', 'Draft Script', 'CTA', 'Saran Visual', dan 'Full Caption'. (Kosongkan kolom Link Prompt jika ada)."
),
"")</f>
        <v/>
      </c>
      <c r="L226" s="199" t="n"/>
      <c r="M226" s="199" t="n"/>
      <c r="N226" s="102" t="n"/>
      <c r="O226" s="102" t="n"/>
      <c r="P226" s="102" t="n"/>
      <c r="Q226" s="102" t="n"/>
      <c r="R226" s="102" t="n"/>
      <c r="S226" s="102" t="n"/>
      <c r="T226" s="102" t="n"/>
      <c r="U226" s="102" t="n"/>
      <c r="V226" s="102" t="n"/>
      <c r="W226" s="102" t="n"/>
      <c r="X226" s="102" t="n"/>
      <c r="Y226" s="102" t="n"/>
      <c r="Z226" s="102" t="n"/>
      <c r="AA226" s="102" t="n"/>
      <c r="AB226" s="102" t="n"/>
      <c r="AC226" s="102" t="n"/>
      <c r="AD226" s="102" t="n"/>
    </row>
    <row r="227" ht="15.75" customHeight="1" s="205">
      <c r="A227" s="102" t="n"/>
      <c r="B227" s="142" t="n"/>
      <c r="C227" s="143" t="n"/>
      <c r="D227" s="143" t="n"/>
      <c r="E227" s="143" t="n"/>
      <c r="F227" s="143" t="n"/>
      <c r="G227" s="144" t="n"/>
      <c r="H227" s="145">
        <f>IF(K227&lt;&gt;"", HYPERLINK("https://chatgpt.com/?prompt=" &amp; SUBSTITUTE(SUBSTITUTE(K227, " ", "+"), "&amp;", "dan") &amp; "&amp;force-refresh=true&amp;timestamp=" &amp; TEXT(NOW(), "yyyymmddhhmmss"), "👉 Klik untuk Generate Script! 🔥"), "")</f>
        <v/>
      </c>
      <c r="I227" s="143" t="n"/>
      <c r="J227" s="146" t="n"/>
      <c r="K227" s="130">
        <f>IF(AND(B227&lt;&gt;"", C227&lt;&gt;"", D227&lt;&gt;"", E227&lt;&gt;"", F227&lt;&gt;"", G227&lt;&gt;"", J227&lt;&gt;"", 'CONTENT PILLAR MAPPING'!C130&lt;&gt;"", 'CONTENT PILLAR MAPPING'!E130&lt;&gt;"", 'CONTENT PILLAR MAPPING'!F130&lt;&gt;"", 'CONTENT PILLAR MAPPING'!C133&lt;&gt;"", 'CONTENT PILLAR MAPPING'!C138&lt;&gt;"", 'CONTENT PILLAR MAPPING'!D138&lt;&gt;"", 'CONTENT PILLAR MAPPING'!E138&lt;&gt;"", 'CONTENT PILLAR MAPPING'!D146&lt;&gt;"", 'CONTENT PILLAR MAPPING'!D147&lt;&gt;""),
CONCATENATE(
"Sebagai seorang top konten kreator dengan niche utama '", 'CONTENT PILLAR MAPPING'!C130, "', spesifik kategori '", 'CONTENT PILLAR MAPPING'!E130, "', dan super spesifik '", 'CONTENT PILLAR MAPPING'!F130, "', yang dikenal sebagai '", 'CONTENT PILLAR MAPPING'!C133, "'.", CHAR(10),
"Saya memiliki Tone of Voice: '", 'CONTENT PILLAR MAPPING'!C138, "', Brand Archetype: '", 'CONTENT PILLAR MAPPING'!D138, "', dan Deskripsi Gaya Komunikasi: '", 'CONTENT PILLAR MAPPING'!E138, "'.", CHAR(10),
"Target audiens saya adalah: '", 'CONTENT PILLAR MAPPING'!D146, "', dengan segmentasi audiens: '", 'CONTENT PILLAR MAPPING'!D147, "'.", CHAR(10), CHAR(10),
"Mohon buatkan script konten yang **sangat powerful, menarik, inovatif, dan siap pakai** dengan judul ide '", B227, "'.", CHAR(10),
"Konten ini memiliki pilar '", C227, "', nilai tambah utama '", F227, "', dan akan menggunakan storytelling framework '", G227, "'.", CHAR(10),
"Gambaran singkat ide kontennya adalah: '", J227, "'.", CHAR(10),
"Konten ini akan diunggah di platform '", E227, "' dengan format '", D227,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MAPPING'!C133, "'.** Sesuaikan dengan gaya komunikasi saya, dengan fokus pada nilai tambah '", F227,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MAPPING'!D146, ", khusus ", 'CONTENT PILLAR MAPPING'!D147, ") dan membantu mereka menyelesaikan masalah atau mencapai tujuan mereka.", CHAR(10),
"✔ Membantuku membangun personal branding yang kuat dan sustainable, sesuai dengan Positioning saya sebagai '", 'CONTENT PILLAR MAPPING'!C133, "' dan Brand Archetype '", 'CONTENT PILLAR MAPPING'!D138, "'.", CHAR(10),
"✔ Kemas dalam bentuk tabel agar rapi, mudah di baca dan dipahami, dengan kolom 'Judul Konten', 'Pilar', 'Format', 'Draft Script', 'CTA', 'Saran Visual', dan 'Full Caption'. (Kosongkan kolom Link Prompt jika ada)."
),
"")</f>
        <v/>
      </c>
      <c r="L227" s="91" t="n"/>
      <c r="M227" s="91" t="n"/>
      <c r="N227" s="102" t="n"/>
      <c r="O227" s="102" t="n"/>
      <c r="P227" s="102" t="n"/>
      <c r="Q227" s="102" t="n"/>
      <c r="R227" s="102" t="n"/>
      <c r="S227" s="102" t="n"/>
      <c r="T227" s="102" t="n"/>
      <c r="U227" s="102" t="n"/>
      <c r="V227" s="102" t="n"/>
      <c r="W227" s="102" t="n"/>
      <c r="X227" s="102" t="n"/>
      <c r="Y227" s="102" t="n"/>
      <c r="Z227" s="102" t="n"/>
      <c r="AA227" s="102" t="n"/>
      <c r="AB227" s="102" t="n"/>
      <c r="AC227" s="102" t="n"/>
      <c r="AD227" s="102" t="n"/>
    </row>
    <row r="228" ht="15.75" customHeight="1" s="205">
      <c r="A228" s="102" t="n"/>
      <c r="B228" s="147" t="n"/>
      <c r="C228" s="144" t="n"/>
      <c r="D228" s="144" t="n"/>
      <c r="E228" s="144" t="n"/>
      <c r="F228" s="144" t="n"/>
      <c r="G228" s="144" t="n"/>
      <c r="H228" s="141">
        <f>IF(K228&lt;&gt;"", HYPERLINK("https://chatgpt.com/?prompt=" &amp; SUBSTITUTE(SUBSTITUTE(K228, " ", "+"), "&amp;", "dan") &amp; "&amp;force-refresh=true&amp;timestamp=" &amp; TEXT(NOW(), "yyyymmddhhmmss"), "👉 Klik untuk Generate Script! 🔥"), "")</f>
        <v/>
      </c>
      <c r="I228" s="144" t="n"/>
      <c r="J228" s="148" t="n"/>
      <c r="K228" s="140">
        <f>IF(AND(B228&lt;&gt;"", C228&lt;&gt;"", D228&lt;&gt;"", E228&lt;&gt;"", F228&lt;&gt;"", G228&lt;&gt;"", J228&lt;&gt;"", 'CONTENT PILLAR MAPPING'!C130&lt;&gt;"", 'CONTENT PILLAR MAPPING'!E130&lt;&gt;"", 'CONTENT PILLAR MAPPING'!F130&lt;&gt;"", 'CONTENT PILLAR MAPPING'!C133&lt;&gt;"", 'CONTENT PILLAR MAPPING'!C138&lt;&gt;"", 'CONTENT PILLAR MAPPING'!D138&lt;&gt;"", 'CONTENT PILLAR MAPPING'!E138&lt;&gt;"", 'CONTENT PILLAR MAPPING'!D146&lt;&gt;"", 'CONTENT PILLAR MAPPING'!D147&lt;&gt;""),
CONCATENATE(
"Sebagai seorang top konten kreator dengan niche utama '", 'CONTENT PILLAR MAPPING'!C130, "', spesifik kategori '", 'CONTENT PILLAR MAPPING'!E130, "', dan super spesifik '", 'CONTENT PILLAR MAPPING'!F130, "', yang dikenal sebagai '", 'CONTENT PILLAR MAPPING'!C133, "'.", CHAR(10),
"Saya memiliki Tone of Voice: '", 'CONTENT PILLAR MAPPING'!C138, "', Brand Archetype: '", 'CONTENT PILLAR MAPPING'!D138, "', dan Deskripsi Gaya Komunikasi: '", 'CONTENT PILLAR MAPPING'!E138, "'.", CHAR(10),
"Target audiens saya adalah: '", 'CONTENT PILLAR MAPPING'!D146, "', dengan segmentasi audiens: '", 'CONTENT PILLAR MAPPING'!D147, "'.", CHAR(10), CHAR(10),
"Mohon buatkan script konten yang **sangat powerful, menarik, inovatif, dan siap pakai** dengan judul ide '", B228, "'.", CHAR(10),
"Konten ini memiliki pilar '", C228, "', nilai tambah utama '", F228, "', dan akan menggunakan storytelling framework '", G228, "'.", CHAR(10),
"Gambaran singkat ide kontennya adalah: '", J228, "'.", CHAR(10),
"Konten ini akan diunggah di platform '", E228, "' dengan format '", D228,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MAPPING'!C133, "'.** Sesuaikan dengan gaya komunikasi saya, dengan fokus pada nilai tambah '", F228,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MAPPING'!D146, ", khusus ", 'CONTENT PILLAR MAPPING'!D147, ") dan membantu mereka menyelesaikan masalah atau mencapai tujuan mereka.", CHAR(10),
"✔ Membantuku membangun personal branding yang kuat dan sustainable, sesuai dengan Positioning saya sebagai '", 'CONTENT PILLAR MAPPING'!C133, "' dan Brand Archetype '", 'CONTENT PILLAR MAPPING'!D138, "'.", CHAR(10),
"✔ Kemas dalam bentuk tabel agar rapi, mudah di baca dan dipahami, dengan kolom 'Judul Konten', 'Pilar', 'Format', 'Draft Script', 'CTA', 'Saran Visual', dan 'Full Caption'. (Kosongkan kolom Link Prompt jika ada)."
),
"")</f>
        <v/>
      </c>
      <c r="L228" s="199" t="n"/>
      <c r="M228" s="199" t="n"/>
      <c r="N228" s="102" t="n"/>
      <c r="O228" s="102" t="n"/>
      <c r="P228" s="102" t="n"/>
      <c r="Q228" s="102" t="n"/>
      <c r="R228" s="102" t="n"/>
      <c r="S228" s="102" t="n"/>
      <c r="T228" s="102" t="n"/>
      <c r="U228" s="102" t="n"/>
      <c r="V228" s="102" t="n"/>
      <c r="W228" s="102" t="n"/>
      <c r="X228" s="102" t="n"/>
      <c r="Y228" s="102" t="n"/>
      <c r="Z228" s="102" t="n"/>
      <c r="AA228" s="102" t="n"/>
      <c r="AB228" s="102" t="n"/>
      <c r="AC228" s="102" t="n"/>
      <c r="AD228" s="102" t="n"/>
    </row>
    <row r="229" ht="15.75" customHeight="1" s="205">
      <c r="A229" s="102" t="n"/>
      <c r="B229" s="142" t="n"/>
      <c r="C229" s="143" t="n"/>
      <c r="D229" s="143" t="n"/>
      <c r="E229" s="143" t="n"/>
      <c r="F229" s="143" t="n"/>
      <c r="G229" s="144" t="n"/>
      <c r="H229" s="145">
        <f>IF(K229&lt;&gt;"", HYPERLINK("https://chatgpt.com/?prompt=" &amp; SUBSTITUTE(SUBSTITUTE(K229, " ", "+"), "&amp;", "dan") &amp; "&amp;force-refresh=true&amp;timestamp=" &amp; TEXT(NOW(), "yyyymmddhhmmss"), "👉 Klik untuk Generate Script! 🔥"), "")</f>
        <v/>
      </c>
      <c r="I229" s="143" t="n"/>
      <c r="J229" s="146" t="n"/>
      <c r="K229" s="130">
        <f>IF(AND(B229&lt;&gt;"", C229&lt;&gt;"", D229&lt;&gt;"", E229&lt;&gt;"", F229&lt;&gt;"", G229&lt;&gt;"", J229&lt;&gt;"", 'CONTENT PILLAR MAPPING'!C132&lt;&gt;"", 'CONTENT PILLAR MAPPING'!E132&lt;&gt;"", 'CONTENT PILLAR MAPPING'!F132&lt;&gt;"", 'CONTENT PILLAR MAPPING'!C135&lt;&gt;"", 'CONTENT PILLAR MAPPING'!C140&lt;&gt;"", 'CONTENT PILLAR MAPPING'!D140&lt;&gt;"", 'CONTENT PILLAR MAPPING'!E140&lt;&gt;"", 'CONTENT PILLAR MAPPING'!D148&lt;&gt;"", 'CONTENT PILLAR MAPPING'!D149&lt;&gt;""),
CONCATENATE(
"Sebagai seorang top konten kreator dengan niche utama '", 'CONTENT PILLAR MAPPING'!C132, "', spesifik kategori '", 'CONTENT PILLAR MAPPING'!E132, "', dan super spesifik '", 'CONTENT PILLAR MAPPING'!F132, "', yang dikenal sebagai '", 'CONTENT PILLAR MAPPING'!C135, "'.", CHAR(10),
"Saya memiliki Tone of Voice: '", 'CONTENT PILLAR MAPPING'!C140, "', Brand Archetype: '", 'CONTENT PILLAR MAPPING'!D140, "', dan Deskripsi Gaya Komunikasi: '", 'CONTENT PILLAR MAPPING'!E140, "'.", CHAR(10),
"Target audiens saya adalah: '", 'CONTENT PILLAR MAPPING'!D148, "', dengan segmentasi audiens: '", 'CONTENT PILLAR MAPPING'!D149, "'.", CHAR(10), CHAR(10),
"Mohon buatkan script konten yang **sangat powerful, menarik, inovatif, dan siap pakai** dengan judul ide '", B229, "'.", CHAR(10),
"Konten ini memiliki pilar '", C229, "', nilai tambah utama '", F229, "', dan akan menggunakan storytelling framework '", G229, "'.", CHAR(10),
"Gambaran singkat ide kontennya adalah: '", J229, "'.", CHAR(10),
"Konten ini akan diunggah di platform '", E229, "' dengan format '", D229,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MAPPING'!C135, "'.** Sesuaikan dengan gaya komunikasi saya, dengan fokus pada nilai tambah '", F229,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MAPPING'!D148, ", khusus ", 'CONTENT PILLAR MAPPING'!D149, ") dan membantu mereka menyelesaikan masalah atau mencapai tujuan mereka.", CHAR(10),
"✔ Membantuku membangun personal branding yang kuat dan sustainable, sesuai dengan Positioning saya sebagai '", 'CONTENT PILLAR MAPPING'!C135, "' dan Brand Archetype '", 'CONTENT PILLAR MAPPING'!D140, "'.", CHAR(10),
"✔ Kemas dalam bentuk tabel agar rapi, mudah di baca dan dipahami, dengan kolom 'Judul Konten', 'Pilar', 'Format', 'Draft Script', 'CTA', 'Saran Visual', dan 'Full Caption'. (Kosongkan kolom Link Prompt jika ada)."
),
"")</f>
        <v/>
      </c>
      <c r="L229" s="91" t="n"/>
      <c r="M229" s="91" t="n"/>
      <c r="N229" s="102" t="n"/>
      <c r="O229" s="102" t="n"/>
      <c r="P229" s="102" t="n"/>
      <c r="Q229" s="102" t="n"/>
      <c r="R229" s="102" t="n"/>
      <c r="S229" s="102" t="n"/>
      <c r="T229" s="102" t="n"/>
      <c r="U229" s="102" t="n"/>
      <c r="V229" s="102" t="n"/>
      <c r="W229" s="102" t="n"/>
      <c r="X229" s="102" t="n"/>
      <c r="Y229" s="102" t="n"/>
      <c r="Z229" s="102" t="n"/>
      <c r="AA229" s="102" t="n"/>
      <c r="AB229" s="102" t="n"/>
      <c r="AC229" s="102" t="n"/>
      <c r="AD229" s="102" t="n"/>
    </row>
    <row r="230" ht="15.75" customHeight="1" s="205">
      <c r="A230" s="102" t="n"/>
      <c r="B230" s="147" t="n"/>
      <c r="C230" s="144" t="n"/>
      <c r="D230" s="144" t="n"/>
      <c r="E230" s="144" t="n"/>
      <c r="F230" s="144" t="n"/>
      <c r="G230" s="144" t="n"/>
      <c r="H230" s="141">
        <f>IF(K230&lt;&gt;"", HYPERLINK("https://chatgpt.com/?prompt=" &amp; SUBSTITUTE(SUBSTITUTE(K230, " ", "+"), "&amp;", "dan") &amp; "&amp;force-refresh=true&amp;timestamp=" &amp; TEXT(NOW(), "yyyymmddhhmmss"), "👉 Klik untuk Generate Script! 🔥"), "")</f>
        <v/>
      </c>
      <c r="I230" s="144" t="n"/>
      <c r="J230" s="148" t="n"/>
      <c r="K230" s="140">
        <f>IF(AND(B230&lt;&gt;"", C230&lt;&gt;"", D230&lt;&gt;"", E230&lt;&gt;"", F230&lt;&gt;"", G230&lt;&gt;"", J230&lt;&gt;"", 'CONTENT PILLAR MAPPING'!C132&lt;&gt;"", 'CONTENT PILLAR MAPPING'!E132&lt;&gt;"", 'CONTENT PILLAR MAPPING'!F132&lt;&gt;"", 'CONTENT PILLAR MAPPING'!C135&lt;&gt;"", 'CONTENT PILLAR MAPPING'!C140&lt;&gt;"", 'CONTENT PILLAR MAPPING'!D140&lt;&gt;"", 'CONTENT PILLAR MAPPING'!E140&lt;&gt;"", 'CONTENT PILLAR MAPPING'!D148&lt;&gt;"", 'CONTENT PILLAR MAPPING'!D149&lt;&gt;""),
CONCATENATE(
"Sebagai seorang top konten kreator dengan niche utama '", 'CONTENT PILLAR MAPPING'!C132, "', spesifik kategori '", 'CONTENT PILLAR MAPPING'!E132, "', dan super spesifik '", 'CONTENT PILLAR MAPPING'!F132, "', yang dikenal sebagai '", 'CONTENT PILLAR MAPPING'!C135, "'.", CHAR(10),
"Saya memiliki Tone of Voice: '", 'CONTENT PILLAR MAPPING'!C140, "', Brand Archetype: '", 'CONTENT PILLAR MAPPING'!D140, "', dan Deskripsi Gaya Komunikasi: '", 'CONTENT PILLAR MAPPING'!E140, "'.", CHAR(10),
"Target audiens saya adalah: '", 'CONTENT PILLAR MAPPING'!D148, "', dengan segmentasi audiens: '", 'CONTENT PILLAR MAPPING'!D149, "'.", CHAR(10), CHAR(10),
"Mohon buatkan script konten yang **sangat powerful, menarik, inovatif, dan siap pakai** dengan judul ide '", B230, "'.", CHAR(10),
"Konten ini memiliki pilar '", C230, "', nilai tambah utama '", F230, "', dan akan menggunakan storytelling framework '", G230, "'.", CHAR(10),
"Gambaran singkat ide kontennya adalah: '", J230, "'.", CHAR(10),
"Konten ini akan diunggah di platform '", E230, "' dengan format '", D230,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MAPPING'!C135, "'.** Sesuaikan dengan gaya komunikasi saya, dengan fokus pada nilai tambah '", F230,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MAPPING'!D148, ", khusus ", 'CONTENT PILLAR MAPPING'!D149, ") dan membantu mereka menyelesaikan masalah atau mencapai tujuan mereka.", CHAR(10),
"✔ Membantuku membangun personal branding yang kuat dan sustainable, sesuai dengan Positioning saya sebagai '", 'CONTENT PILLAR MAPPING'!C135, "' dan Brand Archetype '", 'CONTENT PILLAR MAPPING'!D140, "'.", CHAR(10),
"✔ Kemas dalam bentuk tabel agar rapi, mudah di baca dan dipahami, dengan kolom 'Judul Konten', 'Pilar', 'Format', 'Draft Script', 'CTA', 'Saran Visual', dan 'Full Caption'. (Kosongkan kolom Link Prompt jika ada)."
),
"")</f>
        <v/>
      </c>
      <c r="L230" s="199" t="n"/>
      <c r="M230" s="199" t="n"/>
      <c r="N230" s="102" t="n"/>
      <c r="O230" s="102" t="n"/>
      <c r="P230" s="102" t="n"/>
      <c r="Q230" s="102" t="n"/>
      <c r="R230" s="102" t="n"/>
      <c r="S230" s="102" t="n"/>
      <c r="T230" s="102" t="n"/>
      <c r="U230" s="102" t="n"/>
      <c r="V230" s="102" t="n"/>
      <c r="W230" s="102" t="n"/>
      <c r="X230" s="102" t="n"/>
      <c r="Y230" s="102" t="n"/>
      <c r="Z230" s="102" t="n"/>
      <c r="AA230" s="102" t="n"/>
      <c r="AB230" s="102" t="n"/>
      <c r="AC230" s="102" t="n"/>
      <c r="AD230" s="102" t="n"/>
    </row>
    <row r="231" ht="15.75" customHeight="1" s="205">
      <c r="A231" s="102" t="n"/>
      <c r="B231" s="142" t="n"/>
      <c r="C231" s="143" t="n"/>
      <c r="D231" s="143" t="n"/>
      <c r="E231" s="143" t="n"/>
      <c r="F231" s="143" t="n"/>
      <c r="G231" s="144" t="n"/>
      <c r="H231" s="145">
        <f>IF(K231&lt;&gt;"", HYPERLINK("https://chatgpt.com/?prompt=" &amp; SUBSTITUTE(SUBSTITUTE(K231, " ", "+"), "&amp;", "dan") &amp; "&amp;force-refresh=true&amp;timestamp=" &amp; TEXT(NOW(), "yyyymmddhhmmss"), "👉 Klik untuk Generate Script! 🔥"), "")</f>
        <v/>
      </c>
      <c r="I231" s="143" t="n"/>
      <c r="J231" s="146" t="n"/>
      <c r="K231" s="130">
        <f>IF(AND(B231&lt;&gt;"", C231&lt;&gt;"", D231&lt;&gt;"", E231&lt;&gt;"", F231&lt;&gt;"", G231&lt;&gt;"", J231&lt;&gt;"", 'CONTENT PILLAR MAPPING'!C134&lt;&gt;"", 'CONTENT PILLAR MAPPING'!E134&lt;&gt;"", 'CONTENT PILLAR MAPPING'!F134&lt;&gt;"", 'CONTENT PILLAR MAPPING'!C137&lt;&gt;"", 'CONTENT PILLAR MAPPING'!C142&lt;&gt;"", 'CONTENT PILLAR MAPPING'!D142&lt;&gt;"", 'CONTENT PILLAR MAPPING'!E142&lt;&gt;"", 'CONTENT PILLAR MAPPING'!D150&lt;&gt;"", 'CONTENT PILLAR MAPPING'!D151&lt;&gt;""),
CONCATENATE(
"Sebagai seorang top konten kreator dengan niche utama '", 'CONTENT PILLAR MAPPING'!C134, "', spesifik kategori '", 'CONTENT PILLAR MAPPING'!E134, "', dan super spesifik '", 'CONTENT PILLAR MAPPING'!F134, "', yang dikenal sebagai '", 'CONTENT PILLAR MAPPING'!C137, "'.", CHAR(10),
"Saya memiliki Tone of Voice: '", 'CONTENT PILLAR MAPPING'!C142, "', Brand Archetype: '", 'CONTENT PILLAR MAPPING'!D142, "', dan Deskripsi Gaya Komunikasi: '", 'CONTENT PILLAR MAPPING'!E142, "'.", CHAR(10),
"Target audiens saya adalah: '", 'CONTENT PILLAR MAPPING'!D150, "', dengan segmentasi audiens: '", 'CONTENT PILLAR MAPPING'!D151, "'.", CHAR(10), CHAR(10),
"Mohon buatkan script konten yang **sangat powerful, menarik, inovatif, dan siap pakai** dengan judul ide '", B231, "'.", CHAR(10),
"Konten ini memiliki pilar '", C231, "', nilai tambah utama '", F231, "', dan akan menggunakan storytelling framework '", G231, "'.", CHAR(10),
"Gambaran singkat ide kontennya adalah: '", J231, "'.", CHAR(10),
"Konten ini akan diunggah di platform '", E231, "' dengan format '", D231,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MAPPING'!C137, "'.** Sesuaikan dengan gaya komunikasi saya, dengan fokus pada nilai tambah '", F231,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MAPPING'!D150, ", khusus ", 'CONTENT PILLAR MAPPING'!D151, ") dan membantu mereka menyelesaikan masalah atau mencapai tujuan mereka.", CHAR(10),
"✔ Membantuku membangun personal branding yang kuat dan sustainable, sesuai dengan Positioning saya sebagai '", 'CONTENT PILLAR MAPPING'!C137, "' dan Brand Archetype '", 'CONTENT PILLAR MAPPING'!D142, "'.", CHAR(10),
"✔ Kemas dalam bentuk tabel agar rapi, mudah di baca dan dipahami, dengan kolom 'Judul Konten', 'Pilar', 'Format', 'Draft Script', 'CTA', 'Saran Visual', dan 'Full Caption'. (Kosongkan kolom Link Prompt jika ada)."
),
"")</f>
        <v/>
      </c>
      <c r="L231" s="91" t="n"/>
      <c r="M231" s="91" t="n"/>
      <c r="N231" s="102" t="n"/>
      <c r="O231" s="102" t="n"/>
      <c r="P231" s="102" t="n"/>
      <c r="Q231" s="102" t="n"/>
      <c r="R231" s="102" t="n"/>
      <c r="S231" s="102" t="n"/>
      <c r="T231" s="102" t="n"/>
      <c r="U231" s="102" t="n"/>
      <c r="V231" s="102" t="n"/>
      <c r="W231" s="102" t="n"/>
      <c r="X231" s="102" t="n"/>
      <c r="Y231" s="102" t="n"/>
      <c r="Z231" s="102" t="n"/>
      <c r="AA231" s="102" t="n"/>
      <c r="AB231" s="102" t="n"/>
      <c r="AC231" s="102" t="n"/>
      <c r="AD231" s="102" t="n"/>
    </row>
    <row r="232" ht="15.75" customHeight="1" s="205">
      <c r="A232" s="102" t="n"/>
      <c r="B232" s="147" t="n"/>
      <c r="C232" s="144" t="n"/>
      <c r="D232" s="144" t="n"/>
      <c r="E232" s="144" t="n"/>
      <c r="F232" s="144" t="n"/>
      <c r="G232" s="144" t="n"/>
      <c r="H232" s="141">
        <f>IF(K232&lt;&gt;"", HYPERLINK("https://chatgpt.com/?prompt=" &amp; SUBSTITUTE(SUBSTITUTE(K232, " ", "+"), "&amp;", "dan") &amp; "&amp;force-refresh=true&amp;timestamp=" &amp; TEXT(NOW(), "yyyymmddhhmmss"), "👉 Klik untuk Generate Script! 🔥"), "")</f>
        <v/>
      </c>
      <c r="I232" s="144" t="n"/>
      <c r="J232" s="148" t="n"/>
      <c r="K232" s="140">
        <f>IF(AND(B232&lt;&gt;"", C232&lt;&gt;"", D232&lt;&gt;"", E232&lt;&gt;"", F232&lt;&gt;"", G232&lt;&gt;"", J232&lt;&gt;"", 'CONTENT PILLAR MAPPING'!C134&lt;&gt;"", 'CONTENT PILLAR MAPPING'!E134&lt;&gt;"", 'CONTENT PILLAR MAPPING'!F134&lt;&gt;"", 'CONTENT PILLAR MAPPING'!C137&lt;&gt;"", 'CONTENT PILLAR MAPPING'!C142&lt;&gt;"", 'CONTENT PILLAR MAPPING'!D142&lt;&gt;"", 'CONTENT PILLAR MAPPING'!E142&lt;&gt;"", 'CONTENT PILLAR MAPPING'!D150&lt;&gt;"", 'CONTENT PILLAR MAPPING'!D151&lt;&gt;""),
CONCATENATE(
"Sebagai seorang top konten kreator dengan niche utama '", 'CONTENT PILLAR MAPPING'!C134, "', spesifik kategori '", 'CONTENT PILLAR MAPPING'!E134, "', dan super spesifik '", 'CONTENT PILLAR MAPPING'!F134, "', yang dikenal sebagai '", 'CONTENT PILLAR MAPPING'!C137, "'.", CHAR(10),
"Saya memiliki Tone of Voice: '", 'CONTENT PILLAR MAPPING'!C142, "', Brand Archetype: '", 'CONTENT PILLAR MAPPING'!D142, "', dan Deskripsi Gaya Komunikasi: '", 'CONTENT PILLAR MAPPING'!E142, "'.", CHAR(10),
"Target audiens saya adalah: '", 'CONTENT PILLAR MAPPING'!D150, "', dengan segmentasi audiens: '", 'CONTENT PILLAR MAPPING'!D151, "'.", CHAR(10), CHAR(10),
"Mohon buatkan script konten yang **sangat powerful, menarik, inovatif, dan siap pakai** dengan judul ide '", B232, "'.", CHAR(10),
"Konten ini memiliki pilar '", C232, "', nilai tambah utama '", F232, "', dan akan menggunakan storytelling framework '", G232, "'.", CHAR(10),
"Gambaran singkat ide kontennya adalah: '", J232, "'.", CHAR(10),
"Konten ini akan diunggah di platform '", E232, "' dengan format '", D232,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MAPPING'!C137, "'.** Sesuaikan dengan gaya komunikasi saya, dengan fokus pada nilai tambah '", F232,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MAPPING'!D150, ", khusus ", 'CONTENT PILLAR MAPPING'!D151, ") dan membantu mereka menyelesaikan masalah atau mencapai tujuan mereka.", CHAR(10),
"✔ Membantuku membangun personal branding yang kuat dan sustainable, sesuai dengan Positioning saya sebagai '", 'CONTENT PILLAR MAPPING'!C137, "' dan Brand Archetype '", 'CONTENT PILLAR MAPPING'!D142, "'.", CHAR(10),
"✔ Kemas dalam bentuk tabel agar rapi, mudah di baca dan dipahami, dengan kolom 'Judul Konten', 'Pilar', 'Format', 'Draft Script', 'CTA', 'Saran Visual', dan 'Full Caption'. (Kosongkan kolom Link Prompt jika ada)."
),
"")</f>
        <v/>
      </c>
      <c r="L232" s="199" t="n"/>
      <c r="M232" s="199" t="n"/>
      <c r="N232" s="102" t="n"/>
      <c r="O232" s="102" t="n"/>
      <c r="P232" s="102" t="n"/>
      <c r="Q232" s="102" t="n"/>
      <c r="R232" s="102" t="n"/>
      <c r="S232" s="102" t="n"/>
      <c r="T232" s="102" t="n"/>
      <c r="U232" s="102" t="n"/>
      <c r="V232" s="102" t="n"/>
      <c r="W232" s="102" t="n"/>
      <c r="X232" s="102" t="n"/>
      <c r="Y232" s="102" t="n"/>
      <c r="Z232" s="102" t="n"/>
      <c r="AA232" s="102" t="n"/>
      <c r="AB232" s="102" t="n"/>
      <c r="AC232" s="102" t="n"/>
      <c r="AD232" s="102" t="n"/>
    </row>
    <row r="233" ht="15.75" customHeight="1" s="205">
      <c r="A233" s="102" t="n"/>
      <c r="B233" s="142" t="n"/>
      <c r="C233" s="143" t="n"/>
      <c r="D233" s="143" t="n"/>
      <c r="E233" s="143" t="n"/>
      <c r="F233" s="143" t="n"/>
      <c r="G233" s="144" t="n"/>
      <c r="H233" s="145">
        <f>IF(K233&lt;&gt;"", HYPERLINK("https://chatgpt.com/?prompt=" &amp; SUBSTITUTE(SUBSTITUTE(K233, " ", "+"), "&amp;", "dan") &amp; "&amp;force-refresh=true&amp;timestamp=" &amp; TEXT(NOW(), "yyyymmddhhmmss"), "👉 Klik untuk Generate Script! 🔥"), "")</f>
        <v/>
      </c>
      <c r="I233" s="143" t="n"/>
      <c r="J233" s="146" t="n"/>
      <c r="K233" s="130">
        <f>IF(AND(B233&lt;&gt;"", C233&lt;&gt;"", D233&lt;&gt;"", E233&lt;&gt;"", F233&lt;&gt;"", G233&lt;&gt;"", J233&lt;&gt;"", 'CONTENT PILLAR MAPPING'!C136&lt;&gt;"", 'CONTENT PILLAR MAPPING'!E136&lt;&gt;"", 'CONTENT PILLAR MAPPING'!F136&lt;&gt;"", 'CONTENT PILLAR MAPPING'!C139&lt;&gt;"", 'CONTENT PILLAR MAPPING'!C144&lt;&gt;"", 'CONTENT PILLAR MAPPING'!D144&lt;&gt;"", 'CONTENT PILLAR MAPPING'!E144&lt;&gt;"", 'CONTENT PILLAR MAPPING'!D152&lt;&gt;"", 'CONTENT PILLAR MAPPING'!D153&lt;&gt;""),
CONCATENATE(
"Sebagai seorang top konten kreator dengan niche utama '", 'CONTENT PILLAR MAPPING'!C136, "', spesifik kategori '", 'CONTENT PILLAR MAPPING'!E136, "', dan super spesifik '", 'CONTENT PILLAR MAPPING'!F136, "', yang dikenal sebagai '", 'CONTENT PILLAR MAPPING'!C139, "'.", CHAR(10),
"Saya memiliki Tone of Voice: '", 'CONTENT PILLAR MAPPING'!C144, "', Brand Archetype: '", 'CONTENT PILLAR MAPPING'!D144, "', dan Deskripsi Gaya Komunikasi: '", 'CONTENT PILLAR MAPPING'!E144, "'.", CHAR(10),
"Target audiens saya adalah: '", 'CONTENT PILLAR MAPPING'!D152, "', dengan segmentasi audiens: '", 'CONTENT PILLAR MAPPING'!D153, "'.", CHAR(10), CHAR(10),
"Mohon buatkan script konten yang **sangat powerful, menarik, inovatif, dan siap pakai** dengan judul ide '", B233, "'.", CHAR(10),
"Konten ini memiliki pilar '", C233, "', nilai tambah utama '", F233, "', dan akan menggunakan storytelling framework '", G233, "'.", CHAR(10),
"Gambaran singkat ide kontennya adalah: '", J233, "'.", CHAR(10),
"Konten ini akan diunggah di platform '", E233, "' dengan format '", D233,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MAPPING'!C139, "'.** Sesuaikan dengan gaya komunikasi saya, dengan fokus pada nilai tambah '", F233,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MAPPING'!D152, ", khusus ", 'CONTENT PILLAR MAPPING'!D153, ") dan membantu mereka menyelesaikan masalah atau mencapai tujuan mereka.", CHAR(10),
"✔ Membantuku membangun personal branding yang kuat dan sustainable, sesuai dengan Positioning saya sebagai '", 'CONTENT PILLAR MAPPING'!C139, "' dan Brand Archetype '", 'CONTENT PILLAR MAPPING'!D144, "'.", CHAR(10),
"✔ Kemas dalam bentuk tabel agar rapi, mudah di baca dan dipahami, dengan kolom 'Judul Konten', 'Pilar', 'Format', 'Draft Script', 'CTA', 'Saran Visual', dan 'Full Caption'. (Kosongkan kolom Link Prompt jika ada)."
),
"")</f>
        <v/>
      </c>
      <c r="L233" s="91" t="n"/>
      <c r="M233" s="91" t="n"/>
      <c r="N233" s="102" t="n"/>
      <c r="O233" s="102" t="n"/>
      <c r="P233" s="102" t="n"/>
      <c r="Q233" s="102" t="n"/>
      <c r="R233" s="102" t="n"/>
      <c r="S233" s="102" t="n"/>
      <c r="T233" s="102" t="n"/>
      <c r="U233" s="102" t="n"/>
      <c r="V233" s="102" t="n"/>
      <c r="W233" s="102" t="n"/>
      <c r="X233" s="102" t="n"/>
      <c r="Y233" s="102" t="n"/>
      <c r="Z233" s="102" t="n"/>
      <c r="AA233" s="102" t="n"/>
      <c r="AB233" s="102" t="n"/>
      <c r="AC233" s="102" t="n"/>
      <c r="AD233" s="102" t="n"/>
    </row>
    <row r="234" ht="15.75" customHeight="1" s="205">
      <c r="A234" s="102" t="n"/>
      <c r="B234" s="147" t="n"/>
      <c r="C234" s="144" t="n"/>
      <c r="D234" s="144" t="n"/>
      <c r="E234" s="144" t="n"/>
      <c r="F234" s="144" t="n"/>
      <c r="G234" s="144" t="n"/>
      <c r="H234" s="141">
        <f>IF(K234&lt;&gt;"", HYPERLINK("https://chatgpt.com/?prompt=" &amp; SUBSTITUTE(SUBSTITUTE(K234, " ", "+"), "&amp;", "dan") &amp; "&amp;force-refresh=true&amp;timestamp=" &amp; TEXT(NOW(), "yyyymmddhhmmss"), "👉 Klik untuk Generate Script! 🔥"), "")</f>
        <v/>
      </c>
      <c r="I234" s="144" t="n"/>
      <c r="J234" s="148" t="n"/>
      <c r="K234" s="140">
        <f>IF(AND(B234&lt;&gt;"", C234&lt;&gt;"", D234&lt;&gt;"", E234&lt;&gt;"", F234&lt;&gt;"", G234&lt;&gt;"", J234&lt;&gt;"", 'CONTENT PILLAR MAPPING'!C136&lt;&gt;"", 'CONTENT PILLAR MAPPING'!E136&lt;&gt;"", 'CONTENT PILLAR MAPPING'!F136&lt;&gt;"", 'CONTENT PILLAR MAPPING'!C139&lt;&gt;"", 'CONTENT PILLAR MAPPING'!C144&lt;&gt;"", 'CONTENT PILLAR MAPPING'!D144&lt;&gt;"", 'CONTENT PILLAR MAPPING'!E144&lt;&gt;"", 'CONTENT PILLAR MAPPING'!D152&lt;&gt;"", 'CONTENT PILLAR MAPPING'!D153&lt;&gt;""),
CONCATENATE(
"Sebagai seorang top konten kreator dengan niche utama '", 'CONTENT PILLAR MAPPING'!C136, "', spesifik kategori '", 'CONTENT PILLAR MAPPING'!E136, "', dan super spesifik '", 'CONTENT PILLAR MAPPING'!F136, "', yang dikenal sebagai '", 'CONTENT PILLAR MAPPING'!C139, "'.", CHAR(10),
"Saya memiliki Tone of Voice: '", 'CONTENT PILLAR MAPPING'!C144, "', Brand Archetype: '", 'CONTENT PILLAR MAPPING'!D144, "', dan Deskripsi Gaya Komunikasi: '", 'CONTENT PILLAR MAPPING'!E144, "'.", CHAR(10),
"Target audiens saya adalah: '", 'CONTENT PILLAR MAPPING'!D152, "', dengan segmentasi audiens: '", 'CONTENT PILLAR MAPPING'!D153, "'.", CHAR(10), CHAR(10),
"Mohon buatkan script konten yang **sangat powerful, menarik, inovatif, dan siap pakai** dengan judul ide '", B234, "'.", CHAR(10),
"Konten ini memiliki pilar '", C234, "', nilai tambah utama '", F234, "', dan akan menggunakan storytelling framework '", G234, "'.", CHAR(10),
"Gambaran singkat ide kontennya adalah: '", J234, "'.", CHAR(10),
"Konten ini akan diunggah di platform '", E234, "' dengan format '", D234,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MAPPING'!C139, "'.** Sesuaikan dengan gaya komunikasi saya, dengan fokus pada nilai tambah '", F234,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MAPPING'!D152, ", khusus ", 'CONTENT PILLAR MAPPING'!D153, ") dan membantu mereka menyelesaikan masalah atau mencapai tujuan mereka.", CHAR(10),
"✔ Membantuku membangun personal branding yang kuat dan sustainable, sesuai dengan Positioning saya sebagai '", 'CONTENT PILLAR MAPPING'!C139, "' dan Brand Archetype '", 'CONTENT PILLAR MAPPING'!D144, "'.", CHAR(10),
"✔ Kemas dalam bentuk tabel agar rapi, mudah di baca dan dipahami, dengan kolom 'Judul Konten', 'Pilar', 'Format', 'Draft Script', 'CTA', 'Saran Visual', dan 'Full Caption'. (Kosongkan kolom Link Prompt jika ada)."
),
"")</f>
        <v/>
      </c>
      <c r="L234" s="199" t="n"/>
      <c r="M234" s="199" t="n"/>
      <c r="N234" s="102" t="n"/>
      <c r="O234" s="102" t="n"/>
      <c r="P234" s="102" t="n"/>
      <c r="Q234" s="102" t="n"/>
      <c r="R234" s="102" t="n"/>
      <c r="S234" s="102" t="n"/>
      <c r="T234" s="102" t="n"/>
      <c r="U234" s="102" t="n"/>
      <c r="V234" s="102" t="n"/>
      <c r="W234" s="102" t="n"/>
      <c r="X234" s="102" t="n"/>
      <c r="Y234" s="102" t="n"/>
      <c r="Z234" s="102" t="n"/>
      <c r="AA234" s="102" t="n"/>
      <c r="AB234" s="102" t="n"/>
      <c r="AC234" s="102" t="n"/>
      <c r="AD234" s="102" t="n"/>
    </row>
    <row r="235" ht="15.75" customHeight="1" s="205">
      <c r="A235" s="102" t="n"/>
      <c r="B235" s="142" t="n"/>
      <c r="C235" s="143" t="n"/>
      <c r="D235" s="143" t="n"/>
      <c r="E235" s="143" t="n"/>
      <c r="F235" s="143" t="n"/>
      <c r="G235" s="144" t="n"/>
      <c r="H235" s="145">
        <f>IF(K235&lt;&gt;"", HYPERLINK("https://chatgpt.com/?prompt=" &amp; SUBSTITUTE(SUBSTITUTE(K235, " ", "+"), "&amp;", "dan") &amp; "&amp;force-refresh=true&amp;timestamp=" &amp; TEXT(NOW(), "yyyymmddhhmmss"), "👉 Klik untuk Generate Script! 🔥"), "")</f>
        <v/>
      </c>
      <c r="I235" s="143" t="n"/>
      <c r="J235" s="146" t="n"/>
      <c r="K235" s="130">
        <f>IF(AND(B235&lt;&gt;"", C235&lt;&gt;"", D235&lt;&gt;"", E235&lt;&gt;"", F235&lt;&gt;"", G235&lt;&gt;"", J235&lt;&gt;"", 'CONTENT PILLAR MAPPING'!C138&lt;&gt;"", 'CONTENT PILLAR MAPPING'!E138&lt;&gt;"", 'CONTENT PILLAR MAPPING'!F138&lt;&gt;"", 'CONTENT PILLAR MAPPING'!C141&lt;&gt;"", 'CONTENT PILLAR MAPPING'!C146&lt;&gt;"", 'CONTENT PILLAR MAPPING'!D146&lt;&gt;"", 'CONTENT PILLAR MAPPING'!E146&lt;&gt;"", 'CONTENT PILLAR MAPPING'!D154&lt;&gt;"", 'CONTENT PILLAR MAPPING'!D155&lt;&gt;""),
CONCATENATE(
"Sebagai seorang top konten kreator dengan niche utama '", 'CONTENT PILLAR MAPPING'!C138, "', spesifik kategori '", 'CONTENT PILLAR MAPPING'!E138, "', dan super spesifik '", 'CONTENT PILLAR MAPPING'!F138, "', yang dikenal sebagai '", 'CONTENT PILLAR MAPPING'!C141, "'.", CHAR(10),
"Saya memiliki Tone of Voice: '", 'CONTENT PILLAR MAPPING'!C146, "', Brand Archetype: '", 'CONTENT PILLAR MAPPING'!D146, "', dan Deskripsi Gaya Komunikasi: '", 'CONTENT PILLAR MAPPING'!E146, "'.", CHAR(10),
"Target audiens saya adalah: '", 'CONTENT PILLAR MAPPING'!D154, "', dengan segmentasi audiens: '", 'CONTENT PILLAR MAPPING'!D155, "'.", CHAR(10), CHAR(10),
"Mohon buatkan script konten yang **sangat powerful, menarik, inovatif, dan siap pakai** dengan judul ide '", B235, "'.", CHAR(10),
"Konten ini memiliki pilar '", C235, "', nilai tambah utama '", F235, "', dan akan menggunakan storytelling framework '", G235, "'.", CHAR(10),
"Gambaran singkat ide kontennya adalah: '", J235, "'.", CHAR(10),
"Konten ini akan diunggah di platform '", E235, "' dengan format '", D235,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MAPPING'!C141, "'.** Sesuaikan dengan gaya komunikasi saya, dengan fokus pada nilai tambah '", F235,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MAPPING'!D154, ", khusus ", 'CONTENT PILLAR MAPPING'!D155, ") dan membantu mereka menyelesaikan masalah atau mencapai tujuan mereka.", CHAR(10),
"✔ Membantuku membangun personal branding yang kuat dan sustainable, sesuai dengan Positioning saya sebagai '", 'CONTENT PILLAR MAPPING'!C141, "' dan Brand Archetype '", 'CONTENT PILLAR MAPPING'!D146, "'.", CHAR(10),
"✔ Kemas dalam bentuk tabel agar rapi, mudah di baca dan dipahami, dengan kolom 'Judul Konten', 'Pilar', 'Format', 'Draft Script', 'CTA', 'Saran Visual', dan 'Full Caption'. (Kosongkan kolom Link Prompt jika ada)."
),
"")</f>
        <v/>
      </c>
      <c r="L235" s="91" t="n"/>
      <c r="M235" s="91" t="n"/>
      <c r="N235" s="102" t="n"/>
      <c r="O235" s="102" t="n"/>
      <c r="P235" s="102" t="n"/>
      <c r="Q235" s="102" t="n"/>
      <c r="R235" s="102" t="n"/>
      <c r="S235" s="102" t="n"/>
      <c r="T235" s="102" t="n"/>
      <c r="U235" s="102" t="n"/>
      <c r="V235" s="102" t="n"/>
      <c r="W235" s="102" t="n"/>
      <c r="X235" s="102" t="n"/>
      <c r="Y235" s="102" t="n"/>
      <c r="Z235" s="102" t="n"/>
      <c r="AA235" s="102" t="n"/>
      <c r="AB235" s="102" t="n"/>
      <c r="AC235" s="102" t="n"/>
      <c r="AD235" s="102" t="n"/>
    </row>
    <row r="236" ht="15.75" customHeight="1" s="205">
      <c r="A236" s="102" t="n"/>
      <c r="B236" s="147" t="n"/>
      <c r="C236" s="144" t="n"/>
      <c r="D236" s="144" t="n"/>
      <c r="E236" s="144" t="n"/>
      <c r="F236" s="144" t="n"/>
      <c r="G236" s="144" t="n"/>
      <c r="H236" s="141">
        <f>IF(K236&lt;&gt;"", HYPERLINK("https://chatgpt.com/?prompt=" &amp; SUBSTITUTE(SUBSTITUTE(K236, " ", "+"), "&amp;", "dan") &amp; "&amp;force-refresh=true&amp;timestamp=" &amp; TEXT(NOW(), "yyyymmddhhmmss"), "👉 Klik untuk Generate Script! 🔥"), "")</f>
        <v/>
      </c>
      <c r="I236" s="144" t="n"/>
      <c r="J236" s="148" t="n"/>
      <c r="K236" s="140">
        <f>IF(AND(B236&lt;&gt;"", C236&lt;&gt;"", D236&lt;&gt;"", E236&lt;&gt;"", F236&lt;&gt;"", G236&lt;&gt;"", J236&lt;&gt;"", 'CONTENT PILLAR MAPPING'!C138&lt;&gt;"", 'CONTENT PILLAR MAPPING'!E138&lt;&gt;"", 'CONTENT PILLAR MAPPING'!F138&lt;&gt;"", 'CONTENT PILLAR MAPPING'!C141&lt;&gt;"", 'CONTENT PILLAR MAPPING'!C146&lt;&gt;"", 'CONTENT PILLAR MAPPING'!D146&lt;&gt;"", 'CONTENT PILLAR MAPPING'!E146&lt;&gt;"", 'CONTENT PILLAR MAPPING'!D154&lt;&gt;"", 'CONTENT PILLAR MAPPING'!D155&lt;&gt;""),
CONCATENATE(
"Sebagai seorang top konten kreator dengan niche utama '", 'CONTENT PILLAR MAPPING'!C138, "', spesifik kategori '", 'CONTENT PILLAR MAPPING'!E138, "', dan super spesifik '", 'CONTENT PILLAR MAPPING'!F138, "', yang dikenal sebagai '", 'CONTENT PILLAR MAPPING'!C141, "'.", CHAR(10),
"Saya memiliki Tone of Voice: '", 'CONTENT PILLAR MAPPING'!C146, "', Brand Archetype: '", 'CONTENT PILLAR MAPPING'!D146, "', dan Deskripsi Gaya Komunikasi: '", 'CONTENT PILLAR MAPPING'!E146, "'.", CHAR(10),
"Target audiens saya adalah: '", 'CONTENT PILLAR MAPPING'!D154, "', dengan segmentasi audiens: '", 'CONTENT PILLAR MAPPING'!D155, "'.", CHAR(10), CHAR(10),
"Mohon buatkan script konten yang **sangat powerful, menarik, inovatif, dan siap pakai** dengan judul ide '", B236, "'.", CHAR(10),
"Konten ini memiliki pilar '", C236, "', nilai tambah utama '", F236, "', dan akan menggunakan storytelling framework '", G236, "'.", CHAR(10),
"Gambaran singkat ide kontennya adalah: '", J236, "'.", CHAR(10),
"Konten ini akan diunggah di platform '", E236, "' dengan format '", D236,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MAPPING'!C141, "'.** Sesuaikan dengan gaya komunikasi saya, dengan fokus pada nilai tambah '", F236,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MAPPING'!D154, ", khusus ", 'CONTENT PILLAR MAPPING'!D155, ") dan membantu mereka menyelesaikan masalah atau mencapai tujuan mereka.", CHAR(10),
"✔ Membantuku membangun personal branding yang kuat dan sustainable, sesuai dengan Positioning saya sebagai '", 'CONTENT PILLAR MAPPING'!C141, "' dan Brand Archetype '", 'CONTENT PILLAR MAPPING'!D146, "'.", CHAR(10),
"✔ Kemas dalam bentuk tabel agar rapi, mudah di baca dan dipahami, dengan kolom 'Judul Konten', 'Pilar', 'Format', 'Draft Script', 'CTA', 'Saran Visual', dan 'Full Caption'. (Kosongkan kolom Link Prompt jika ada)."
),
"")</f>
        <v/>
      </c>
      <c r="L236" s="199" t="n"/>
      <c r="M236" s="199" t="n"/>
      <c r="N236" s="102" t="n"/>
      <c r="O236" s="102" t="n"/>
      <c r="P236" s="102" t="n"/>
      <c r="Q236" s="102" t="n"/>
      <c r="R236" s="102" t="n"/>
      <c r="S236" s="102" t="n"/>
      <c r="T236" s="102" t="n"/>
      <c r="U236" s="102" t="n"/>
      <c r="V236" s="102" t="n"/>
      <c r="W236" s="102" t="n"/>
      <c r="X236" s="102" t="n"/>
      <c r="Y236" s="102" t="n"/>
      <c r="Z236" s="102" t="n"/>
      <c r="AA236" s="102" t="n"/>
      <c r="AB236" s="102" t="n"/>
      <c r="AC236" s="102" t="n"/>
      <c r="AD236" s="102" t="n"/>
    </row>
    <row r="237" ht="15.75" customHeight="1" s="205">
      <c r="A237" s="102" t="n"/>
      <c r="B237" s="142" t="n"/>
      <c r="C237" s="143" t="n"/>
      <c r="D237" s="143" t="n"/>
      <c r="E237" s="143" t="n"/>
      <c r="F237" s="143" t="n"/>
      <c r="G237" s="144" t="n"/>
      <c r="H237" s="145">
        <f>IF(K237&lt;&gt;"", HYPERLINK("https://chatgpt.com/?prompt=" &amp; SUBSTITUTE(SUBSTITUTE(K237, " ", "+"), "&amp;", "dan") &amp; "&amp;force-refresh=true&amp;timestamp=" &amp; TEXT(NOW(), "yyyymmddhhmmss"), "👉 Klik untuk Generate Script! 🔥"), "")</f>
        <v/>
      </c>
      <c r="I237" s="143" t="n"/>
      <c r="J237" s="146" t="n"/>
      <c r="K237" s="130">
        <f>IF(AND(B237&lt;&gt;"", C237&lt;&gt;"", D237&lt;&gt;"", E237&lt;&gt;"", F237&lt;&gt;"", G237&lt;&gt;"", J237&lt;&gt;"", 'CONTENT PILLAR MAPPING'!C140&lt;&gt;"", 'CONTENT PILLAR MAPPING'!E140&lt;&gt;"", 'CONTENT PILLAR MAPPING'!F140&lt;&gt;"", 'CONTENT PILLAR MAPPING'!C143&lt;&gt;"", 'CONTENT PILLAR MAPPING'!C148&lt;&gt;"", 'CONTENT PILLAR MAPPING'!D148&lt;&gt;"", 'CONTENT PILLAR MAPPING'!E148&lt;&gt;"", 'CONTENT PILLAR MAPPING'!D156&lt;&gt;"", 'CONTENT PILLAR MAPPING'!D157&lt;&gt;""),
CONCATENATE(
"Sebagai seorang top konten kreator dengan niche utama '", 'CONTENT PILLAR MAPPING'!C140, "', spesifik kategori '", 'CONTENT PILLAR MAPPING'!E140, "', dan super spesifik '", 'CONTENT PILLAR MAPPING'!F140, "', yang dikenal sebagai '", 'CONTENT PILLAR MAPPING'!C143, "'.", CHAR(10),
"Saya memiliki Tone of Voice: '", 'CONTENT PILLAR MAPPING'!C148, "', Brand Archetype: '", 'CONTENT PILLAR MAPPING'!D148, "', dan Deskripsi Gaya Komunikasi: '", 'CONTENT PILLAR MAPPING'!E148, "'.", CHAR(10),
"Target audiens saya adalah: '", 'CONTENT PILLAR MAPPING'!D156, "', dengan segmentasi audiens: '", 'CONTENT PILLAR MAPPING'!D157, "'.", CHAR(10), CHAR(10),
"Mohon buatkan script konten yang **sangat powerful, menarik, inovatif, dan siap pakai** dengan judul ide '", B237, "'.", CHAR(10),
"Konten ini memiliki pilar '", C237, "', nilai tambah utama '", F237, "', dan akan menggunakan storytelling framework '", G237, "'.", CHAR(10),
"Gambaran singkat ide kontennya adalah: '", J237, "'.", CHAR(10),
"Konten ini akan diunggah di platform '", E237, "' dengan format '", D237,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MAPPING'!C143, "'.** Sesuaikan dengan gaya komunikasi saya, dengan fokus pada nilai tambah '", F237,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MAPPING'!D156, ", khusus ", 'CONTENT PILLAR MAPPING'!D157, ") dan membantu mereka menyelesaikan masalah atau mencapai tujuan mereka.", CHAR(10),
"✔ Membantuku membangun personal branding yang kuat dan sustainable, sesuai dengan Positioning saya sebagai '", 'CONTENT PILLAR MAPPING'!C143, "' dan Brand Archetype '", 'CONTENT PILLAR MAPPING'!D148, "'.", CHAR(10),
"✔ Kemas dalam bentuk tabel agar rapi, mudah di baca dan dipahami, dengan kolom 'Judul Konten', 'Pilar', 'Format', 'Draft Script', 'CTA', 'Saran Visual', dan 'Full Caption'. (Kosongkan kolom Link Prompt jika ada)."
),
"")</f>
        <v/>
      </c>
      <c r="L237" s="91" t="n"/>
      <c r="M237" s="91" t="n"/>
      <c r="N237" s="102" t="n"/>
      <c r="O237" s="102" t="n"/>
      <c r="P237" s="102" t="n"/>
      <c r="Q237" s="102" t="n"/>
      <c r="R237" s="102" t="n"/>
      <c r="S237" s="102" t="n"/>
      <c r="T237" s="102" t="n"/>
      <c r="U237" s="102" t="n"/>
      <c r="V237" s="102" t="n"/>
      <c r="W237" s="102" t="n"/>
      <c r="X237" s="102" t="n"/>
      <c r="Y237" s="102" t="n"/>
      <c r="Z237" s="102" t="n"/>
      <c r="AA237" s="102" t="n"/>
      <c r="AB237" s="102" t="n"/>
      <c r="AC237" s="102" t="n"/>
      <c r="AD237" s="102" t="n"/>
    </row>
    <row r="238" ht="15.75" customHeight="1" s="205">
      <c r="A238" s="102" t="n"/>
      <c r="B238" s="147" t="n"/>
      <c r="C238" s="144" t="n"/>
      <c r="D238" s="144" t="n"/>
      <c r="E238" s="144" t="n"/>
      <c r="F238" s="144" t="n"/>
      <c r="G238" s="144" t="n"/>
      <c r="H238" s="141">
        <f>IF(K238&lt;&gt;"", HYPERLINK("https://chatgpt.com/?prompt=" &amp; SUBSTITUTE(SUBSTITUTE(K238, " ", "+"), "&amp;", "dan") &amp; "&amp;force-refresh=true&amp;timestamp=" &amp; TEXT(NOW(), "yyyymmddhhmmss"), "👉 Klik untuk Generate Script! 🔥"), "")</f>
        <v/>
      </c>
      <c r="I238" s="144" t="n"/>
      <c r="J238" s="148" t="n"/>
      <c r="K238" s="140">
        <f>IF(AND(B238&lt;&gt;"", C238&lt;&gt;"", D238&lt;&gt;"", E238&lt;&gt;"", F238&lt;&gt;"", G238&lt;&gt;"", J238&lt;&gt;"", 'CONTENT PILLAR MAPPING'!C140&lt;&gt;"", 'CONTENT PILLAR MAPPING'!E140&lt;&gt;"", 'CONTENT PILLAR MAPPING'!F140&lt;&gt;"", 'CONTENT PILLAR MAPPING'!C143&lt;&gt;"", 'CONTENT PILLAR MAPPING'!C148&lt;&gt;"", 'CONTENT PILLAR MAPPING'!D148&lt;&gt;"", 'CONTENT PILLAR MAPPING'!E148&lt;&gt;"", 'CONTENT PILLAR MAPPING'!D156&lt;&gt;"", 'CONTENT PILLAR MAPPING'!D157&lt;&gt;""),
CONCATENATE(
"Sebagai seorang top konten kreator dengan niche utama '", 'CONTENT PILLAR MAPPING'!C140, "', spesifik kategori '", 'CONTENT PILLAR MAPPING'!E140, "', dan super spesifik '", 'CONTENT PILLAR MAPPING'!F140, "', yang dikenal sebagai '", 'CONTENT PILLAR MAPPING'!C143, "'.", CHAR(10),
"Saya memiliki Tone of Voice: '", 'CONTENT PILLAR MAPPING'!C148, "', Brand Archetype: '", 'CONTENT PILLAR MAPPING'!D148, "', dan Deskripsi Gaya Komunikasi: '", 'CONTENT PILLAR MAPPING'!E148, "'.", CHAR(10),
"Target audiens saya adalah: '", 'CONTENT PILLAR MAPPING'!D156, "', dengan segmentasi audiens: '", 'CONTENT PILLAR MAPPING'!D157, "'.", CHAR(10), CHAR(10),
"Mohon buatkan script konten yang **sangat powerful, menarik, inovatif, dan siap pakai** dengan judul ide '", B238, "'.", CHAR(10),
"Konten ini memiliki pilar '", C238, "', nilai tambah utama '", F238, "', dan akan menggunakan storytelling framework '", G238, "'.", CHAR(10),
"Gambaran singkat ide kontennya adalah: '", J238, "'.", CHAR(10),
"Konten ini akan diunggah di platform '", E238, "' dengan format '", D238,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MAPPING'!C143, "'.** Sesuaikan dengan gaya komunikasi saya, dengan fokus pada nilai tambah '", F238,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MAPPING'!D156, ", khusus ", 'CONTENT PILLAR MAPPING'!D157, ") dan membantu mereka menyelesaikan masalah atau mencapai tujuan mereka.", CHAR(10),
"✔ Membantuku membangun personal branding yang kuat dan sustainable, sesuai dengan Positioning saya sebagai '", 'CONTENT PILLAR MAPPING'!C143, "' dan Brand Archetype '", 'CONTENT PILLAR MAPPING'!D148, "'.", CHAR(10),
"✔ Kemas dalam bentuk tabel agar rapi, mudah di baca dan dipahami, dengan kolom 'Judul Konten', 'Pilar', 'Format', 'Draft Script', 'CTA', 'Saran Visual', dan 'Full Caption'. (Kosongkan kolom Link Prompt jika ada)."
),
"")</f>
        <v/>
      </c>
      <c r="L238" s="199" t="n"/>
      <c r="M238" s="199" t="n"/>
      <c r="N238" s="102" t="n"/>
      <c r="O238" s="102" t="n"/>
      <c r="P238" s="102" t="n"/>
      <c r="Q238" s="102" t="n"/>
      <c r="R238" s="102" t="n"/>
      <c r="S238" s="102" t="n"/>
      <c r="T238" s="102" t="n"/>
      <c r="U238" s="102" t="n"/>
      <c r="V238" s="102" t="n"/>
      <c r="W238" s="102" t="n"/>
      <c r="X238" s="102" t="n"/>
      <c r="Y238" s="102" t="n"/>
      <c r="Z238" s="102" t="n"/>
      <c r="AA238" s="102" t="n"/>
      <c r="AB238" s="102" t="n"/>
      <c r="AC238" s="102" t="n"/>
      <c r="AD238" s="102" t="n"/>
    </row>
    <row r="239" ht="15.75" customHeight="1" s="205">
      <c r="A239" s="102" t="n"/>
      <c r="B239" s="142" t="n"/>
      <c r="C239" s="143" t="n"/>
      <c r="D239" s="143" t="n"/>
      <c r="E239" s="143" t="n"/>
      <c r="F239" s="143" t="n"/>
      <c r="G239" s="144" t="n"/>
      <c r="H239" s="145">
        <f>IF(K239&lt;&gt;"", HYPERLINK("https://chatgpt.com/?prompt=" &amp; SUBSTITUTE(SUBSTITUTE(K239, " ", "+"), "&amp;", "dan") &amp; "&amp;force-refresh=true&amp;timestamp=" &amp; TEXT(NOW(), "yyyymmddhhmmss"), "👉 Klik untuk Generate Script! 🔥"), "")</f>
        <v/>
      </c>
      <c r="I239" s="143" t="n"/>
      <c r="J239" s="146" t="n"/>
      <c r="K239" s="130">
        <f>IF(AND(B239&lt;&gt;"", C239&lt;&gt;"", D239&lt;&gt;"", E239&lt;&gt;"", F239&lt;&gt;"", G239&lt;&gt;"", J239&lt;&gt;"", 'CONTENT PILLAR MAPPING'!C142&lt;&gt;"", 'CONTENT PILLAR MAPPING'!E142&lt;&gt;"", 'CONTENT PILLAR MAPPING'!F142&lt;&gt;"", 'CONTENT PILLAR MAPPING'!C145&lt;&gt;"", 'CONTENT PILLAR MAPPING'!C150&lt;&gt;"", 'CONTENT PILLAR MAPPING'!D150&lt;&gt;"", 'CONTENT PILLAR MAPPING'!E150&lt;&gt;"", 'CONTENT PILLAR MAPPING'!D158&lt;&gt;"", 'CONTENT PILLAR MAPPING'!D159&lt;&gt;""),
CONCATENATE(
"Sebagai seorang top konten kreator dengan niche utama '", 'CONTENT PILLAR MAPPING'!C142, "', spesifik kategori '", 'CONTENT PILLAR MAPPING'!E142, "', dan super spesifik '", 'CONTENT PILLAR MAPPING'!F142, "', yang dikenal sebagai '", 'CONTENT PILLAR MAPPING'!C145, "'.", CHAR(10),
"Saya memiliki Tone of Voice: '", 'CONTENT PILLAR MAPPING'!C150, "', Brand Archetype: '", 'CONTENT PILLAR MAPPING'!D150, "', dan Deskripsi Gaya Komunikasi: '", 'CONTENT PILLAR MAPPING'!E150, "'.", CHAR(10),
"Target audiens saya adalah: '", 'CONTENT PILLAR MAPPING'!D158, "', dengan segmentasi audiens: '", 'CONTENT PILLAR MAPPING'!D159, "'.", CHAR(10), CHAR(10),
"Mohon buatkan script konten yang **sangat powerful, menarik, inovatif, dan siap pakai** dengan judul ide '", B239, "'.", CHAR(10),
"Konten ini memiliki pilar '", C239, "', nilai tambah utama '", F239, "', dan akan menggunakan storytelling framework '", G239, "'.", CHAR(10),
"Gambaran singkat ide kontennya adalah: '", J239, "'.", CHAR(10),
"Konten ini akan diunggah di platform '", E239, "' dengan format '", D239,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MAPPING'!C145, "'.** Sesuaikan dengan gaya komunikasi saya, dengan fokus pada nilai tambah '", F239,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MAPPING'!D158, ", khusus ", 'CONTENT PILLAR MAPPING'!D159, ") dan membantu mereka menyelesaikan masalah atau mencapai tujuan mereka.", CHAR(10),
"✔ Membantuku membangun personal branding yang kuat dan sustainable, sesuai dengan Positioning saya sebagai '", 'CONTENT PILLAR MAPPING'!C145, "' dan Brand Archetype '", 'CONTENT PILLAR MAPPING'!D150, "'.", CHAR(10),
"✔ Kemas dalam bentuk tabel agar rapi, mudah di baca dan dipahami, dengan kolom 'Judul Konten', 'Pilar', 'Format', 'Draft Script', 'CTA', 'Saran Visual', dan 'Full Caption'. (Kosongkan kolom Link Prompt jika ada)."
),
"")</f>
        <v/>
      </c>
      <c r="L239" s="91" t="n"/>
      <c r="M239" s="91" t="n"/>
      <c r="N239" s="102" t="n"/>
      <c r="O239" s="102" t="n"/>
      <c r="P239" s="102" t="n"/>
      <c r="Q239" s="102" t="n"/>
      <c r="R239" s="102" t="n"/>
      <c r="S239" s="102" t="n"/>
      <c r="T239" s="102" t="n"/>
      <c r="U239" s="102" t="n"/>
      <c r="V239" s="102" t="n"/>
      <c r="W239" s="102" t="n"/>
      <c r="X239" s="102" t="n"/>
      <c r="Y239" s="102" t="n"/>
      <c r="Z239" s="102" t="n"/>
      <c r="AA239" s="102" t="n"/>
      <c r="AB239" s="102" t="n"/>
      <c r="AC239" s="102" t="n"/>
      <c r="AD239" s="102" t="n"/>
    </row>
    <row r="240" ht="15.75" customHeight="1" s="205">
      <c r="A240" s="102" t="n"/>
      <c r="B240" s="147" t="n"/>
      <c r="C240" s="144" t="n"/>
      <c r="D240" s="144" t="n"/>
      <c r="E240" s="144" t="n"/>
      <c r="F240" s="144" t="n"/>
      <c r="G240" s="144" t="n"/>
      <c r="H240" s="141">
        <f>IF(K240&lt;&gt;"", HYPERLINK("https://chatgpt.com/?prompt=" &amp; SUBSTITUTE(SUBSTITUTE(K240, " ", "+"), "&amp;", "dan") &amp; "&amp;force-refresh=true&amp;timestamp=" &amp; TEXT(NOW(), "yyyymmddhhmmss"), "👉 Klik untuk Generate Script! 🔥"), "")</f>
        <v/>
      </c>
      <c r="I240" s="144" t="n"/>
      <c r="J240" s="148" t="n"/>
      <c r="K240" s="140">
        <f>IF(AND(B240&lt;&gt;"", C240&lt;&gt;"", D240&lt;&gt;"", E240&lt;&gt;"", F240&lt;&gt;"", G240&lt;&gt;"", J240&lt;&gt;"", 'CONTENT PILLAR MAPPING'!C142&lt;&gt;"", 'CONTENT PILLAR MAPPING'!E142&lt;&gt;"", 'CONTENT PILLAR MAPPING'!F142&lt;&gt;"", 'CONTENT PILLAR MAPPING'!C145&lt;&gt;"", 'CONTENT PILLAR MAPPING'!C150&lt;&gt;"", 'CONTENT PILLAR MAPPING'!D150&lt;&gt;"", 'CONTENT PILLAR MAPPING'!E150&lt;&gt;"", 'CONTENT PILLAR MAPPING'!D158&lt;&gt;"", 'CONTENT PILLAR MAPPING'!D159&lt;&gt;""),
CONCATENATE(
"Sebagai seorang top konten kreator dengan niche utama '", 'CONTENT PILLAR MAPPING'!C142, "', spesifik kategori '", 'CONTENT PILLAR MAPPING'!E142, "', dan super spesifik '", 'CONTENT PILLAR MAPPING'!F142, "', yang dikenal sebagai '", 'CONTENT PILLAR MAPPING'!C145, "'.", CHAR(10),
"Saya memiliki Tone of Voice: '", 'CONTENT PILLAR MAPPING'!C150, "', Brand Archetype: '", 'CONTENT PILLAR MAPPING'!D150, "', dan Deskripsi Gaya Komunikasi: '", 'CONTENT PILLAR MAPPING'!E150, "'.", CHAR(10),
"Target audiens saya adalah: '", 'CONTENT PILLAR MAPPING'!D158, "', dengan segmentasi audiens: '", 'CONTENT PILLAR MAPPING'!D159, "'.", CHAR(10), CHAR(10),
"Mohon buatkan script konten yang **sangat powerful, menarik, inovatif, dan siap pakai** dengan judul ide '", B240, "'.", CHAR(10),
"Konten ini memiliki pilar '", C240, "', nilai tambah utama '", F240, "', dan akan menggunakan storytelling framework '", G240, "'.", CHAR(10),
"Gambaran singkat ide kontennya adalah: '", J240, "'.", CHAR(10),
"Konten ini akan diunggah di platform '", E240, "' dengan format '", D240,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MAPPING'!C145, "'.** Sesuaikan dengan gaya komunikasi saya, dengan fokus pada nilai tambah '", F240,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MAPPING'!D158, ", khusus ", 'CONTENT PILLAR MAPPING'!D159, ") dan membantu mereka menyelesaikan masalah atau mencapai tujuan mereka.", CHAR(10),
"✔ Membantuku membangun personal branding yang kuat dan sustainable, sesuai dengan Positioning saya sebagai '", 'CONTENT PILLAR MAPPING'!C145, "' dan Brand Archetype '", 'CONTENT PILLAR MAPPING'!D150, "'.", CHAR(10),
"✔ Kemas dalam bentuk tabel agar rapi, mudah di baca dan dipahami, dengan kolom 'Judul Konten', 'Pilar', 'Format', 'Draft Script', 'CTA', 'Saran Visual', dan 'Full Caption'. (Kosongkan kolom Link Prompt jika ada)."
),
"")</f>
        <v/>
      </c>
      <c r="L240" s="199" t="n"/>
      <c r="M240" s="199" t="n"/>
      <c r="N240" s="102" t="n"/>
      <c r="O240" s="102" t="n"/>
      <c r="P240" s="102" t="n"/>
      <c r="Q240" s="102" t="n"/>
      <c r="R240" s="102" t="n"/>
      <c r="S240" s="102" t="n"/>
      <c r="T240" s="102" t="n"/>
      <c r="U240" s="102" t="n"/>
      <c r="V240" s="102" t="n"/>
      <c r="W240" s="102" t="n"/>
      <c r="X240" s="102" t="n"/>
      <c r="Y240" s="102" t="n"/>
      <c r="Z240" s="102" t="n"/>
      <c r="AA240" s="102" t="n"/>
      <c r="AB240" s="102" t="n"/>
      <c r="AC240" s="102" t="n"/>
      <c r="AD240" s="102" t="n"/>
    </row>
    <row r="241" ht="15.75" customHeight="1" s="205">
      <c r="A241" s="102" t="n"/>
      <c r="B241" s="142" t="n"/>
      <c r="C241" s="143" t="n"/>
      <c r="D241" s="143" t="n"/>
      <c r="E241" s="143" t="n"/>
      <c r="F241" s="143" t="n"/>
      <c r="G241" s="144" t="n"/>
      <c r="H241" s="145">
        <f>IF(K241&lt;&gt;"", HYPERLINK("https://chatgpt.com/?prompt=" &amp; SUBSTITUTE(SUBSTITUTE(K241, " ", "+"), "&amp;", "dan") &amp; "&amp;force-refresh=true&amp;timestamp=" &amp; TEXT(NOW(), "yyyymmddhhmmss"), "👉 Klik untuk Generate Script! 🔥"), "")</f>
        <v/>
      </c>
      <c r="I241" s="143" t="n"/>
      <c r="J241" s="146" t="n"/>
      <c r="K241" s="130">
        <f>IF(AND(B241&lt;&gt;"", C241&lt;&gt;"", D241&lt;&gt;"", E241&lt;&gt;"", F241&lt;&gt;"", G241&lt;&gt;"", J241&lt;&gt;"", 'CONTENT PILLAR MAPPING'!C144&lt;&gt;"", 'CONTENT PILLAR MAPPING'!E144&lt;&gt;"", 'CONTENT PILLAR MAPPING'!F144&lt;&gt;"", 'CONTENT PILLAR MAPPING'!C147&lt;&gt;"", 'CONTENT PILLAR MAPPING'!C152&lt;&gt;"", 'CONTENT PILLAR MAPPING'!D152&lt;&gt;"", 'CONTENT PILLAR MAPPING'!E152&lt;&gt;"", 'CONTENT PILLAR MAPPING'!D160&lt;&gt;"", 'CONTENT PILLAR MAPPING'!D161&lt;&gt;""),
CONCATENATE(
"Sebagai seorang top konten kreator dengan niche utama '", 'CONTENT PILLAR MAPPING'!C144, "', spesifik kategori '", 'CONTENT PILLAR MAPPING'!E144, "', dan super spesifik '", 'CONTENT PILLAR MAPPING'!F144, "', yang dikenal sebagai '", 'CONTENT PILLAR MAPPING'!C147, "'.", CHAR(10),
"Saya memiliki Tone of Voice: '", 'CONTENT PILLAR MAPPING'!C152, "', Brand Archetype: '", 'CONTENT PILLAR MAPPING'!D152, "', dan Deskripsi Gaya Komunikasi: '", 'CONTENT PILLAR MAPPING'!E152, "'.", CHAR(10),
"Target audiens saya adalah: '", 'CONTENT PILLAR MAPPING'!D160, "', dengan segmentasi audiens: '", 'CONTENT PILLAR MAPPING'!D161, "'.", CHAR(10), CHAR(10),
"Mohon buatkan script konten yang **sangat powerful, menarik, inovatif, dan siap pakai** dengan judul ide '", B241, "'.", CHAR(10),
"Konten ini memiliki pilar '", C241, "', nilai tambah utama '", F241, "', dan akan menggunakan storytelling framework '", G241, "'.", CHAR(10),
"Gambaran singkat ide kontennya adalah: '", J241, "'.", CHAR(10),
"Konten ini akan diunggah di platform '", E241, "' dengan format '", D241,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MAPPING'!C147, "'.** Sesuaikan dengan gaya komunikasi saya, dengan fokus pada nilai tambah '", F241,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MAPPING'!D160, ", khusus ", 'CONTENT PILLAR MAPPING'!D161, ") dan membantu mereka menyelesaikan masalah atau mencapai tujuan mereka.", CHAR(10),
"✔ Membantuku membangun personal branding yang kuat dan sustainable, sesuai dengan Positioning saya sebagai '", 'CONTENT PILLAR MAPPING'!C147, "' dan Brand Archetype '", 'CONTENT PILLAR MAPPING'!D152, "'.", CHAR(10),
"✔ Kemas dalam bentuk tabel agar rapi, mudah di baca dan dipahami, dengan kolom 'Judul Konten', 'Pilar', 'Format', 'Draft Script', 'CTA', 'Saran Visual', dan 'Full Caption'. (Kosongkan kolom Link Prompt jika ada)."
),
"")</f>
        <v/>
      </c>
      <c r="L241" s="91" t="n"/>
      <c r="M241" s="91" t="n"/>
      <c r="N241" s="102" t="n"/>
      <c r="O241" s="102" t="n"/>
      <c r="P241" s="102" t="n"/>
      <c r="Q241" s="102" t="n"/>
      <c r="R241" s="102" t="n"/>
      <c r="S241" s="102" t="n"/>
      <c r="T241" s="102" t="n"/>
      <c r="U241" s="102" t="n"/>
      <c r="V241" s="102" t="n"/>
      <c r="W241" s="102" t="n"/>
      <c r="X241" s="102" t="n"/>
      <c r="Y241" s="102" t="n"/>
      <c r="Z241" s="102" t="n"/>
      <c r="AA241" s="102" t="n"/>
      <c r="AB241" s="102" t="n"/>
      <c r="AC241" s="102" t="n"/>
      <c r="AD241" s="102" t="n"/>
    </row>
    <row r="242" ht="15.75" customHeight="1" s="205">
      <c r="A242" s="102" t="n"/>
      <c r="B242" s="147" t="n"/>
      <c r="C242" s="144" t="n"/>
      <c r="D242" s="144" t="n"/>
      <c r="E242" s="144" t="n"/>
      <c r="F242" s="144" t="n"/>
      <c r="G242" s="144" t="n"/>
      <c r="H242" s="141">
        <f>IF(K242&lt;&gt;"", HYPERLINK("https://chatgpt.com/?prompt=" &amp; SUBSTITUTE(SUBSTITUTE(K242, " ", "+"), "&amp;", "dan") &amp; "&amp;force-refresh=true&amp;timestamp=" &amp; TEXT(NOW(), "yyyymmddhhmmss"), "👉 Klik untuk Generate Script! 🔥"), "")</f>
        <v/>
      </c>
      <c r="I242" s="144" t="n"/>
      <c r="J242" s="148" t="n"/>
      <c r="K242" s="140">
        <f>IF(AND(B242&lt;&gt;"", C242&lt;&gt;"", D242&lt;&gt;"", E242&lt;&gt;"", F242&lt;&gt;"", G242&lt;&gt;"", J242&lt;&gt;"", 'CONTENT PILLAR MAPPING'!C144&lt;&gt;"", 'CONTENT PILLAR MAPPING'!E144&lt;&gt;"", 'CONTENT PILLAR MAPPING'!F144&lt;&gt;"", 'CONTENT PILLAR MAPPING'!C147&lt;&gt;"", 'CONTENT PILLAR MAPPING'!C152&lt;&gt;"", 'CONTENT PILLAR MAPPING'!D152&lt;&gt;"", 'CONTENT PILLAR MAPPING'!E152&lt;&gt;"", 'CONTENT PILLAR MAPPING'!D160&lt;&gt;"", 'CONTENT PILLAR MAPPING'!D161&lt;&gt;""),
CONCATENATE(
"Sebagai seorang top konten kreator dengan niche utama '", 'CONTENT PILLAR MAPPING'!C144, "', spesifik kategori '", 'CONTENT PILLAR MAPPING'!E144, "', dan super spesifik '", 'CONTENT PILLAR MAPPING'!F144, "', yang dikenal sebagai '", 'CONTENT PILLAR MAPPING'!C147, "'.", CHAR(10),
"Saya memiliki Tone of Voice: '", 'CONTENT PILLAR MAPPING'!C152, "', Brand Archetype: '", 'CONTENT PILLAR MAPPING'!D152, "', dan Deskripsi Gaya Komunikasi: '", 'CONTENT PILLAR MAPPING'!E152, "'.", CHAR(10),
"Target audiens saya adalah: '", 'CONTENT PILLAR MAPPING'!D160, "', dengan segmentasi audiens: '", 'CONTENT PILLAR MAPPING'!D161, "'.", CHAR(10), CHAR(10),
"Mohon buatkan script konten yang **sangat powerful, menarik, inovatif, dan siap pakai** dengan judul ide '", B242, "'.", CHAR(10),
"Konten ini memiliki pilar '", C242, "', nilai tambah utama '", F242, "', dan akan menggunakan storytelling framework '", G242, "'.", CHAR(10),
"Gambaran singkat ide kontennya adalah: '", J242, "'.", CHAR(10),
"Konten ini akan diunggah di platform '", E242, "' dengan format '", D242,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MAPPING'!C147, "'.** Sesuaikan dengan gaya komunikasi saya, dengan fokus pada nilai tambah '", F242,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MAPPING'!D160, ", khusus ", 'CONTENT PILLAR MAPPING'!D161, ") dan membantu mereka menyelesaikan masalah atau mencapai tujuan mereka.", CHAR(10),
"✔ Membantuku membangun personal branding yang kuat dan sustainable, sesuai dengan Positioning saya sebagai '", 'CONTENT PILLAR MAPPING'!C147, "' dan Brand Archetype '", 'CONTENT PILLAR MAPPING'!D152, "'.", CHAR(10),
"✔ Kemas dalam bentuk tabel agar rapi, mudah di baca dan dipahami, dengan kolom 'Judul Konten', 'Pilar', 'Format', 'Draft Script', 'CTA', 'Saran Visual', dan 'Full Caption'. (Kosongkan kolom Link Prompt jika ada)."
),
"")</f>
        <v/>
      </c>
      <c r="L242" s="199" t="n"/>
      <c r="M242" s="199" t="n"/>
      <c r="N242" s="102" t="n"/>
      <c r="O242" s="102" t="n"/>
      <c r="P242" s="102" t="n"/>
      <c r="Q242" s="102" t="n"/>
      <c r="R242" s="102" t="n"/>
      <c r="S242" s="102" t="n"/>
      <c r="T242" s="102" t="n"/>
      <c r="U242" s="102" t="n"/>
      <c r="V242" s="102" t="n"/>
      <c r="W242" s="102" t="n"/>
      <c r="X242" s="102" t="n"/>
      <c r="Y242" s="102" t="n"/>
      <c r="Z242" s="102" t="n"/>
      <c r="AA242" s="102" t="n"/>
      <c r="AB242" s="102" t="n"/>
      <c r="AC242" s="102" t="n"/>
      <c r="AD242" s="102" t="n"/>
    </row>
    <row r="243" ht="15.75" customHeight="1" s="205">
      <c r="A243" s="102" t="n"/>
      <c r="B243" s="142" t="n"/>
      <c r="C243" s="143" t="n"/>
      <c r="D243" s="143" t="n"/>
      <c r="E243" s="143" t="n"/>
      <c r="F243" s="143" t="n"/>
      <c r="G243" s="144" t="n"/>
      <c r="H243" s="145">
        <f>IF(K243&lt;&gt;"", HYPERLINK("https://chatgpt.com/?prompt=" &amp; SUBSTITUTE(SUBSTITUTE(K243, " ", "+"), "&amp;", "dan") &amp; "&amp;force-refresh=true&amp;timestamp=" &amp; TEXT(NOW(), "yyyymmddhhmmss"), "👉 Klik untuk Generate Script! 🔥"), "")</f>
        <v/>
      </c>
      <c r="I243" s="143" t="n"/>
      <c r="J243" s="146" t="n"/>
      <c r="K243" s="130">
        <f>IF(AND(B243&lt;&gt;"", C243&lt;&gt;"", D243&lt;&gt;"", E243&lt;&gt;"", F243&lt;&gt;"", G243&lt;&gt;"", J243&lt;&gt;"", 'CONTENT PILLAR MAPPING'!C146&lt;&gt;"", 'CONTENT PILLAR MAPPING'!E146&lt;&gt;"", 'CONTENT PILLAR MAPPING'!F146&lt;&gt;"", 'CONTENT PILLAR MAPPING'!C149&lt;&gt;"", 'CONTENT PILLAR MAPPING'!C154&lt;&gt;"", 'CONTENT PILLAR MAPPING'!D154&lt;&gt;"", 'CONTENT PILLAR MAPPING'!E154&lt;&gt;"", 'CONTENT PILLAR MAPPING'!D162&lt;&gt;"", 'CONTENT PILLAR MAPPING'!D163&lt;&gt;""),
CONCATENATE(
"Sebagai seorang top konten kreator dengan niche utama '", 'CONTENT PILLAR MAPPING'!C146, "', spesifik kategori '", 'CONTENT PILLAR MAPPING'!E146, "', dan super spesifik '", 'CONTENT PILLAR MAPPING'!F146, "', yang dikenal sebagai '", 'CONTENT PILLAR MAPPING'!C149, "'.", CHAR(10),
"Saya memiliki Tone of Voice: '", 'CONTENT PILLAR MAPPING'!C154, "', Brand Archetype: '", 'CONTENT PILLAR MAPPING'!D154, "', dan Deskripsi Gaya Komunikasi: '", 'CONTENT PILLAR MAPPING'!E154, "'.", CHAR(10),
"Target audiens saya adalah: '", 'CONTENT PILLAR MAPPING'!D162, "', dengan segmentasi audiens: '", 'CONTENT PILLAR MAPPING'!D163, "'.", CHAR(10), CHAR(10),
"Mohon buatkan script konten yang **sangat powerful, menarik, inovatif, dan siap pakai** dengan judul ide '", B243, "'.", CHAR(10),
"Konten ini memiliki pilar '", C243, "', nilai tambah utama '", F243, "', dan akan menggunakan storytelling framework '", G243, "'.", CHAR(10),
"Gambaran singkat ide kontennya adalah: '", J243, "'.", CHAR(10),
"Konten ini akan diunggah di platform '", E243, "' dengan format '", D243,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MAPPING'!C149, "'.** Sesuaikan dengan gaya komunikasi saya, dengan fokus pada nilai tambah '", F243,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MAPPING'!D162, ", khusus ", 'CONTENT PILLAR MAPPING'!D163, ") dan membantu mereka menyelesaikan masalah atau mencapai tujuan mereka.", CHAR(10),
"✔ Membantuku membangun personal branding yang kuat dan sustainable, sesuai dengan Positioning saya sebagai '", 'CONTENT PILLAR MAPPING'!C149, "' dan Brand Archetype '", 'CONTENT PILLAR MAPPING'!D154, "'.", CHAR(10),
"✔ Kemas dalam bentuk tabel agar rapi, mudah di baca dan dipahami, dengan kolom 'Judul Konten', 'Pilar', 'Format', 'Draft Script', 'CTA', 'Saran Visual', dan 'Full Caption'. (Kosongkan kolom Link Prompt jika ada)."
),
"")</f>
        <v/>
      </c>
      <c r="L243" s="91" t="n"/>
      <c r="M243" s="91" t="n"/>
      <c r="N243" s="102" t="n"/>
      <c r="O243" s="102" t="n"/>
      <c r="P243" s="102" t="n"/>
      <c r="Q243" s="102" t="n"/>
      <c r="R243" s="102" t="n"/>
      <c r="S243" s="102" t="n"/>
      <c r="T243" s="102" t="n"/>
      <c r="U243" s="102" t="n"/>
      <c r="V243" s="102" t="n"/>
      <c r="W243" s="102" t="n"/>
      <c r="X243" s="102" t="n"/>
      <c r="Y243" s="102" t="n"/>
      <c r="Z243" s="102" t="n"/>
      <c r="AA243" s="102" t="n"/>
      <c r="AB243" s="102" t="n"/>
      <c r="AC243" s="102" t="n"/>
      <c r="AD243" s="102" t="n"/>
    </row>
    <row r="244" ht="15.75" customHeight="1" s="205">
      <c r="A244" s="102" t="n"/>
      <c r="B244" s="147" t="n"/>
      <c r="C244" s="144" t="n"/>
      <c r="D244" s="144" t="n"/>
      <c r="E244" s="144" t="n"/>
      <c r="F244" s="144" t="n"/>
      <c r="G244" s="144" t="n"/>
      <c r="H244" s="141">
        <f>IF(K244&lt;&gt;"", HYPERLINK("https://chatgpt.com/?prompt=" &amp; SUBSTITUTE(SUBSTITUTE(K244, " ", "+"), "&amp;", "dan") &amp; "&amp;force-refresh=true&amp;timestamp=" &amp; TEXT(NOW(), "yyyymmddhhmmss"), "👉 Klik untuk Generate Script! 🔥"), "")</f>
        <v/>
      </c>
      <c r="I244" s="144" t="n"/>
      <c r="J244" s="148" t="n"/>
      <c r="K244" s="140">
        <f>IF(AND(B244&lt;&gt;"", C244&lt;&gt;"", D244&lt;&gt;"", E244&lt;&gt;"", F244&lt;&gt;"", G244&lt;&gt;"", J244&lt;&gt;"", 'CONTENT PILLAR MAPPING'!C146&lt;&gt;"", 'CONTENT PILLAR MAPPING'!E146&lt;&gt;"", 'CONTENT PILLAR MAPPING'!F146&lt;&gt;"", 'CONTENT PILLAR MAPPING'!C149&lt;&gt;"", 'CONTENT PILLAR MAPPING'!C154&lt;&gt;"", 'CONTENT PILLAR MAPPING'!D154&lt;&gt;"", 'CONTENT PILLAR MAPPING'!E154&lt;&gt;"", 'CONTENT PILLAR MAPPING'!D162&lt;&gt;"", 'CONTENT PILLAR MAPPING'!D163&lt;&gt;""),
CONCATENATE(
"Sebagai seorang top konten kreator dengan niche utama '", 'CONTENT PILLAR MAPPING'!C146, "', spesifik kategori '", 'CONTENT PILLAR MAPPING'!E146, "', dan super spesifik '", 'CONTENT PILLAR MAPPING'!F146, "', yang dikenal sebagai '", 'CONTENT PILLAR MAPPING'!C149, "'.", CHAR(10),
"Saya memiliki Tone of Voice: '", 'CONTENT PILLAR MAPPING'!C154, "', Brand Archetype: '", 'CONTENT PILLAR MAPPING'!D154, "', dan Deskripsi Gaya Komunikasi: '", 'CONTENT PILLAR MAPPING'!E154, "'.", CHAR(10),
"Target audiens saya adalah: '", 'CONTENT PILLAR MAPPING'!D162, "', dengan segmentasi audiens: '", 'CONTENT PILLAR MAPPING'!D163, "'.", CHAR(10), CHAR(10),
"Mohon buatkan script konten yang **sangat powerful, menarik, inovatif, dan siap pakai** dengan judul ide '", B244, "'.", CHAR(10),
"Konten ini memiliki pilar '", C244, "', nilai tambah utama '", F244, "', dan akan menggunakan storytelling framework '", G244, "'.", CHAR(10),
"Gambaran singkat ide kontennya adalah: '", J244, "'.", CHAR(10),
"Konten ini akan diunggah di platform '", E244, "' dengan format '", D244,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MAPPING'!C149, "'.** Sesuaikan dengan gaya komunikasi saya, dengan fokus pada nilai tambah '", F244,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MAPPING'!D162, ", khusus ", 'CONTENT PILLAR MAPPING'!D163, ") dan membantu mereka menyelesaikan masalah atau mencapai tujuan mereka.", CHAR(10),
"✔ Membantuku membangun personal branding yang kuat dan sustainable, sesuai dengan Positioning saya sebagai '", 'CONTENT PILLAR MAPPING'!C149, "' dan Brand Archetype '", 'CONTENT PILLAR MAPPING'!D154, "'.", CHAR(10),
"✔ Kemas dalam bentuk tabel agar rapi, mudah di baca dan dipahami, dengan kolom 'Judul Konten', 'Pilar', 'Format', 'Draft Script', 'CTA', 'Saran Visual', dan 'Full Caption'. (Kosongkan kolom Link Prompt jika ada)."
),
"")</f>
        <v/>
      </c>
      <c r="L244" s="199" t="n"/>
      <c r="M244" s="199" t="n"/>
      <c r="N244" s="102" t="n"/>
      <c r="O244" s="102" t="n"/>
      <c r="P244" s="102" t="n"/>
      <c r="Q244" s="102" t="n"/>
      <c r="R244" s="102" t="n"/>
      <c r="S244" s="102" t="n"/>
      <c r="T244" s="102" t="n"/>
      <c r="U244" s="102" t="n"/>
      <c r="V244" s="102" t="n"/>
      <c r="W244" s="102" t="n"/>
      <c r="X244" s="102" t="n"/>
      <c r="Y244" s="102" t="n"/>
      <c r="Z244" s="102" t="n"/>
      <c r="AA244" s="102" t="n"/>
      <c r="AB244" s="102" t="n"/>
      <c r="AC244" s="102" t="n"/>
      <c r="AD244" s="102" t="n"/>
    </row>
    <row r="245" ht="15.75" customHeight="1" s="205">
      <c r="A245" s="102" t="n"/>
      <c r="B245" s="142" t="n"/>
      <c r="C245" s="143" t="n"/>
      <c r="D245" s="143" t="n"/>
      <c r="E245" s="143" t="n"/>
      <c r="F245" s="143" t="n"/>
      <c r="G245" s="144" t="n"/>
      <c r="H245" s="145">
        <f>IF(K245&lt;&gt;"", HYPERLINK("https://chatgpt.com/?prompt=" &amp; SUBSTITUTE(SUBSTITUTE(K245, " ", "+"), "&amp;", "dan") &amp; "&amp;force-refresh=true&amp;timestamp=" &amp; TEXT(NOW(), "yyyymmddhhmmss"), "👉 Klik untuk Generate Script! 🔥"), "")</f>
        <v/>
      </c>
      <c r="I245" s="143" t="n"/>
      <c r="J245" s="146" t="n"/>
      <c r="K245" s="130">
        <f>IF(AND(B245&lt;&gt;"", C245&lt;&gt;"", D245&lt;&gt;"", E245&lt;&gt;"", F245&lt;&gt;"", G245&lt;&gt;"", J245&lt;&gt;"", 'CONTENT PILLAR MAPPING'!C148&lt;&gt;"", 'CONTENT PILLAR MAPPING'!E148&lt;&gt;"", 'CONTENT PILLAR MAPPING'!F148&lt;&gt;"", 'CONTENT PILLAR MAPPING'!C151&lt;&gt;"", 'CONTENT PILLAR MAPPING'!C156&lt;&gt;"", 'CONTENT PILLAR MAPPING'!D156&lt;&gt;"", 'CONTENT PILLAR MAPPING'!E156&lt;&gt;"", 'CONTENT PILLAR MAPPING'!D164&lt;&gt;"", 'CONTENT PILLAR MAPPING'!D165&lt;&gt;""),
CONCATENATE(
"Sebagai seorang top konten kreator dengan niche utama '", 'CONTENT PILLAR MAPPING'!C148, "', spesifik kategori '", 'CONTENT PILLAR MAPPING'!E148, "', dan super spesifik '", 'CONTENT PILLAR MAPPING'!F148, "', yang dikenal sebagai '", 'CONTENT PILLAR MAPPING'!C151, "'.", CHAR(10),
"Saya memiliki Tone of Voice: '", 'CONTENT PILLAR MAPPING'!C156, "', Brand Archetype: '", 'CONTENT PILLAR MAPPING'!D156, "', dan Deskripsi Gaya Komunikasi: '", 'CONTENT PILLAR MAPPING'!E156, "'.", CHAR(10),
"Target audiens saya adalah: '", 'CONTENT PILLAR MAPPING'!D164, "', dengan segmentasi audiens: '", 'CONTENT PILLAR MAPPING'!D165, "'.", CHAR(10), CHAR(10),
"Mohon buatkan script konten yang **sangat powerful, menarik, inovatif, dan siap pakai** dengan judul ide '", B245, "'.", CHAR(10),
"Konten ini memiliki pilar '", C245, "', nilai tambah utama '", F245, "', dan akan menggunakan storytelling framework '", G245, "'.", CHAR(10),
"Gambaran singkat ide kontennya adalah: '", J245, "'.", CHAR(10),
"Konten ini akan diunggah di platform '", E245, "' dengan format '", D245,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MAPPING'!C151, "'.** Sesuaikan dengan gaya komunikasi saya, dengan fokus pada nilai tambah '", F245,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MAPPING'!D164, ", khusus ", 'CONTENT PILLAR MAPPING'!D165, ") dan membantu mereka menyelesaikan masalah atau mencapai tujuan mereka.", CHAR(10),
"✔ Membantuku membangun personal branding yang kuat dan sustainable, sesuai dengan Positioning saya sebagai '", 'CONTENT PILLAR MAPPING'!C151, "' dan Brand Archetype '", 'CONTENT PILLAR MAPPING'!D156, "'.", CHAR(10),
"✔ Kemas dalam bentuk tabel agar rapi, mudah di baca dan dipahami, dengan kolom 'Judul Konten', 'Pilar', 'Format', 'Draft Script', 'CTA', 'Saran Visual', dan 'Full Caption'. (Kosongkan kolom Link Prompt jika ada)."
),
"")</f>
        <v/>
      </c>
      <c r="L245" s="91" t="n"/>
      <c r="M245" s="91" t="n"/>
      <c r="N245" s="102" t="n"/>
      <c r="O245" s="102" t="n"/>
      <c r="P245" s="102" t="n"/>
      <c r="Q245" s="102" t="n"/>
      <c r="R245" s="102" t="n"/>
      <c r="S245" s="102" t="n"/>
      <c r="T245" s="102" t="n"/>
      <c r="U245" s="102" t="n"/>
      <c r="V245" s="102" t="n"/>
      <c r="W245" s="102" t="n"/>
      <c r="X245" s="102" t="n"/>
      <c r="Y245" s="102" t="n"/>
      <c r="Z245" s="102" t="n"/>
      <c r="AA245" s="102" t="n"/>
      <c r="AB245" s="102" t="n"/>
      <c r="AC245" s="102" t="n"/>
      <c r="AD245" s="102" t="n"/>
    </row>
    <row r="246" ht="15.75" customHeight="1" s="205">
      <c r="A246" s="102" t="n"/>
      <c r="B246" s="147" t="n"/>
      <c r="C246" s="144" t="n"/>
      <c r="D246" s="144" t="n"/>
      <c r="E246" s="144" t="n"/>
      <c r="F246" s="144" t="n"/>
      <c r="G246" s="144" t="n"/>
      <c r="H246" s="141">
        <f>IF(K246&lt;&gt;"", HYPERLINK("https://chatgpt.com/?prompt=" &amp; SUBSTITUTE(SUBSTITUTE(K246, " ", "+"), "&amp;", "dan") &amp; "&amp;force-refresh=true&amp;timestamp=" &amp; TEXT(NOW(), "yyyymmddhhmmss"), "👉 Klik untuk Generate Script! 🔥"), "")</f>
        <v/>
      </c>
      <c r="I246" s="144" t="n"/>
      <c r="J246" s="148" t="n"/>
      <c r="K246" s="140">
        <f>IF(AND(B246&lt;&gt;"", C246&lt;&gt;"", D246&lt;&gt;"", E246&lt;&gt;"", F246&lt;&gt;"", G246&lt;&gt;"", J246&lt;&gt;"", 'CONTENT PILLAR MAPPING'!C148&lt;&gt;"", 'CONTENT PILLAR MAPPING'!E148&lt;&gt;"", 'CONTENT PILLAR MAPPING'!F148&lt;&gt;"", 'CONTENT PILLAR MAPPING'!C151&lt;&gt;"", 'CONTENT PILLAR MAPPING'!C156&lt;&gt;"", 'CONTENT PILLAR MAPPING'!D156&lt;&gt;"", 'CONTENT PILLAR MAPPING'!E156&lt;&gt;"", 'CONTENT PILLAR MAPPING'!D164&lt;&gt;"", 'CONTENT PILLAR MAPPING'!D165&lt;&gt;""),
CONCATENATE(
"Sebagai seorang top konten kreator dengan niche utama '", 'CONTENT PILLAR MAPPING'!C148, "', spesifik kategori '", 'CONTENT PILLAR MAPPING'!E148, "', dan super spesifik '", 'CONTENT PILLAR MAPPING'!F148, "', yang dikenal sebagai '", 'CONTENT PILLAR MAPPING'!C151, "'.", CHAR(10),
"Saya memiliki Tone of Voice: '", 'CONTENT PILLAR MAPPING'!C156, "', Brand Archetype: '", 'CONTENT PILLAR MAPPING'!D156, "', dan Deskripsi Gaya Komunikasi: '", 'CONTENT PILLAR MAPPING'!E156, "'.", CHAR(10),
"Target audiens saya adalah: '", 'CONTENT PILLAR MAPPING'!D164, "', dengan segmentasi audiens: '", 'CONTENT PILLAR MAPPING'!D165, "'.", CHAR(10), CHAR(10),
"Mohon buatkan script konten yang **sangat powerful, menarik, inovatif, dan siap pakai** dengan judul ide '", B246, "'.", CHAR(10),
"Konten ini memiliki pilar '", C246, "', nilai tambah utama '", F246, "', dan akan menggunakan storytelling framework '", G246, "'.", CHAR(10),
"Gambaran singkat ide kontennya adalah: '", J246, "'.", CHAR(10),
"Konten ini akan diunggah di platform '", E246, "' dengan format '", D246,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MAPPING'!C151, "'.** Sesuaikan dengan gaya komunikasi saya, dengan fokus pada nilai tambah '", F246,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MAPPING'!D164, ", khusus ", 'CONTENT PILLAR MAPPING'!D165, ") dan membantu mereka menyelesaikan masalah atau mencapai tujuan mereka.", CHAR(10),
"✔ Membantuku membangun personal branding yang kuat dan sustainable, sesuai dengan Positioning saya sebagai '", 'CONTENT PILLAR MAPPING'!C151, "' dan Brand Archetype '", 'CONTENT PILLAR MAPPING'!D156, "'.", CHAR(10),
"✔ Kemas dalam bentuk tabel agar rapi, mudah di baca dan dipahami, dengan kolom 'Judul Konten', 'Pilar', 'Format', 'Draft Script', 'CTA', 'Saran Visual', dan 'Full Caption'. (Kosongkan kolom Link Prompt jika ada)."
),
"")</f>
        <v/>
      </c>
      <c r="L246" s="199" t="n"/>
      <c r="M246" s="199" t="n"/>
      <c r="N246" s="102" t="n"/>
      <c r="O246" s="102" t="n"/>
      <c r="P246" s="102" t="n"/>
      <c r="Q246" s="102" t="n"/>
      <c r="R246" s="102" t="n"/>
      <c r="S246" s="102" t="n"/>
      <c r="T246" s="102" t="n"/>
      <c r="U246" s="102" t="n"/>
      <c r="V246" s="102" t="n"/>
      <c r="W246" s="102" t="n"/>
      <c r="X246" s="102" t="n"/>
      <c r="Y246" s="102" t="n"/>
      <c r="Z246" s="102" t="n"/>
      <c r="AA246" s="102" t="n"/>
      <c r="AB246" s="102" t="n"/>
      <c r="AC246" s="102" t="n"/>
      <c r="AD246" s="102" t="n"/>
    </row>
    <row r="247" ht="15.75" customHeight="1" s="205">
      <c r="A247" s="102" t="n"/>
      <c r="B247" s="142" t="n"/>
      <c r="C247" s="143" t="n"/>
      <c r="D247" s="143" t="n"/>
      <c r="E247" s="143" t="n"/>
      <c r="F247" s="143" t="n"/>
      <c r="G247" s="144" t="n"/>
      <c r="H247" s="145">
        <f>IF(K247&lt;&gt;"", HYPERLINK("https://chatgpt.com/?prompt=" &amp; SUBSTITUTE(SUBSTITUTE(K247, " ", "+"), "&amp;", "dan") &amp; "&amp;force-refresh=true&amp;timestamp=" &amp; TEXT(NOW(), "yyyymmddhhmmss"), "👉 Klik untuk Generate Script! 🔥"), "")</f>
        <v/>
      </c>
      <c r="I247" s="143" t="n"/>
      <c r="J247" s="146" t="n"/>
      <c r="K247" s="130">
        <f>IF(AND(B247&lt;&gt;"", C247&lt;&gt;"", D247&lt;&gt;"", E247&lt;&gt;"", F247&lt;&gt;"", G247&lt;&gt;"", J247&lt;&gt;"", 'CONTENT PILLAR MAPPING'!C150&lt;&gt;"", 'CONTENT PILLAR MAPPING'!E150&lt;&gt;"", 'CONTENT PILLAR MAPPING'!F150&lt;&gt;"", 'CONTENT PILLAR MAPPING'!C153&lt;&gt;"", 'CONTENT PILLAR MAPPING'!C158&lt;&gt;"", 'CONTENT PILLAR MAPPING'!D158&lt;&gt;"", 'CONTENT PILLAR MAPPING'!E158&lt;&gt;"", 'CONTENT PILLAR MAPPING'!D166&lt;&gt;"", 'CONTENT PILLAR MAPPING'!D167&lt;&gt;""),
CONCATENATE(
"Sebagai seorang top konten kreator dengan niche utama '", 'CONTENT PILLAR MAPPING'!C150, "', spesifik kategori '", 'CONTENT PILLAR MAPPING'!E150, "', dan super spesifik '", 'CONTENT PILLAR MAPPING'!F150, "', yang dikenal sebagai '", 'CONTENT PILLAR MAPPING'!C153, "'.", CHAR(10),
"Saya memiliki Tone of Voice: '", 'CONTENT PILLAR MAPPING'!C158, "', Brand Archetype: '", 'CONTENT PILLAR MAPPING'!D158, "', dan Deskripsi Gaya Komunikasi: '", 'CONTENT PILLAR MAPPING'!E158, "'.", CHAR(10),
"Target audiens saya adalah: '", 'CONTENT PILLAR MAPPING'!D166, "', dengan segmentasi audiens: '", 'CONTENT PILLAR MAPPING'!D167, "'.", CHAR(10), CHAR(10),
"Mohon buatkan script konten yang **sangat powerful, menarik, inovatif, dan siap pakai** dengan judul ide '", B247, "'.", CHAR(10),
"Konten ini memiliki pilar '", C247, "', nilai tambah utama '", F247, "', dan akan menggunakan storytelling framework '", G247, "'.", CHAR(10),
"Gambaran singkat ide kontennya adalah: '", J247, "'.", CHAR(10),
"Konten ini akan diunggah di platform '", E247, "' dengan format '", D247,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MAPPING'!C153, "'.** Sesuaikan dengan gaya komunikasi saya, dengan fokus pada nilai tambah '", F247,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MAPPING'!D166, ", khusus ", 'CONTENT PILLAR MAPPING'!D167, ") dan membantu mereka menyelesaikan masalah atau mencapai tujuan mereka.", CHAR(10),
"✔ Membantuku membangun personal branding yang kuat dan sustainable, sesuai dengan Positioning saya sebagai '", 'CONTENT PILLAR MAPPING'!C153, "' dan Brand Archetype '", 'CONTENT PILLAR MAPPING'!D158, "'.", CHAR(10),
"✔ Kemas dalam bentuk tabel agar rapi, mudah di baca dan dipahami, dengan kolom 'Judul Konten', 'Pilar', 'Format', 'Draft Script', 'CTA', 'Saran Visual', dan 'Full Caption'. (Kosongkan kolom Link Prompt jika ada)."
),
"")</f>
        <v/>
      </c>
      <c r="L247" s="91" t="n"/>
      <c r="M247" s="91" t="n"/>
      <c r="N247" s="102" t="n"/>
      <c r="O247" s="102" t="n"/>
      <c r="P247" s="102" t="n"/>
      <c r="Q247" s="102" t="n"/>
      <c r="R247" s="102" t="n"/>
      <c r="S247" s="102" t="n"/>
      <c r="T247" s="102" t="n"/>
      <c r="U247" s="102" t="n"/>
      <c r="V247" s="102" t="n"/>
      <c r="W247" s="102" t="n"/>
      <c r="X247" s="102" t="n"/>
      <c r="Y247" s="102" t="n"/>
      <c r="Z247" s="102" t="n"/>
      <c r="AA247" s="102" t="n"/>
      <c r="AB247" s="102" t="n"/>
      <c r="AC247" s="102" t="n"/>
      <c r="AD247" s="102" t="n"/>
    </row>
    <row r="248" ht="15.75" customHeight="1" s="205">
      <c r="A248" s="102" t="n"/>
      <c r="B248" s="147" t="n"/>
      <c r="C248" s="144" t="n"/>
      <c r="D248" s="144" t="n"/>
      <c r="E248" s="144" t="n"/>
      <c r="F248" s="144" t="n"/>
      <c r="G248" s="144" t="n"/>
      <c r="H248" s="141">
        <f>IF(K248&lt;&gt;"", HYPERLINK("https://chatgpt.com/?prompt=" &amp; SUBSTITUTE(SUBSTITUTE(K248, " ", "+"), "&amp;", "dan") &amp; "&amp;force-refresh=true&amp;timestamp=" &amp; TEXT(NOW(), "yyyymmddhhmmss"), "👉 Klik untuk Generate Script! 🔥"), "")</f>
        <v/>
      </c>
      <c r="I248" s="144" t="n"/>
      <c r="J248" s="148" t="n"/>
      <c r="K248" s="140">
        <f>IF(AND(B248&lt;&gt;"", C248&lt;&gt;"", D248&lt;&gt;"", E248&lt;&gt;"", F248&lt;&gt;"", G248&lt;&gt;"", J248&lt;&gt;"", 'CONTENT PILLAR MAPPING'!C150&lt;&gt;"", 'CONTENT PILLAR MAPPING'!E150&lt;&gt;"", 'CONTENT PILLAR MAPPING'!F150&lt;&gt;"", 'CONTENT PILLAR MAPPING'!C153&lt;&gt;"", 'CONTENT PILLAR MAPPING'!C158&lt;&gt;"", 'CONTENT PILLAR MAPPING'!D158&lt;&gt;"", 'CONTENT PILLAR MAPPING'!E158&lt;&gt;"", 'CONTENT PILLAR MAPPING'!D166&lt;&gt;"", 'CONTENT PILLAR MAPPING'!D167&lt;&gt;""),
CONCATENATE(
"Sebagai seorang top konten kreator dengan niche utama '", 'CONTENT PILLAR MAPPING'!C150, "', spesifik kategori '", 'CONTENT PILLAR MAPPING'!E150, "', dan super spesifik '", 'CONTENT PILLAR MAPPING'!F150, "', yang dikenal sebagai '", 'CONTENT PILLAR MAPPING'!C153, "'.", CHAR(10),
"Saya memiliki Tone of Voice: '", 'CONTENT PILLAR MAPPING'!C158, "', Brand Archetype: '", 'CONTENT PILLAR MAPPING'!D158, "', dan Deskripsi Gaya Komunikasi: '", 'CONTENT PILLAR MAPPING'!E158, "'.", CHAR(10),
"Target audiens saya adalah: '", 'CONTENT PILLAR MAPPING'!D166, "', dengan segmentasi audiens: '", 'CONTENT PILLAR MAPPING'!D167, "'.", CHAR(10), CHAR(10),
"Mohon buatkan script konten yang **sangat powerful, menarik, inovatif, dan siap pakai** dengan judul ide '", B248, "'.", CHAR(10),
"Konten ini memiliki pilar '", C248, "', nilai tambah utama '", F248, "', dan akan menggunakan storytelling framework '", G248, "'.", CHAR(10),
"Gambaran singkat ide kontennya adalah: '", J248, "'.", CHAR(10),
"Konten ini akan diunggah di platform '", E248, "' dengan format '", D248,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MAPPING'!C153, "'.** Sesuaikan dengan gaya komunikasi saya, dengan fokus pada nilai tambah '", F248,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MAPPING'!D166, ", khusus ", 'CONTENT PILLAR MAPPING'!D167, ") dan membantu mereka menyelesaikan masalah atau mencapai tujuan mereka.", CHAR(10),
"✔ Membantuku membangun personal branding yang kuat dan sustainable, sesuai dengan Positioning saya sebagai '", 'CONTENT PILLAR MAPPING'!C153, "' dan Brand Archetype '", 'CONTENT PILLAR MAPPING'!D158, "'.", CHAR(10),
"✔ Kemas dalam bentuk tabel agar rapi, mudah di baca dan dipahami, dengan kolom 'Judul Konten', 'Pilar', 'Format', 'Draft Script', 'CTA', 'Saran Visual', dan 'Full Caption'. (Kosongkan kolom Link Prompt jika ada)."
),
"")</f>
        <v/>
      </c>
      <c r="L248" s="199" t="n"/>
      <c r="M248" s="199" t="n"/>
      <c r="N248" s="102" t="n"/>
      <c r="O248" s="102" t="n"/>
      <c r="P248" s="102" t="n"/>
      <c r="Q248" s="102" t="n"/>
      <c r="R248" s="102" t="n"/>
      <c r="S248" s="102" t="n"/>
      <c r="T248" s="102" t="n"/>
      <c r="U248" s="102" t="n"/>
      <c r="V248" s="102" t="n"/>
      <c r="W248" s="102" t="n"/>
      <c r="X248" s="102" t="n"/>
      <c r="Y248" s="102" t="n"/>
      <c r="Z248" s="102" t="n"/>
      <c r="AA248" s="102" t="n"/>
      <c r="AB248" s="102" t="n"/>
      <c r="AC248" s="102" t="n"/>
      <c r="AD248" s="102" t="n"/>
    </row>
    <row r="249" ht="15.75" customHeight="1" s="205">
      <c r="A249" s="102" t="n"/>
      <c r="B249" s="142" t="n"/>
      <c r="C249" s="143" t="n"/>
      <c r="D249" s="143" t="n"/>
      <c r="E249" s="143" t="n"/>
      <c r="F249" s="143" t="n"/>
      <c r="G249" s="144" t="n"/>
      <c r="H249" s="145">
        <f>IF(K249&lt;&gt;"", HYPERLINK("https://chatgpt.com/?prompt=" &amp; SUBSTITUTE(SUBSTITUTE(K249, " ", "+"), "&amp;", "dan") &amp; "&amp;force-refresh=true&amp;timestamp=" &amp; TEXT(NOW(), "yyyymmddhhmmss"), "👉 Klik untuk Generate Script! 🔥"), "")</f>
        <v/>
      </c>
      <c r="I249" s="143" t="n"/>
      <c r="J249" s="146" t="n"/>
      <c r="K249" s="130">
        <f>IF(AND(B249&lt;&gt;"", C249&lt;&gt;"", D249&lt;&gt;"", E249&lt;&gt;"", F249&lt;&gt;"", G249&lt;&gt;"", J249&lt;&gt;"", 'CONTENT PILLAR MAPPING'!C152&lt;&gt;"", 'CONTENT PILLAR MAPPING'!E152&lt;&gt;"", 'CONTENT PILLAR MAPPING'!F152&lt;&gt;"", 'CONTENT PILLAR MAPPING'!C155&lt;&gt;"", 'CONTENT PILLAR MAPPING'!C160&lt;&gt;"", 'CONTENT PILLAR MAPPING'!D160&lt;&gt;"", 'CONTENT PILLAR MAPPING'!E160&lt;&gt;"", 'CONTENT PILLAR MAPPING'!D168&lt;&gt;"", 'CONTENT PILLAR MAPPING'!D169&lt;&gt;""),
CONCATENATE(
"Sebagai seorang top konten kreator dengan niche utama '", 'CONTENT PILLAR MAPPING'!C152, "', spesifik kategori '", 'CONTENT PILLAR MAPPING'!E152, "', dan super spesifik '", 'CONTENT PILLAR MAPPING'!F152, "', yang dikenal sebagai '", 'CONTENT PILLAR MAPPING'!C155, "'.", CHAR(10),
"Saya memiliki Tone of Voice: '", 'CONTENT PILLAR MAPPING'!C160, "', Brand Archetype: '", 'CONTENT PILLAR MAPPING'!D160, "', dan Deskripsi Gaya Komunikasi: '", 'CONTENT PILLAR MAPPING'!E160, "'.", CHAR(10),
"Target audiens saya adalah: '", 'CONTENT PILLAR MAPPING'!D168, "', dengan segmentasi audiens: '", 'CONTENT PILLAR MAPPING'!D169, "'.", CHAR(10), CHAR(10),
"Mohon buatkan script konten yang **sangat powerful, menarik, inovatif, dan siap pakai** dengan judul ide '", B249, "'.", CHAR(10),
"Konten ini memiliki pilar '", C249, "', nilai tambah utama '", F249, "', dan akan menggunakan storytelling framework '", G249, "'.", CHAR(10),
"Gambaran singkat ide kontennya adalah: '", J249, "'.", CHAR(10),
"Konten ini akan diunggah di platform '", E249, "' dengan format '", D249,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MAPPING'!C155, "'.** Sesuaikan dengan gaya komunikasi saya, dengan fokus pada nilai tambah '", F249,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MAPPING'!D168, ", khusus ", 'CONTENT PILLAR MAPPING'!D169, ") dan membantu mereka menyelesaikan masalah atau mencapai tujuan mereka.", CHAR(10),
"✔ Membantuku membangun personal branding yang kuat dan sustainable, sesuai dengan Positioning saya sebagai '", 'CONTENT PILLAR MAPPING'!C155, "' dan Brand Archetype '", 'CONTENT PILLAR MAPPING'!D160, "'.", CHAR(10),
"✔ Kemas dalam bentuk tabel agar rapi, mudah di baca dan dipahami, dengan kolom 'Judul Konten', 'Pilar', 'Format', 'Draft Script', 'CTA', 'Saran Visual', dan 'Full Caption'. (Kosongkan kolom Link Prompt jika ada)."
),
"")</f>
        <v/>
      </c>
      <c r="L249" s="91" t="n"/>
      <c r="M249" s="91" t="n"/>
      <c r="N249" s="102" t="n"/>
      <c r="O249" s="102" t="n"/>
      <c r="P249" s="102" t="n"/>
      <c r="Q249" s="102" t="n"/>
      <c r="R249" s="102" t="n"/>
      <c r="S249" s="102" t="n"/>
      <c r="T249" s="102" t="n"/>
      <c r="U249" s="102" t="n"/>
      <c r="V249" s="102" t="n"/>
      <c r="W249" s="102" t="n"/>
      <c r="X249" s="102" t="n"/>
      <c r="Y249" s="102" t="n"/>
      <c r="Z249" s="102" t="n"/>
      <c r="AA249" s="102" t="n"/>
      <c r="AB249" s="102" t="n"/>
      <c r="AC249" s="102" t="n"/>
      <c r="AD249" s="102" t="n"/>
    </row>
    <row r="250" ht="15.75" customHeight="1" s="205">
      <c r="A250" s="102" t="n"/>
      <c r="B250" s="147" t="n"/>
      <c r="C250" s="144" t="n"/>
      <c r="D250" s="144" t="n"/>
      <c r="E250" s="144" t="n"/>
      <c r="F250" s="144" t="n"/>
      <c r="G250" s="144" t="n"/>
      <c r="H250" s="141">
        <f>IF(K250&lt;&gt;"", HYPERLINK("https://chatgpt.com/?prompt=" &amp; SUBSTITUTE(SUBSTITUTE(K250, " ", "+"), "&amp;", "dan") &amp; "&amp;force-refresh=true&amp;timestamp=" &amp; TEXT(NOW(), "yyyymmddhhmmss"), "👉 Klik untuk Generate Script! 🔥"), "")</f>
        <v/>
      </c>
      <c r="I250" s="144" t="n"/>
      <c r="J250" s="148" t="n"/>
      <c r="K250" s="140">
        <f>IF(AND(B250&lt;&gt;"", C250&lt;&gt;"", D250&lt;&gt;"", E250&lt;&gt;"", F250&lt;&gt;"", G250&lt;&gt;"", J250&lt;&gt;"", 'CONTENT PILLAR MAPPING'!C152&lt;&gt;"", 'CONTENT PILLAR MAPPING'!E152&lt;&gt;"", 'CONTENT PILLAR MAPPING'!F152&lt;&gt;"", 'CONTENT PILLAR MAPPING'!C155&lt;&gt;"", 'CONTENT PILLAR MAPPING'!C160&lt;&gt;"", 'CONTENT PILLAR MAPPING'!D160&lt;&gt;"", 'CONTENT PILLAR MAPPING'!E160&lt;&gt;"", 'CONTENT PILLAR MAPPING'!D168&lt;&gt;"", 'CONTENT PILLAR MAPPING'!D169&lt;&gt;""),
CONCATENATE(
"Sebagai seorang top konten kreator dengan niche utama '", 'CONTENT PILLAR MAPPING'!C152, "', spesifik kategori '", 'CONTENT PILLAR MAPPING'!E152, "', dan super spesifik '", 'CONTENT PILLAR MAPPING'!F152, "', yang dikenal sebagai '", 'CONTENT PILLAR MAPPING'!C155, "'.", CHAR(10),
"Saya memiliki Tone of Voice: '", 'CONTENT PILLAR MAPPING'!C160, "', Brand Archetype: '", 'CONTENT PILLAR MAPPING'!D160, "', dan Deskripsi Gaya Komunikasi: '", 'CONTENT PILLAR MAPPING'!E160, "'.", CHAR(10),
"Target audiens saya adalah: '", 'CONTENT PILLAR MAPPING'!D168, "', dengan segmentasi audiens: '", 'CONTENT PILLAR MAPPING'!D169, "'.", CHAR(10), CHAR(10),
"Mohon buatkan script konten yang **sangat powerful, menarik, inovatif, dan siap pakai** dengan judul ide '", B250, "'.", CHAR(10),
"Konten ini memiliki pilar '", C250, "', nilai tambah utama '", F250, "', dan akan menggunakan storytelling framework '", G250, "'.", CHAR(10),
"Gambaran singkat ide kontennya adalah: '", J250, "'.", CHAR(10),
"Konten ini akan diunggah di platform '", E250, "' dengan format '", D250,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MAPPING'!C155, "'.** Sesuaikan dengan gaya komunikasi saya, dengan fokus pada nilai tambah '", F250,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MAPPING'!D168, ", khusus ", 'CONTENT PILLAR MAPPING'!D169, ") dan membantu mereka menyelesaikan masalah atau mencapai tujuan mereka.", CHAR(10),
"✔ Membantuku membangun personal branding yang kuat dan sustainable, sesuai dengan Positioning saya sebagai '", 'CONTENT PILLAR MAPPING'!C155, "' dan Brand Archetype '", 'CONTENT PILLAR MAPPING'!D160, "'.", CHAR(10),
"✔ Kemas dalam bentuk tabel agar rapi, mudah di baca dan dipahami, dengan kolom 'Judul Konten', 'Pilar', 'Format', 'Draft Script', 'CTA', 'Saran Visual', dan 'Full Caption'. (Kosongkan kolom Link Prompt jika ada)."
),
"")</f>
        <v/>
      </c>
      <c r="L250" s="199" t="n"/>
      <c r="M250" s="199" t="n"/>
      <c r="N250" s="102" t="n"/>
      <c r="O250" s="102" t="n"/>
      <c r="P250" s="102" t="n"/>
      <c r="Q250" s="102" t="n"/>
      <c r="R250" s="102" t="n"/>
      <c r="S250" s="102" t="n"/>
      <c r="T250" s="102" t="n"/>
      <c r="U250" s="102" t="n"/>
      <c r="V250" s="102" t="n"/>
      <c r="W250" s="102" t="n"/>
      <c r="X250" s="102" t="n"/>
      <c r="Y250" s="102" t="n"/>
      <c r="Z250" s="102" t="n"/>
      <c r="AA250" s="102" t="n"/>
      <c r="AB250" s="102" t="n"/>
      <c r="AC250" s="102" t="n"/>
      <c r="AD250" s="102" t="n"/>
    </row>
    <row r="251" ht="15.75" customHeight="1" s="205">
      <c r="A251" s="102" t="n"/>
      <c r="B251" s="142" t="n"/>
      <c r="C251" s="143" t="n"/>
      <c r="D251" s="143" t="n"/>
      <c r="E251" s="143" t="n"/>
      <c r="F251" s="143" t="n"/>
      <c r="G251" s="144" t="n"/>
      <c r="H251" s="145">
        <f>IF(K251&lt;&gt;"", HYPERLINK("https://chatgpt.com/?prompt=" &amp; SUBSTITUTE(SUBSTITUTE(K251, " ", "+"), "&amp;", "dan") &amp; "&amp;force-refresh=true&amp;timestamp=" &amp; TEXT(NOW(), "yyyymmddhhmmss"), "👉 Klik untuk Generate Script! 🔥"), "")</f>
        <v/>
      </c>
      <c r="I251" s="143" t="n"/>
      <c r="J251" s="146" t="n"/>
      <c r="K251" s="130">
        <f>IF(AND(B251&lt;&gt;"", C251&lt;&gt;"", D251&lt;&gt;"", E251&lt;&gt;"", F251&lt;&gt;"", G251&lt;&gt;"", J251&lt;&gt;"", 'CONTENT PILLAR MAPPING'!C154&lt;&gt;"", 'CONTENT PILLAR MAPPING'!E154&lt;&gt;"", 'CONTENT PILLAR MAPPING'!F154&lt;&gt;"", 'CONTENT PILLAR MAPPING'!C157&lt;&gt;"", 'CONTENT PILLAR MAPPING'!C162&lt;&gt;"", 'CONTENT PILLAR MAPPING'!D162&lt;&gt;"", 'CONTENT PILLAR MAPPING'!E162&lt;&gt;"", 'CONTENT PILLAR MAPPING'!D170&lt;&gt;"", 'CONTENT PILLAR MAPPING'!D171&lt;&gt;""),
CONCATENATE(
"Sebagai seorang top konten kreator dengan niche utama '", 'CONTENT PILLAR MAPPING'!C154, "', spesifik kategori '", 'CONTENT PILLAR MAPPING'!E154, "', dan super spesifik '", 'CONTENT PILLAR MAPPING'!F154, "', yang dikenal sebagai '", 'CONTENT PILLAR MAPPING'!C157, "'.", CHAR(10),
"Saya memiliki Tone of Voice: '", 'CONTENT PILLAR MAPPING'!C162, "', Brand Archetype: '", 'CONTENT PILLAR MAPPING'!D162, "', dan Deskripsi Gaya Komunikasi: '", 'CONTENT PILLAR MAPPING'!E162, "'.", CHAR(10),
"Target audiens saya adalah: '", 'CONTENT PILLAR MAPPING'!D170, "', dengan segmentasi audiens: '", 'CONTENT PILLAR MAPPING'!D171, "'.", CHAR(10), CHAR(10),
"Mohon buatkan script konten yang **sangat powerful, menarik, inovatif, dan siap pakai** dengan judul ide '", B251, "'.", CHAR(10),
"Konten ini memiliki pilar '", C251, "', nilai tambah utama '", F251, "', dan akan menggunakan storytelling framework '", G251, "'.", CHAR(10),
"Gambaran singkat ide kontennya adalah: '", J251, "'.", CHAR(10),
"Konten ini akan diunggah di platform '", E251, "' dengan format '", D251,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MAPPING'!C157, "'.** Sesuaikan dengan gaya komunikasi saya, dengan fokus pada nilai tambah '", F251,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MAPPING'!D170, ", khusus ", 'CONTENT PILLAR MAPPING'!D171, ") dan membantu mereka menyelesaikan masalah atau mencapai tujuan mereka.", CHAR(10),
"✔ Membantuku membangun personal branding yang kuat dan sustainable, sesuai dengan Positioning saya sebagai '", 'CONTENT PILLAR MAPPING'!C157, "' dan Brand Archetype '", 'CONTENT PILLAR MAPPING'!D162, "'.", CHAR(10),
"✔ Kemas dalam bentuk tabel agar rapi, mudah di baca dan dipahami, dengan kolom 'Judul Konten', 'Pilar', 'Format', 'Draft Script', 'CTA', 'Saran Visual', dan 'Full Caption'. (Kosongkan kolom Link Prompt jika ada)."
),
"")</f>
        <v/>
      </c>
      <c r="L251" s="91" t="n"/>
      <c r="M251" s="91" t="n"/>
      <c r="N251" s="102" t="n"/>
      <c r="O251" s="102" t="n"/>
      <c r="P251" s="102" t="n"/>
      <c r="Q251" s="102" t="n"/>
      <c r="R251" s="102" t="n"/>
      <c r="S251" s="102" t="n"/>
      <c r="T251" s="102" t="n"/>
      <c r="U251" s="102" t="n"/>
      <c r="V251" s="102" t="n"/>
      <c r="W251" s="102" t="n"/>
      <c r="X251" s="102" t="n"/>
      <c r="Y251" s="102" t="n"/>
      <c r="Z251" s="102" t="n"/>
      <c r="AA251" s="102" t="n"/>
      <c r="AB251" s="102" t="n"/>
      <c r="AC251" s="102" t="n"/>
      <c r="AD251" s="102" t="n"/>
    </row>
    <row r="252" ht="15.75" customHeight="1" s="205">
      <c r="A252" s="102" t="n"/>
      <c r="B252" s="147" t="n"/>
      <c r="C252" s="144" t="n"/>
      <c r="D252" s="144" t="n"/>
      <c r="E252" s="144" t="n"/>
      <c r="F252" s="144" t="n"/>
      <c r="G252" s="144" t="n"/>
      <c r="H252" s="141">
        <f>IF(K252&lt;&gt;"", HYPERLINK("https://chatgpt.com/?prompt=" &amp; SUBSTITUTE(SUBSTITUTE(K252, " ", "+"), "&amp;", "dan") &amp; "&amp;force-refresh=true&amp;timestamp=" &amp; TEXT(NOW(), "yyyymmddhhmmss"), "👉 Klik untuk Generate Script! 🔥"), "")</f>
        <v/>
      </c>
      <c r="I252" s="144" t="n"/>
      <c r="J252" s="148" t="n"/>
      <c r="K252" s="140">
        <f>IF(AND(B252&lt;&gt;"", C252&lt;&gt;"", D252&lt;&gt;"", E252&lt;&gt;"", F252&lt;&gt;"", G252&lt;&gt;"", J252&lt;&gt;"", 'CONTENT PILLAR MAPPING'!C154&lt;&gt;"", 'CONTENT PILLAR MAPPING'!E154&lt;&gt;"", 'CONTENT PILLAR MAPPING'!F154&lt;&gt;"", 'CONTENT PILLAR MAPPING'!C157&lt;&gt;"", 'CONTENT PILLAR MAPPING'!C162&lt;&gt;"", 'CONTENT PILLAR MAPPING'!D162&lt;&gt;"", 'CONTENT PILLAR MAPPING'!E162&lt;&gt;"", 'CONTENT PILLAR MAPPING'!D170&lt;&gt;"", 'CONTENT PILLAR MAPPING'!D171&lt;&gt;""),
CONCATENATE(
"Sebagai seorang top konten kreator dengan niche utama '", 'CONTENT PILLAR MAPPING'!C154, "', spesifik kategori '", 'CONTENT PILLAR MAPPING'!E154, "', dan super spesifik '", 'CONTENT PILLAR MAPPING'!F154, "', yang dikenal sebagai '", 'CONTENT PILLAR MAPPING'!C157, "'.", CHAR(10),
"Saya memiliki Tone of Voice: '", 'CONTENT PILLAR MAPPING'!C162, "', Brand Archetype: '", 'CONTENT PILLAR MAPPING'!D162, "', dan Deskripsi Gaya Komunikasi: '", 'CONTENT PILLAR MAPPING'!E162, "'.", CHAR(10),
"Target audiens saya adalah: '", 'CONTENT PILLAR MAPPING'!D170, "', dengan segmentasi audiens: '", 'CONTENT PILLAR MAPPING'!D171, "'.", CHAR(10), CHAR(10),
"Mohon buatkan script konten yang **sangat powerful, menarik, inovatif, dan siap pakai** dengan judul ide '", B252, "'.", CHAR(10),
"Konten ini memiliki pilar '", C252, "', nilai tambah utama '", F252, "', dan akan menggunakan storytelling framework '", G252, "'.", CHAR(10),
"Gambaran singkat ide kontennya adalah: '", J252, "'.", CHAR(10),
"Konten ini akan diunggah di platform '", E252, "' dengan format '", D252,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MAPPING'!C157, "'.** Sesuaikan dengan gaya komunikasi saya, dengan fokus pada nilai tambah '", F252,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MAPPING'!D170, ", khusus ", 'CONTENT PILLAR MAPPING'!D171, ") dan membantu mereka menyelesaikan masalah atau mencapai tujuan mereka.", CHAR(10),
"✔ Membantuku membangun personal branding yang kuat dan sustainable, sesuai dengan Positioning saya sebagai '", 'CONTENT PILLAR MAPPING'!C157, "' dan Brand Archetype '", 'CONTENT PILLAR MAPPING'!D162, "'.", CHAR(10),
"✔ Kemas dalam bentuk tabel agar rapi, mudah di baca dan dipahami, dengan kolom 'Judul Konten', 'Pilar', 'Format', 'Draft Script', 'CTA', 'Saran Visual', dan 'Full Caption'. (Kosongkan kolom Link Prompt jika ada)."
),
"")</f>
        <v/>
      </c>
      <c r="L252" s="199" t="n"/>
      <c r="M252" s="199" t="n"/>
      <c r="N252" s="102" t="n"/>
      <c r="O252" s="102" t="n"/>
      <c r="P252" s="102" t="n"/>
      <c r="Q252" s="102" t="n"/>
      <c r="R252" s="102" t="n"/>
      <c r="S252" s="102" t="n"/>
      <c r="T252" s="102" t="n"/>
      <c r="U252" s="102" t="n"/>
      <c r="V252" s="102" t="n"/>
      <c r="W252" s="102" t="n"/>
      <c r="X252" s="102" t="n"/>
      <c r="Y252" s="102" t="n"/>
      <c r="Z252" s="102" t="n"/>
      <c r="AA252" s="102" t="n"/>
      <c r="AB252" s="102" t="n"/>
      <c r="AC252" s="102" t="n"/>
      <c r="AD252" s="102" t="n"/>
    </row>
    <row r="253" ht="15.75" customHeight="1" s="205">
      <c r="A253" s="102" t="n"/>
      <c r="B253" s="142" t="n"/>
      <c r="C253" s="143" t="n"/>
      <c r="D253" s="143" t="n"/>
      <c r="E253" s="143" t="n"/>
      <c r="F253" s="143" t="n"/>
      <c r="G253" s="144" t="n"/>
      <c r="H253" s="145">
        <f>IF(K253&lt;&gt;"", HYPERLINK("https://chatgpt.com/?prompt=" &amp; SUBSTITUTE(SUBSTITUTE(K253, " ", "+"), "&amp;", "dan") &amp; "&amp;force-refresh=true&amp;timestamp=" &amp; TEXT(NOW(), "yyyymmddhhmmss"), "👉 Klik untuk Generate Script! 🔥"), "")</f>
        <v/>
      </c>
      <c r="I253" s="143" t="n"/>
      <c r="J253" s="146" t="n"/>
      <c r="K253" s="130">
        <f>IF(AND(B253&lt;&gt;"", C253&lt;&gt;"", D253&lt;&gt;"", E253&lt;&gt;"", F253&lt;&gt;"", G253&lt;&gt;"", J253&lt;&gt;"", 'CONTENT PILLAR MAPPING'!C156&lt;&gt;"", 'CONTENT PILLAR MAPPING'!E156&lt;&gt;"", 'CONTENT PILLAR MAPPING'!F156&lt;&gt;"", 'CONTENT PILLAR MAPPING'!C159&lt;&gt;"", 'CONTENT PILLAR MAPPING'!C164&lt;&gt;"", 'CONTENT PILLAR MAPPING'!D164&lt;&gt;"", 'CONTENT PILLAR MAPPING'!E164&lt;&gt;"", 'CONTENT PILLAR MAPPING'!D172&lt;&gt;"", 'CONTENT PILLAR MAPPING'!D173&lt;&gt;""),
CONCATENATE(
"Sebagai seorang top konten kreator dengan niche utama '", 'CONTENT PILLAR MAPPING'!C156, "', spesifik kategori '", 'CONTENT PILLAR MAPPING'!E156, "', dan super spesifik '", 'CONTENT PILLAR MAPPING'!F156, "', yang dikenal sebagai '", 'CONTENT PILLAR MAPPING'!C159, "'.", CHAR(10),
"Saya memiliki Tone of Voice: '", 'CONTENT PILLAR MAPPING'!C164, "', Brand Archetype: '", 'CONTENT PILLAR MAPPING'!D164, "', dan Deskripsi Gaya Komunikasi: '", 'CONTENT PILLAR MAPPING'!E164, "'.", CHAR(10),
"Target audiens saya adalah: '", 'CONTENT PILLAR MAPPING'!D172, "', dengan segmentasi audiens: '", 'CONTENT PILLAR MAPPING'!D173, "'.", CHAR(10), CHAR(10),
"Mohon buatkan script konten yang **sangat powerful, menarik, inovatif, dan siap pakai** dengan judul ide '", B253, "'.", CHAR(10),
"Konten ini memiliki pilar '", C253, "', nilai tambah utama '", F253, "', dan akan menggunakan storytelling framework '", G253, "'.", CHAR(10),
"Gambaran singkat ide kontennya adalah: '", J253, "'.", CHAR(10),
"Konten ini akan diunggah di platform '", E253, "' dengan format '", D253,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MAPPING'!C159, "'.** Sesuaikan dengan gaya komunikasi saya, dengan fokus pada nilai tambah '", F253,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MAPPING'!D172, ", khusus ", 'CONTENT PILLAR MAPPING'!D173, ") dan membantu mereka menyelesaikan masalah atau mencapai tujuan mereka.", CHAR(10),
"✔ Membantuku membangun personal branding yang kuat dan sustainable, sesuai dengan Positioning saya sebagai '", 'CONTENT PILLAR MAPPING'!C159, "' dan Brand Archetype '", 'CONTENT PILLAR MAPPING'!D164, "'.", CHAR(10),
"✔ Kemas dalam bentuk tabel agar rapi, mudah di baca dan dipahami, dengan kolom 'Judul Konten', 'Pilar', 'Format', 'Draft Script', 'CTA', 'Saran Visual', dan 'Full Caption'. (Kosongkan kolom Link Prompt jika ada)."
),
"")</f>
        <v/>
      </c>
      <c r="L253" s="91" t="n"/>
      <c r="M253" s="91" t="n"/>
      <c r="N253" s="102" t="n"/>
      <c r="O253" s="102" t="n"/>
      <c r="P253" s="102" t="n"/>
      <c r="Q253" s="102" t="n"/>
      <c r="R253" s="102" t="n"/>
      <c r="S253" s="102" t="n"/>
      <c r="T253" s="102" t="n"/>
      <c r="U253" s="102" t="n"/>
      <c r="V253" s="102" t="n"/>
      <c r="W253" s="102" t="n"/>
      <c r="X253" s="102" t="n"/>
      <c r="Y253" s="102" t="n"/>
      <c r="Z253" s="102" t="n"/>
      <c r="AA253" s="102" t="n"/>
      <c r="AB253" s="102" t="n"/>
      <c r="AC253" s="102" t="n"/>
      <c r="AD253" s="102" t="n"/>
    </row>
    <row r="254" ht="15.75" customHeight="1" s="205">
      <c r="A254" s="102" t="n"/>
      <c r="B254" s="147" t="n"/>
      <c r="C254" s="144" t="n"/>
      <c r="D254" s="144" t="n"/>
      <c r="E254" s="144" t="n"/>
      <c r="F254" s="144" t="n"/>
      <c r="G254" s="144" t="n"/>
      <c r="H254" s="141">
        <f>IF(K254&lt;&gt;"", HYPERLINK("https://chatgpt.com/?prompt=" &amp; SUBSTITUTE(SUBSTITUTE(K254, " ", "+"), "&amp;", "dan") &amp; "&amp;force-refresh=true&amp;timestamp=" &amp; TEXT(NOW(), "yyyymmddhhmmss"), "👉 Klik untuk Generate Script! 🔥"), "")</f>
        <v/>
      </c>
      <c r="I254" s="144" t="n"/>
      <c r="J254" s="148" t="n"/>
      <c r="K254" s="140">
        <f>IF(AND(B254&lt;&gt;"", C254&lt;&gt;"", D254&lt;&gt;"", E254&lt;&gt;"", F254&lt;&gt;"", G254&lt;&gt;"", J254&lt;&gt;"", 'CONTENT PILLAR MAPPING'!C156&lt;&gt;"", 'CONTENT PILLAR MAPPING'!E156&lt;&gt;"", 'CONTENT PILLAR MAPPING'!F156&lt;&gt;"", 'CONTENT PILLAR MAPPING'!C159&lt;&gt;"", 'CONTENT PILLAR MAPPING'!C164&lt;&gt;"", 'CONTENT PILLAR MAPPING'!D164&lt;&gt;"", 'CONTENT PILLAR MAPPING'!E164&lt;&gt;"", 'CONTENT PILLAR MAPPING'!D172&lt;&gt;"", 'CONTENT PILLAR MAPPING'!D173&lt;&gt;""),
CONCATENATE(
"Sebagai seorang top konten kreator dengan niche utama '", 'CONTENT PILLAR MAPPING'!C156, "', spesifik kategori '", 'CONTENT PILLAR MAPPING'!E156, "', dan super spesifik '", 'CONTENT PILLAR MAPPING'!F156, "', yang dikenal sebagai '", 'CONTENT PILLAR MAPPING'!C159, "'.", CHAR(10),
"Saya memiliki Tone of Voice: '", 'CONTENT PILLAR MAPPING'!C164, "', Brand Archetype: '", 'CONTENT PILLAR MAPPING'!D164, "', dan Deskripsi Gaya Komunikasi: '", 'CONTENT PILLAR MAPPING'!E164, "'.", CHAR(10),
"Target audiens saya adalah: '", 'CONTENT PILLAR MAPPING'!D172, "', dengan segmentasi audiens: '", 'CONTENT PILLAR MAPPING'!D173, "'.", CHAR(10), CHAR(10),
"Mohon buatkan script konten yang **sangat powerful, menarik, inovatif, dan siap pakai** dengan judul ide '", B254, "'.", CHAR(10),
"Konten ini memiliki pilar '", C254, "', nilai tambah utama '", F254, "', dan akan menggunakan storytelling framework '", G254, "'.", CHAR(10),
"Gambaran singkat ide kontennya adalah: '", J254, "'.", CHAR(10),
"Konten ini akan diunggah di platform '", E254, "' dengan format '", D254,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MAPPING'!C159, "'.** Sesuaikan dengan gaya komunikasi saya, dengan fokus pada nilai tambah '", F254,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MAPPING'!D172, ", khusus ", 'CONTENT PILLAR MAPPING'!D173, ") dan membantu mereka menyelesaikan masalah atau mencapai tujuan mereka.", CHAR(10),
"✔ Membantuku membangun personal branding yang kuat dan sustainable, sesuai dengan Positioning saya sebagai '", 'CONTENT PILLAR MAPPING'!C159, "' dan Brand Archetype '", 'CONTENT PILLAR MAPPING'!D164, "'.", CHAR(10),
"✔ Kemas dalam bentuk tabel agar rapi, mudah di baca dan dipahami, dengan kolom 'Judul Konten', 'Pilar', 'Format', 'Draft Script', 'CTA', 'Saran Visual', dan 'Full Caption'. (Kosongkan kolom Link Prompt jika ada)."
),
"")</f>
        <v/>
      </c>
      <c r="L254" s="199" t="n"/>
      <c r="M254" s="199" t="n"/>
      <c r="N254" s="102" t="n"/>
      <c r="O254" s="102" t="n"/>
      <c r="P254" s="102" t="n"/>
      <c r="Q254" s="102" t="n"/>
      <c r="R254" s="102" t="n"/>
      <c r="S254" s="102" t="n"/>
      <c r="T254" s="102" t="n"/>
      <c r="U254" s="102" t="n"/>
      <c r="V254" s="102" t="n"/>
      <c r="W254" s="102" t="n"/>
      <c r="X254" s="102" t="n"/>
      <c r="Y254" s="102" t="n"/>
      <c r="Z254" s="102" t="n"/>
      <c r="AA254" s="102" t="n"/>
      <c r="AB254" s="102" t="n"/>
      <c r="AC254" s="102" t="n"/>
      <c r="AD254" s="102" t="n"/>
    </row>
    <row r="255" ht="15.75" customHeight="1" s="205">
      <c r="A255" s="102" t="n"/>
      <c r="B255" s="142" t="n"/>
      <c r="C255" s="143" t="n"/>
      <c r="D255" s="143" t="n"/>
      <c r="E255" s="143" t="n"/>
      <c r="F255" s="143" t="n"/>
      <c r="G255" s="144" t="n"/>
      <c r="H255" s="145">
        <f>IF(K255&lt;&gt;"", HYPERLINK("https://chatgpt.com/?prompt=" &amp; SUBSTITUTE(SUBSTITUTE(K255, " ", "+"), "&amp;", "dan") &amp; "&amp;force-refresh=true&amp;timestamp=" &amp; TEXT(NOW(), "yyyymmddhhmmss"), "👉 Klik untuk Generate Script! 🔥"), "")</f>
        <v/>
      </c>
      <c r="I255" s="143" t="n"/>
      <c r="J255" s="146" t="n"/>
      <c r="K255" s="130">
        <f>IF(AND(B255&lt;&gt;"", C255&lt;&gt;"", D255&lt;&gt;"", E255&lt;&gt;"", F255&lt;&gt;"", G255&lt;&gt;"", J255&lt;&gt;"", 'CONTENT PILLAR MAPPING'!C158&lt;&gt;"", 'CONTENT PILLAR MAPPING'!E158&lt;&gt;"", 'CONTENT PILLAR MAPPING'!F158&lt;&gt;"", 'CONTENT PILLAR MAPPING'!C161&lt;&gt;"", 'CONTENT PILLAR MAPPING'!C166&lt;&gt;"", 'CONTENT PILLAR MAPPING'!D166&lt;&gt;"", 'CONTENT PILLAR MAPPING'!E166&lt;&gt;"", 'CONTENT PILLAR MAPPING'!D174&lt;&gt;"", 'CONTENT PILLAR MAPPING'!D175&lt;&gt;""),
CONCATENATE(
"Sebagai seorang top konten kreator dengan niche utama '", 'CONTENT PILLAR MAPPING'!C158, "', spesifik kategori '", 'CONTENT PILLAR MAPPING'!E158, "', dan super spesifik '", 'CONTENT PILLAR MAPPING'!F158, "', yang dikenal sebagai '", 'CONTENT PILLAR MAPPING'!C161, "'.", CHAR(10),
"Saya memiliki Tone of Voice: '", 'CONTENT PILLAR MAPPING'!C166, "', Brand Archetype: '", 'CONTENT PILLAR MAPPING'!D166, "', dan Deskripsi Gaya Komunikasi: '", 'CONTENT PILLAR MAPPING'!E166, "'.", CHAR(10),
"Target audiens saya adalah: '", 'CONTENT PILLAR MAPPING'!D174, "', dengan segmentasi audiens: '", 'CONTENT PILLAR MAPPING'!D175, "'.", CHAR(10), CHAR(10),
"Mohon buatkan script konten yang **sangat powerful, menarik, inovatif, dan siap pakai** dengan judul ide '", B255, "'.", CHAR(10),
"Konten ini memiliki pilar '", C255, "', nilai tambah utama '", F255, "', dan akan menggunakan storytelling framework '", G255, "'.", CHAR(10),
"Gambaran singkat ide kontennya adalah: '", J255, "'.", CHAR(10),
"Konten ini akan diunggah di platform '", E255, "' dengan format '", D255,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MAPPING'!C161, "'.** Sesuaikan dengan gaya komunikasi saya, dengan fokus pada nilai tambah '", F255,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MAPPING'!D174, ", khusus ", 'CONTENT PILLAR MAPPING'!D175, ") dan membantu mereka menyelesaikan masalah atau mencapai tujuan mereka.", CHAR(10),
"✔ Membantuku membangun personal branding yang kuat dan sustainable, sesuai dengan Positioning saya sebagai '", 'CONTENT PILLAR MAPPING'!C161, "' dan Brand Archetype '", 'CONTENT PILLAR MAPPING'!D166, "'.", CHAR(10),
"✔ Kemas dalam bentuk tabel agar rapi, mudah di baca dan dipahami, dengan kolom 'Judul Konten', 'Pilar', 'Format', 'Draft Script', 'CTA', 'Saran Visual', dan 'Full Caption'. (Kosongkan kolom Link Prompt jika ada)."
),
"")</f>
        <v/>
      </c>
      <c r="L255" s="91" t="n"/>
      <c r="M255" s="91" t="n"/>
      <c r="N255" s="102" t="n"/>
      <c r="O255" s="102" t="n"/>
      <c r="P255" s="102" t="n"/>
      <c r="Q255" s="102" t="n"/>
      <c r="R255" s="102" t="n"/>
      <c r="S255" s="102" t="n"/>
      <c r="T255" s="102" t="n"/>
      <c r="U255" s="102" t="n"/>
      <c r="V255" s="102" t="n"/>
      <c r="W255" s="102" t="n"/>
      <c r="X255" s="102" t="n"/>
      <c r="Y255" s="102" t="n"/>
      <c r="Z255" s="102" t="n"/>
      <c r="AA255" s="102" t="n"/>
      <c r="AB255" s="102" t="n"/>
      <c r="AC255" s="102" t="n"/>
      <c r="AD255" s="102" t="n"/>
    </row>
    <row r="256" ht="15.75" customHeight="1" s="205">
      <c r="A256" s="102" t="n"/>
      <c r="B256" s="147" t="n"/>
      <c r="C256" s="144" t="n"/>
      <c r="D256" s="144" t="n"/>
      <c r="E256" s="144" t="n"/>
      <c r="F256" s="144" t="n"/>
      <c r="G256" s="144" t="n"/>
      <c r="H256" s="141">
        <f>IF(K256&lt;&gt;"", HYPERLINK("https://chatgpt.com/?prompt=" &amp; SUBSTITUTE(SUBSTITUTE(K256, " ", "+"), "&amp;", "dan") &amp; "&amp;force-refresh=true&amp;timestamp=" &amp; TEXT(NOW(), "yyyymmddhhmmss"), "👉 Klik untuk Generate Script! 🔥"), "")</f>
        <v/>
      </c>
      <c r="I256" s="144" t="n"/>
      <c r="J256" s="148" t="n"/>
      <c r="K256" s="140">
        <f>IF(AND(B256&lt;&gt;"", C256&lt;&gt;"", D256&lt;&gt;"", E256&lt;&gt;"", F256&lt;&gt;"", G256&lt;&gt;"", J256&lt;&gt;"", 'CONTENT PILLAR MAPPING'!C158&lt;&gt;"", 'CONTENT PILLAR MAPPING'!E158&lt;&gt;"", 'CONTENT PILLAR MAPPING'!F158&lt;&gt;"", 'CONTENT PILLAR MAPPING'!C161&lt;&gt;"", 'CONTENT PILLAR MAPPING'!C166&lt;&gt;"", 'CONTENT PILLAR MAPPING'!D166&lt;&gt;"", 'CONTENT PILLAR MAPPING'!E166&lt;&gt;"", 'CONTENT PILLAR MAPPING'!D174&lt;&gt;"", 'CONTENT PILLAR MAPPING'!D175&lt;&gt;""),
CONCATENATE(
"Sebagai seorang top konten kreator dengan niche utama '", 'CONTENT PILLAR MAPPING'!C158, "', spesifik kategori '", 'CONTENT PILLAR MAPPING'!E158, "', dan super spesifik '", 'CONTENT PILLAR MAPPING'!F158, "', yang dikenal sebagai '", 'CONTENT PILLAR MAPPING'!C161, "'.", CHAR(10),
"Saya memiliki Tone of Voice: '", 'CONTENT PILLAR MAPPING'!C166, "', Brand Archetype: '", 'CONTENT PILLAR MAPPING'!D166, "', dan Deskripsi Gaya Komunikasi: '", 'CONTENT PILLAR MAPPING'!E166, "'.", CHAR(10),
"Target audiens saya adalah: '", 'CONTENT PILLAR MAPPING'!D174, "', dengan segmentasi audiens: '", 'CONTENT PILLAR MAPPING'!D175, "'.", CHAR(10), CHAR(10),
"Mohon buatkan script konten yang **sangat powerful, menarik, inovatif, dan siap pakai** dengan judul ide '", B256, "'.", CHAR(10),
"Konten ini memiliki pilar '", C256, "', nilai tambah utama '", F256, "', dan akan menggunakan storytelling framework '", G256, "'.", CHAR(10),
"Gambaran singkat ide kontennya adalah: '", J256, "'.", CHAR(10),
"Konten ini akan diunggah di platform '", E256, "' dengan format '", D256,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MAPPING'!C161, "'.** Sesuaikan dengan gaya komunikasi saya, dengan fokus pada nilai tambah '", F256,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MAPPING'!D174, ", khusus ", 'CONTENT PILLAR MAPPING'!D175, ") dan membantu mereka menyelesaikan masalah atau mencapai tujuan mereka.", CHAR(10),
"✔ Membantuku membangun personal branding yang kuat dan sustainable, sesuai dengan Positioning saya sebagai '", 'CONTENT PILLAR MAPPING'!C161, "' dan Brand Archetype '", 'CONTENT PILLAR MAPPING'!D166, "'.", CHAR(10),
"✔ Kemas dalam bentuk tabel agar rapi, mudah di baca dan dipahami, dengan kolom 'Judul Konten', 'Pilar', 'Format', 'Draft Script', 'CTA', 'Saran Visual', dan 'Full Caption'. (Kosongkan kolom Link Prompt jika ada)."
),
"")</f>
        <v/>
      </c>
      <c r="L256" s="199" t="n"/>
      <c r="M256" s="199" t="n"/>
      <c r="N256" s="102" t="n"/>
      <c r="O256" s="102" t="n"/>
      <c r="P256" s="102" t="n"/>
      <c r="Q256" s="102" t="n"/>
      <c r="R256" s="102" t="n"/>
      <c r="S256" s="102" t="n"/>
      <c r="T256" s="102" t="n"/>
      <c r="U256" s="102" t="n"/>
      <c r="V256" s="102" t="n"/>
      <c r="W256" s="102" t="n"/>
      <c r="X256" s="102" t="n"/>
      <c r="Y256" s="102" t="n"/>
      <c r="Z256" s="102" t="n"/>
      <c r="AA256" s="102" t="n"/>
      <c r="AB256" s="102" t="n"/>
      <c r="AC256" s="102" t="n"/>
      <c r="AD256" s="102" t="n"/>
    </row>
    <row r="257" ht="15.75" customHeight="1" s="205">
      <c r="A257" s="102" t="n"/>
      <c r="B257" s="142" t="n"/>
      <c r="C257" s="143" t="n"/>
      <c r="D257" s="143" t="n"/>
      <c r="E257" s="143" t="n"/>
      <c r="F257" s="143" t="n"/>
      <c r="G257" s="144" t="n"/>
      <c r="H257" s="145">
        <f>IF(K257&lt;&gt;"", HYPERLINK("https://chatgpt.com/?prompt=" &amp; SUBSTITUTE(SUBSTITUTE(K257, " ", "+"), "&amp;", "dan") &amp; "&amp;force-refresh=true&amp;timestamp=" &amp; TEXT(NOW(), "yyyymmddhhmmss"), "👉 Klik untuk Generate Script! 🔥"), "")</f>
        <v/>
      </c>
      <c r="I257" s="143" t="n"/>
      <c r="J257" s="146" t="n"/>
      <c r="K257" s="130">
        <f>IF(AND(B257&lt;&gt;"", C257&lt;&gt;"", D257&lt;&gt;"", E257&lt;&gt;"", F257&lt;&gt;"", G257&lt;&gt;"", J257&lt;&gt;"", 'CONTENT PILLAR MAPPING'!C160&lt;&gt;"", 'CONTENT PILLAR MAPPING'!E160&lt;&gt;"", 'CONTENT PILLAR MAPPING'!F160&lt;&gt;"", 'CONTENT PILLAR MAPPING'!C163&lt;&gt;"", 'CONTENT PILLAR MAPPING'!C168&lt;&gt;"", 'CONTENT PILLAR MAPPING'!D168&lt;&gt;"", 'CONTENT PILLAR MAPPING'!E168&lt;&gt;"", 'CONTENT PILLAR MAPPING'!D176&lt;&gt;"", 'CONTENT PILLAR MAPPING'!D177&lt;&gt;""),
CONCATENATE(
"Sebagai seorang top konten kreator dengan niche utama '", 'CONTENT PILLAR MAPPING'!C160, "', spesifik kategori '", 'CONTENT PILLAR MAPPING'!E160, "', dan super spesifik '", 'CONTENT PILLAR MAPPING'!F160, "', yang dikenal sebagai '", 'CONTENT PILLAR MAPPING'!C163, "'.", CHAR(10),
"Saya memiliki Tone of Voice: '", 'CONTENT PILLAR MAPPING'!C168, "', Brand Archetype: '", 'CONTENT PILLAR MAPPING'!D168, "', dan Deskripsi Gaya Komunikasi: '", 'CONTENT PILLAR MAPPING'!E168, "'.", CHAR(10),
"Target audiens saya adalah: '", 'CONTENT PILLAR MAPPING'!D176, "', dengan segmentasi audiens: '", 'CONTENT PILLAR MAPPING'!D177, "'.", CHAR(10), CHAR(10),
"Mohon buatkan script konten yang **sangat powerful, menarik, inovatif, dan siap pakai** dengan judul ide '", B257, "'.", CHAR(10),
"Konten ini memiliki pilar '", C257, "', nilai tambah utama '", F257, "', dan akan menggunakan storytelling framework '", G257, "'.", CHAR(10),
"Gambaran singkat ide kontennya adalah: '", J257, "'.", CHAR(10),
"Konten ini akan diunggah di platform '", E257, "' dengan format '", D257,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MAPPING'!C163, "'.** Sesuaikan dengan gaya komunikasi saya, dengan fokus pada nilai tambah '", F257,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MAPPING'!D176, ", khusus ", 'CONTENT PILLAR MAPPING'!D177, ") dan membantu mereka menyelesaikan masalah atau mencapai tujuan mereka.", CHAR(10),
"✔ Membantuku membangun personal branding yang kuat dan sustainable, sesuai dengan Positioning saya sebagai '", 'CONTENT PILLAR MAPPING'!C163, "' dan Brand Archetype '", 'CONTENT PILLAR MAPPING'!D168, "'.", CHAR(10),
"✔ Kemas dalam bentuk tabel agar rapi, mudah di baca dan dipahami, dengan kolom 'Judul Konten', 'Pilar', 'Format', 'Draft Script', 'CTA', 'Saran Visual', dan 'Full Caption'. (Kosongkan kolom Link Prompt jika ada)."
),
"")</f>
        <v/>
      </c>
      <c r="L257" s="91" t="n"/>
      <c r="M257" s="91" t="n"/>
      <c r="N257" s="102" t="n"/>
      <c r="O257" s="102" t="n"/>
      <c r="P257" s="102" t="n"/>
      <c r="Q257" s="102" t="n"/>
      <c r="R257" s="102" t="n"/>
      <c r="S257" s="102" t="n"/>
      <c r="T257" s="102" t="n"/>
      <c r="U257" s="102" t="n"/>
      <c r="V257" s="102" t="n"/>
      <c r="W257" s="102" t="n"/>
      <c r="X257" s="102" t="n"/>
      <c r="Y257" s="102" t="n"/>
      <c r="Z257" s="102" t="n"/>
      <c r="AA257" s="102" t="n"/>
      <c r="AB257" s="102" t="n"/>
      <c r="AC257" s="102" t="n"/>
      <c r="AD257" s="102" t="n"/>
    </row>
    <row r="258" ht="15.75" customHeight="1" s="205">
      <c r="A258" s="102" t="n"/>
      <c r="B258" s="147" t="n"/>
      <c r="C258" s="144" t="n"/>
      <c r="D258" s="144" t="n"/>
      <c r="E258" s="144" t="n"/>
      <c r="F258" s="144" t="n"/>
      <c r="G258" s="144" t="n"/>
      <c r="H258" s="141">
        <f>IF(K258&lt;&gt;"", HYPERLINK("https://chatgpt.com/?prompt=" &amp; SUBSTITUTE(SUBSTITUTE(K258, " ", "+"), "&amp;", "dan") &amp; "&amp;force-refresh=true&amp;timestamp=" &amp; TEXT(NOW(), "yyyymmddhhmmss"), "👉 Klik untuk Generate Script! 🔥"), "")</f>
        <v/>
      </c>
      <c r="I258" s="144" t="n"/>
      <c r="J258" s="148" t="n"/>
      <c r="K258" s="140">
        <f>IF(AND(B258&lt;&gt;"", C258&lt;&gt;"", D258&lt;&gt;"", E258&lt;&gt;"", F258&lt;&gt;"", G258&lt;&gt;"", J258&lt;&gt;"", 'CONTENT PILLAR MAPPING'!C160&lt;&gt;"", 'CONTENT PILLAR MAPPING'!E160&lt;&gt;"", 'CONTENT PILLAR MAPPING'!F160&lt;&gt;"", 'CONTENT PILLAR MAPPING'!C163&lt;&gt;"", 'CONTENT PILLAR MAPPING'!C168&lt;&gt;"", 'CONTENT PILLAR MAPPING'!D168&lt;&gt;"", 'CONTENT PILLAR MAPPING'!E168&lt;&gt;"", 'CONTENT PILLAR MAPPING'!D176&lt;&gt;"", 'CONTENT PILLAR MAPPING'!D177&lt;&gt;""),
CONCATENATE(
"Sebagai seorang top konten kreator dengan niche utama '", 'CONTENT PILLAR MAPPING'!C160, "', spesifik kategori '", 'CONTENT PILLAR MAPPING'!E160, "', dan super spesifik '", 'CONTENT PILLAR MAPPING'!F160, "', yang dikenal sebagai '", 'CONTENT PILLAR MAPPING'!C163, "'.", CHAR(10),
"Saya memiliki Tone of Voice: '", 'CONTENT PILLAR MAPPING'!C168, "', Brand Archetype: '", 'CONTENT PILLAR MAPPING'!D168, "', dan Deskripsi Gaya Komunikasi: '", 'CONTENT PILLAR MAPPING'!E168, "'.", CHAR(10),
"Target audiens saya adalah: '", 'CONTENT PILLAR MAPPING'!D176, "', dengan segmentasi audiens: '", 'CONTENT PILLAR MAPPING'!D177, "'.", CHAR(10), CHAR(10),
"Mohon buatkan script konten yang **sangat powerful, menarik, inovatif, dan siap pakai** dengan judul ide '", B258, "'.", CHAR(10),
"Konten ini memiliki pilar '", C258, "', nilai tambah utama '", F258, "', dan akan menggunakan storytelling framework '", G258, "'.", CHAR(10),
"Gambaran singkat ide kontennya adalah: '", J258, "'.", CHAR(10),
"Konten ini akan diunggah di platform '", E258, "' dengan format '", D258,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MAPPING'!C163, "'.** Sesuaikan dengan gaya komunikasi saya, dengan fokus pada nilai tambah '", F258,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MAPPING'!D176, ", khusus ", 'CONTENT PILLAR MAPPING'!D177, ") dan membantu mereka menyelesaikan masalah atau mencapai tujuan mereka.", CHAR(10),
"✔ Membantuku membangun personal branding yang kuat dan sustainable, sesuai dengan Positioning saya sebagai '", 'CONTENT PILLAR MAPPING'!C163, "' dan Brand Archetype '", 'CONTENT PILLAR MAPPING'!D168, "'.", CHAR(10),
"✔ Kemas dalam bentuk tabel agar rapi, mudah di baca dan dipahami, dengan kolom 'Judul Konten', 'Pilar', 'Format', 'Draft Script', 'CTA', 'Saran Visual', dan 'Full Caption'. (Kosongkan kolom Link Prompt jika ada)."
),
"")</f>
        <v/>
      </c>
      <c r="L258" s="199" t="n"/>
      <c r="M258" s="199" t="n"/>
      <c r="N258" s="102" t="n"/>
      <c r="O258" s="102" t="n"/>
      <c r="P258" s="102" t="n"/>
      <c r="Q258" s="102" t="n"/>
      <c r="R258" s="102" t="n"/>
      <c r="S258" s="102" t="n"/>
      <c r="T258" s="102" t="n"/>
      <c r="U258" s="102" t="n"/>
      <c r="V258" s="102" t="n"/>
      <c r="W258" s="102" t="n"/>
      <c r="X258" s="102" t="n"/>
      <c r="Y258" s="102" t="n"/>
      <c r="Z258" s="102" t="n"/>
      <c r="AA258" s="102" t="n"/>
      <c r="AB258" s="102" t="n"/>
      <c r="AC258" s="102" t="n"/>
      <c r="AD258" s="102" t="n"/>
    </row>
    <row r="259" ht="15.75" customHeight="1" s="205">
      <c r="A259" s="102" t="n"/>
      <c r="B259" s="142" t="n"/>
      <c r="C259" s="143" t="n"/>
      <c r="D259" s="143" t="n"/>
      <c r="E259" s="143" t="n"/>
      <c r="F259" s="143" t="n"/>
      <c r="G259" s="144" t="n"/>
      <c r="H259" s="145">
        <f>IF(K259&lt;&gt;"", HYPERLINK("https://chatgpt.com/?prompt=" &amp; SUBSTITUTE(SUBSTITUTE(K259, " ", "+"), "&amp;", "dan") &amp; "&amp;force-refresh=true&amp;timestamp=" &amp; TEXT(NOW(), "yyyymmddhhmmss"), "👉 Klik untuk Generate Script! 🔥"), "")</f>
        <v/>
      </c>
      <c r="I259" s="143" t="n"/>
      <c r="J259" s="146" t="n"/>
      <c r="K259" s="130">
        <f>IF(AND(B259&lt;&gt;"", C259&lt;&gt;"", D259&lt;&gt;"", E259&lt;&gt;"", F259&lt;&gt;"", G259&lt;&gt;"", J259&lt;&gt;"", 'CONTENT PILLAR MAPPING'!C162&lt;&gt;"", 'CONTENT PILLAR MAPPING'!E162&lt;&gt;"", 'CONTENT PILLAR MAPPING'!F162&lt;&gt;"", 'CONTENT PILLAR MAPPING'!C165&lt;&gt;"", 'CONTENT PILLAR MAPPING'!C170&lt;&gt;"", 'CONTENT PILLAR MAPPING'!D170&lt;&gt;"", 'CONTENT PILLAR MAPPING'!E170&lt;&gt;"", 'CONTENT PILLAR MAPPING'!D178&lt;&gt;"", 'CONTENT PILLAR MAPPING'!D179&lt;&gt;""),
CONCATENATE(
"Sebagai seorang top konten kreator dengan niche utama '", 'CONTENT PILLAR MAPPING'!C162, "', spesifik kategori '", 'CONTENT PILLAR MAPPING'!E162, "', dan super spesifik '", 'CONTENT PILLAR MAPPING'!F162, "', yang dikenal sebagai '", 'CONTENT PILLAR MAPPING'!C165, "'.", CHAR(10),
"Saya memiliki Tone of Voice: '", 'CONTENT PILLAR MAPPING'!C170, "', Brand Archetype: '", 'CONTENT PILLAR MAPPING'!D170, "', dan Deskripsi Gaya Komunikasi: '", 'CONTENT PILLAR MAPPING'!E170, "'.", CHAR(10),
"Target audiens saya adalah: '", 'CONTENT PILLAR MAPPING'!D178, "', dengan segmentasi audiens: '", 'CONTENT PILLAR MAPPING'!D179, "'.", CHAR(10), CHAR(10),
"Mohon buatkan script konten yang **sangat powerful, menarik, inovatif, dan siap pakai** dengan judul ide '", B259, "'.", CHAR(10),
"Konten ini memiliki pilar '", C259, "', nilai tambah utama '", F259, "', dan akan menggunakan storytelling framework '", G259, "'.", CHAR(10),
"Gambaran singkat ide kontennya adalah: '", J259, "'.", CHAR(10),
"Konten ini akan diunggah di platform '", E259, "' dengan format '", D259,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MAPPING'!C165, "'.** Sesuaikan dengan gaya komunikasi saya, dengan fokus pada nilai tambah '", F259,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MAPPING'!D178, ", khusus ", 'CONTENT PILLAR MAPPING'!D179, ") dan membantu mereka menyelesaikan masalah atau mencapai tujuan mereka.", CHAR(10),
"✔ Membantuku membangun personal branding yang kuat dan sustainable, sesuai dengan Positioning saya sebagai '", 'CONTENT PILLAR MAPPING'!C165, "' dan Brand Archetype '", 'CONTENT PILLAR MAPPING'!D170, "'.", CHAR(10),
"✔ Kemas dalam bentuk tabel agar rapi, mudah di baca dan dipahami, dengan kolom 'Judul Konten', 'Pilar', 'Format', 'Draft Script', 'CTA', 'Saran Visual', dan 'Full Caption'. (Kosongkan kolom Link Prompt jika ada)."
),
"")</f>
        <v/>
      </c>
      <c r="L259" s="91" t="n"/>
      <c r="M259" s="91" t="n"/>
      <c r="N259" s="102" t="n"/>
      <c r="O259" s="102" t="n"/>
      <c r="P259" s="102" t="n"/>
      <c r="Q259" s="102" t="n"/>
      <c r="R259" s="102" t="n"/>
      <c r="S259" s="102" t="n"/>
      <c r="T259" s="102" t="n"/>
      <c r="U259" s="102" t="n"/>
      <c r="V259" s="102" t="n"/>
      <c r="W259" s="102" t="n"/>
      <c r="X259" s="102" t="n"/>
      <c r="Y259" s="102" t="n"/>
      <c r="Z259" s="102" t="n"/>
      <c r="AA259" s="102" t="n"/>
      <c r="AB259" s="102" t="n"/>
      <c r="AC259" s="102" t="n"/>
      <c r="AD259" s="102" t="n"/>
    </row>
    <row r="260" ht="15.75" customHeight="1" s="205">
      <c r="A260" s="102" t="n"/>
      <c r="B260" s="147" t="n"/>
      <c r="C260" s="144" t="n"/>
      <c r="D260" s="144" t="n"/>
      <c r="E260" s="144" t="n"/>
      <c r="F260" s="144" t="n"/>
      <c r="G260" s="144" t="n"/>
      <c r="H260" s="141">
        <f>IF(K260&lt;&gt;"", HYPERLINK("https://chatgpt.com/?prompt=" &amp; SUBSTITUTE(SUBSTITUTE(K260, " ", "+"), "&amp;", "dan") &amp; "&amp;force-refresh=true&amp;timestamp=" &amp; TEXT(NOW(), "yyyymmddhhmmss"), "👉 Klik untuk Generate Script! 🔥"), "")</f>
        <v/>
      </c>
      <c r="I260" s="144" t="n"/>
      <c r="J260" s="148" t="n"/>
      <c r="K260" s="140">
        <f>IF(AND(B260&lt;&gt;"", C260&lt;&gt;"", D260&lt;&gt;"", E260&lt;&gt;"", F260&lt;&gt;"", G260&lt;&gt;"", J260&lt;&gt;"", 'CONTENT PILLAR MAPPING'!C162&lt;&gt;"", 'CONTENT PILLAR MAPPING'!E162&lt;&gt;"", 'CONTENT PILLAR MAPPING'!F162&lt;&gt;"", 'CONTENT PILLAR MAPPING'!C165&lt;&gt;"", 'CONTENT PILLAR MAPPING'!C170&lt;&gt;"", 'CONTENT PILLAR MAPPING'!D170&lt;&gt;"", 'CONTENT PILLAR MAPPING'!E170&lt;&gt;"", 'CONTENT PILLAR MAPPING'!D178&lt;&gt;"", 'CONTENT PILLAR MAPPING'!D179&lt;&gt;""),
CONCATENATE(
"Sebagai seorang top konten kreator dengan niche utama '", 'CONTENT PILLAR MAPPING'!C162, "', spesifik kategori '", 'CONTENT PILLAR MAPPING'!E162, "', dan super spesifik '", 'CONTENT PILLAR MAPPING'!F162, "', yang dikenal sebagai '", 'CONTENT PILLAR MAPPING'!C165, "'.", CHAR(10),
"Saya memiliki Tone of Voice: '", 'CONTENT PILLAR MAPPING'!C170, "', Brand Archetype: '", 'CONTENT PILLAR MAPPING'!D170, "', dan Deskripsi Gaya Komunikasi: '", 'CONTENT PILLAR MAPPING'!E170, "'.", CHAR(10),
"Target audiens saya adalah: '", 'CONTENT PILLAR MAPPING'!D178, "', dengan segmentasi audiens: '", 'CONTENT PILLAR MAPPING'!D179, "'.", CHAR(10), CHAR(10),
"Mohon buatkan script konten yang **sangat powerful, menarik, inovatif, dan siap pakai** dengan judul ide '", B260, "'.", CHAR(10),
"Konten ini memiliki pilar '", C260, "', nilai tambah utama '", F260, "', dan akan menggunakan storytelling framework '", G260, "'.", CHAR(10),
"Gambaran singkat ide kontennya adalah: '", J260, "'.", CHAR(10),
"Konten ini akan diunggah di platform '", E260, "' dengan format '", D260,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MAPPING'!C165, "'.** Sesuaikan dengan gaya komunikasi saya, dengan fokus pada nilai tambah '", F260,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MAPPING'!D178, ", khusus ", 'CONTENT PILLAR MAPPING'!D179, ") dan membantu mereka menyelesaikan masalah atau mencapai tujuan mereka.", CHAR(10),
"✔ Membantuku membangun personal branding yang kuat dan sustainable, sesuai dengan Positioning saya sebagai '", 'CONTENT PILLAR MAPPING'!C165, "' dan Brand Archetype '", 'CONTENT PILLAR MAPPING'!D170, "'.", CHAR(10),
"✔ Kemas dalam bentuk tabel agar rapi, mudah di baca dan dipahami, dengan kolom 'Judul Konten', 'Pilar', 'Format', 'Draft Script', 'CTA', 'Saran Visual', dan 'Full Caption'. (Kosongkan kolom Link Prompt jika ada)."
),
"")</f>
        <v/>
      </c>
      <c r="L260" s="199" t="n"/>
      <c r="M260" s="199" t="n"/>
      <c r="N260" s="102" t="n"/>
      <c r="O260" s="102" t="n"/>
      <c r="P260" s="102" t="n"/>
      <c r="Q260" s="102" t="n"/>
      <c r="R260" s="102" t="n"/>
      <c r="S260" s="102" t="n"/>
      <c r="T260" s="102" t="n"/>
      <c r="U260" s="102" t="n"/>
      <c r="V260" s="102" t="n"/>
      <c r="W260" s="102" t="n"/>
      <c r="X260" s="102" t="n"/>
      <c r="Y260" s="102" t="n"/>
      <c r="Z260" s="102" t="n"/>
      <c r="AA260" s="102" t="n"/>
      <c r="AB260" s="102" t="n"/>
      <c r="AC260" s="102" t="n"/>
      <c r="AD260" s="102" t="n"/>
    </row>
    <row r="261" ht="15.75" customHeight="1" s="205">
      <c r="A261" s="102" t="n"/>
      <c r="B261" s="142" t="n"/>
      <c r="C261" s="143" t="n"/>
      <c r="D261" s="143" t="n"/>
      <c r="E261" s="143" t="n"/>
      <c r="F261" s="143" t="n"/>
      <c r="G261" s="144" t="n"/>
      <c r="H261" s="145">
        <f>IF(K261&lt;&gt;"", HYPERLINK("https://chatgpt.com/?prompt=" &amp; SUBSTITUTE(SUBSTITUTE(K261, " ", "+"), "&amp;", "dan") &amp; "&amp;force-refresh=true&amp;timestamp=" &amp; TEXT(NOW(), "yyyymmddhhmmss"), "👉 Klik untuk Generate Script! 🔥"), "")</f>
        <v/>
      </c>
      <c r="I261" s="143" t="n"/>
      <c r="J261" s="146" t="n"/>
      <c r="K261" s="130">
        <f>IF(AND(B261&lt;&gt;"", C261&lt;&gt;"", D261&lt;&gt;"", E261&lt;&gt;"", F261&lt;&gt;"", G261&lt;&gt;"", J261&lt;&gt;"", 'CONTENT PILLAR MAPPING'!C164&lt;&gt;"", 'CONTENT PILLAR MAPPING'!E164&lt;&gt;"", 'CONTENT PILLAR MAPPING'!F164&lt;&gt;"", 'CONTENT PILLAR MAPPING'!C167&lt;&gt;"", 'CONTENT PILLAR MAPPING'!C172&lt;&gt;"", 'CONTENT PILLAR MAPPING'!D172&lt;&gt;"", 'CONTENT PILLAR MAPPING'!E172&lt;&gt;"", 'CONTENT PILLAR MAPPING'!D180&lt;&gt;"", 'CONTENT PILLAR MAPPING'!D181&lt;&gt;""),
CONCATENATE(
"Sebagai seorang top konten kreator dengan niche utama '", 'CONTENT PILLAR MAPPING'!C164, "', spesifik kategori '", 'CONTENT PILLAR MAPPING'!E164, "', dan super spesifik '", 'CONTENT PILLAR MAPPING'!F164, "', yang dikenal sebagai '", 'CONTENT PILLAR MAPPING'!C167, "'.", CHAR(10),
"Saya memiliki Tone of Voice: '", 'CONTENT PILLAR MAPPING'!C172, "', Brand Archetype: '", 'CONTENT PILLAR MAPPING'!D172, "', dan Deskripsi Gaya Komunikasi: '", 'CONTENT PILLAR MAPPING'!E172, "'.", CHAR(10),
"Target audiens saya adalah: '", 'CONTENT PILLAR MAPPING'!D180, "', dengan segmentasi audiens: '", 'CONTENT PILLAR MAPPING'!D181, "'.", CHAR(10), CHAR(10),
"Mohon buatkan script konten yang **sangat powerful, menarik, inovatif, dan siap pakai** dengan judul ide '", B261, "'.", CHAR(10),
"Konten ini memiliki pilar '", C261, "', nilai tambah utama '", F261, "', dan akan menggunakan storytelling framework '", G261, "'.", CHAR(10),
"Gambaran singkat ide kontennya adalah: '", J261, "'.", CHAR(10),
"Konten ini akan diunggah di platform '", E261, "' dengan format '", D261,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MAPPING'!C167, "'.** Sesuaikan dengan gaya komunikasi saya, dengan fokus pada nilai tambah '", F261,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MAPPING'!D180, ", khusus ", 'CONTENT PILLAR MAPPING'!D181, ") dan membantu mereka menyelesaikan masalah atau mencapai tujuan mereka.", CHAR(10),
"✔ Membantuku membangun personal branding yang kuat dan sustainable, sesuai dengan Positioning saya sebagai '", 'CONTENT PILLAR MAPPING'!C167, "' dan Brand Archetype '", 'CONTENT PILLAR MAPPING'!D172, "'.", CHAR(10),
"✔ Kemas dalam bentuk tabel agar rapi, mudah di baca dan dipahami, dengan kolom 'Judul Konten', 'Pilar', 'Format', 'Draft Script', 'CTA', 'Saran Visual', dan 'Full Caption'. (Kosongkan kolom Link Prompt jika ada)."
),
"")</f>
        <v/>
      </c>
      <c r="L261" s="91" t="n"/>
      <c r="M261" s="91" t="n"/>
      <c r="N261" s="102" t="n"/>
      <c r="O261" s="102" t="n"/>
      <c r="P261" s="102" t="n"/>
      <c r="Q261" s="102" t="n"/>
      <c r="R261" s="102" t="n"/>
      <c r="S261" s="102" t="n"/>
      <c r="T261" s="102" t="n"/>
      <c r="U261" s="102" t="n"/>
      <c r="V261" s="102" t="n"/>
      <c r="W261" s="102" t="n"/>
      <c r="X261" s="102" t="n"/>
      <c r="Y261" s="102" t="n"/>
      <c r="Z261" s="102" t="n"/>
      <c r="AA261" s="102" t="n"/>
      <c r="AB261" s="102" t="n"/>
      <c r="AC261" s="102" t="n"/>
      <c r="AD261" s="102" t="n"/>
    </row>
    <row r="262" ht="15.75" customHeight="1" s="205">
      <c r="A262" s="102" t="n"/>
      <c r="B262" s="147" t="n"/>
      <c r="C262" s="144" t="n"/>
      <c r="D262" s="144" t="n"/>
      <c r="E262" s="144" t="n"/>
      <c r="F262" s="144" t="n"/>
      <c r="G262" s="144" t="n"/>
      <c r="H262" s="141">
        <f>IF(K262&lt;&gt;"", HYPERLINK("https://chatgpt.com/?prompt=" &amp; SUBSTITUTE(SUBSTITUTE(K262, " ", "+"), "&amp;", "dan") &amp; "&amp;force-refresh=true&amp;timestamp=" &amp; TEXT(NOW(), "yyyymmddhhmmss"), "👉 Klik untuk Generate Script! 🔥"), "")</f>
        <v/>
      </c>
      <c r="I262" s="144" t="n"/>
      <c r="J262" s="148" t="n"/>
      <c r="K262" s="140">
        <f>IF(AND(B262&lt;&gt;"", C262&lt;&gt;"", D262&lt;&gt;"", E262&lt;&gt;"", F262&lt;&gt;"", G262&lt;&gt;"", J262&lt;&gt;"", 'CONTENT PILLAR MAPPING'!C164&lt;&gt;"", 'CONTENT PILLAR MAPPING'!E164&lt;&gt;"", 'CONTENT PILLAR MAPPING'!F164&lt;&gt;"", 'CONTENT PILLAR MAPPING'!C167&lt;&gt;"", 'CONTENT PILLAR MAPPING'!C172&lt;&gt;"", 'CONTENT PILLAR MAPPING'!D172&lt;&gt;"", 'CONTENT PILLAR MAPPING'!E172&lt;&gt;"", 'CONTENT PILLAR MAPPING'!D180&lt;&gt;"", 'CONTENT PILLAR MAPPING'!D181&lt;&gt;""),
CONCATENATE(
"Sebagai seorang top konten kreator dengan niche utama '", 'CONTENT PILLAR MAPPING'!C164, "', spesifik kategori '", 'CONTENT PILLAR MAPPING'!E164, "', dan super spesifik '", 'CONTENT PILLAR MAPPING'!F164, "', yang dikenal sebagai '", 'CONTENT PILLAR MAPPING'!C167, "'.", CHAR(10),
"Saya memiliki Tone of Voice: '", 'CONTENT PILLAR MAPPING'!C172, "', Brand Archetype: '", 'CONTENT PILLAR MAPPING'!D172, "', dan Deskripsi Gaya Komunikasi: '", 'CONTENT PILLAR MAPPING'!E172, "'.", CHAR(10),
"Target audiens saya adalah: '", 'CONTENT PILLAR MAPPING'!D180, "', dengan segmentasi audiens: '", 'CONTENT PILLAR MAPPING'!D181, "'.", CHAR(10), CHAR(10),
"Mohon buatkan script konten yang **sangat powerful, menarik, inovatif, dan siap pakai** dengan judul ide '", B262, "'.", CHAR(10),
"Konten ini memiliki pilar '", C262, "', nilai tambah utama '", F262, "', dan akan menggunakan storytelling framework '", G262, "'.", CHAR(10),
"Gambaran singkat ide kontennya adalah: '", J262, "'.", CHAR(10),
"Konten ini akan diunggah di platform '", E262, "' dengan format '", D262,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MAPPING'!C167, "'.** Sesuaikan dengan gaya komunikasi saya, dengan fokus pada nilai tambah '", F262,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MAPPING'!D180, ", khusus ", 'CONTENT PILLAR MAPPING'!D181, ") dan membantu mereka menyelesaikan masalah atau mencapai tujuan mereka.", CHAR(10),
"✔ Membantuku membangun personal branding yang kuat dan sustainable, sesuai dengan Positioning saya sebagai '", 'CONTENT PILLAR MAPPING'!C167, "' dan Brand Archetype '", 'CONTENT PILLAR MAPPING'!D172, "'.", CHAR(10),
"✔ Kemas dalam bentuk tabel agar rapi, mudah di baca dan dipahami, dengan kolom 'Judul Konten', 'Pilar', 'Format', 'Draft Script', 'CTA', 'Saran Visual', dan 'Full Caption'. (Kosongkan kolom Link Prompt jika ada)."
),
"")</f>
        <v/>
      </c>
      <c r="L262" s="199" t="n"/>
      <c r="M262" s="199" t="n"/>
      <c r="N262" s="102" t="n"/>
      <c r="O262" s="102" t="n"/>
      <c r="P262" s="102" t="n"/>
      <c r="Q262" s="102" t="n"/>
      <c r="R262" s="102" t="n"/>
      <c r="S262" s="102" t="n"/>
      <c r="T262" s="102" t="n"/>
      <c r="U262" s="102" t="n"/>
      <c r="V262" s="102" t="n"/>
      <c r="W262" s="102" t="n"/>
      <c r="X262" s="102" t="n"/>
      <c r="Y262" s="102" t="n"/>
      <c r="Z262" s="102" t="n"/>
      <c r="AA262" s="102" t="n"/>
      <c r="AB262" s="102" t="n"/>
      <c r="AC262" s="102" t="n"/>
      <c r="AD262" s="102" t="n"/>
    </row>
    <row r="263" ht="15.75" customHeight="1" s="205">
      <c r="A263" s="102" t="n"/>
      <c r="B263" s="142" t="n"/>
      <c r="C263" s="143" t="n"/>
      <c r="D263" s="143" t="n"/>
      <c r="E263" s="143" t="n"/>
      <c r="F263" s="143" t="n"/>
      <c r="G263" s="144" t="n"/>
      <c r="H263" s="145">
        <f>IF(K263&lt;&gt;"", HYPERLINK("https://chatgpt.com/?prompt=" &amp; SUBSTITUTE(SUBSTITUTE(K263, " ", "+"), "&amp;", "dan") &amp; "&amp;force-refresh=true&amp;timestamp=" &amp; TEXT(NOW(), "yyyymmddhhmmss"), "👉 Klik untuk Generate Script! 🔥"), "")</f>
        <v/>
      </c>
      <c r="I263" s="143" t="n"/>
      <c r="J263" s="146" t="n"/>
      <c r="K263" s="130">
        <f>IF(AND(B263&lt;&gt;"", C263&lt;&gt;"", D263&lt;&gt;"", E263&lt;&gt;"", F263&lt;&gt;"", G263&lt;&gt;"", J263&lt;&gt;"", 'CONTENT PILLAR MAPPING'!C166&lt;&gt;"", 'CONTENT PILLAR MAPPING'!E166&lt;&gt;"", 'CONTENT PILLAR MAPPING'!F166&lt;&gt;"", 'CONTENT PILLAR MAPPING'!C169&lt;&gt;"", 'CONTENT PILLAR MAPPING'!C174&lt;&gt;"", 'CONTENT PILLAR MAPPING'!D174&lt;&gt;"", 'CONTENT PILLAR MAPPING'!E174&lt;&gt;"", 'CONTENT PILLAR MAPPING'!D182&lt;&gt;"", 'CONTENT PILLAR MAPPING'!D183&lt;&gt;""),
CONCATENATE(
"Sebagai seorang top konten kreator dengan niche utama '", 'CONTENT PILLAR MAPPING'!C166, "', spesifik kategori '", 'CONTENT PILLAR MAPPING'!E166, "', dan super spesifik '", 'CONTENT PILLAR MAPPING'!F166, "', yang dikenal sebagai '", 'CONTENT PILLAR MAPPING'!C169, "'.", CHAR(10),
"Saya memiliki Tone of Voice: '", 'CONTENT PILLAR MAPPING'!C174, "', Brand Archetype: '", 'CONTENT PILLAR MAPPING'!D174, "', dan Deskripsi Gaya Komunikasi: '", 'CONTENT PILLAR MAPPING'!E174, "'.", CHAR(10),
"Target audiens saya adalah: '", 'CONTENT PILLAR MAPPING'!D182, "', dengan segmentasi audiens: '", 'CONTENT PILLAR MAPPING'!D183, "'.", CHAR(10), CHAR(10),
"Mohon buatkan script konten yang **sangat powerful, menarik, inovatif, dan siap pakai** dengan judul ide '", B263, "'.", CHAR(10),
"Konten ini memiliki pilar '", C263, "', nilai tambah utama '", F263, "', dan akan menggunakan storytelling framework '", G263, "'.", CHAR(10),
"Gambaran singkat ide kontennya adalah: '", J263, "'.", CHAR(10),
"Konten ini akan diunggah di platform '", E263, "' dengan format '", D263,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MAPPING'!C169, "'.** Sesuaikan dengan gaya komunikasi saya, dengan fokus pada nilai tambah '", F263,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MAPPING'!D182, ", khusus ", 'CONTENT PILLAR MAPPING'!D183, ") dan membantu mereka menyelesaikan masalah atau mencapai tujuan mereka.", CHAR(10),
"✔ Membantuku membangun personal branding yang kuat dan sustainable, sesuai dengan Positioning saya sebagai '", 'CONTENT PILLAR MAPPING'!C169, "' dan Brand Archetype '", 'CONTENT PILLAR MAPPING'!D174, "'.", CHAR(10),
"✔ Kemas dalam bentuk tabel agar rapi, mudah di baca dan dipahami, dengan kolom 'Judul Konten', 'Pilar', 'Format', 'Draft Script', 'CTA', 'Saran Visual', dan 'Full Caption'. (Kosongkan kolom Link Prompt jika ada)."
),
"")</f>
        <v/>
      </c>
      <c r="L263" s="91" t="n"/>
      <c r="M263" s="91" t="n"/>
      <c r="N263" s="102" t="n"/>
      <c r="O263" s="102" t="n"/>
      <c r="P263" s="102" t="n"/>
      <c r="Q263" s="102" t="n"/>
      <c r="R263" s="102" t="n"/>
      <c r="S263" s="102" t="n"/>
      <c r="T263" s="102" t="n"/>
      <c r="U263" s="102" t="n"/>
      <c r="V263" s="102" t="n"/>
      <c r="W263" s="102" t="n"/>
      <c r="X263" s="102" t="n"/>
      <c r="Y263" s="102" t="n"/>
      <c r="Z263" s="102" t="n"/>
      <c r="AA263" s="102" t="n"/>
      <c r="AB263" s="102" t="n"/>
      <c r="AC263" s="102" t="n"/>
      <c r="AD263" s="102" t="n"/>
    </row>
    <row r="264" ht="15.75" customHeight="1" s="205">
      <c r="A264" s="102" t="n"/>
      <c r="B264" s="147" t="n"/>
      <c r="C264" s="144" t="n"/>
      <c r="D264" s="144" t="n"/>
      <c r="E264" s="144" t="n"/>
      <c r="F264" s="144" t="n"/>
      <c r="G264" s="144" t="n"/>
      <c r="H264" s="141">
        <f>IF(K264&lt;&gt;"", HYPERLINK("https://chatgpt.com/?prompt=" &amp; SUBSTITUTE(SUBSTITUTE(K264, " ", "+"), "&amp;", "dan") &amp; "&amp;force-refresh=true&amp;timestamp=" &amp; TEXT(NOW(), "yyyymmddhhmmss"), "👉 Klik untuk Generate Script! 🔥"), "")</f>
        <v/>
      </c>
      <c r="I264" s="144" t="n"/>
      <c r="J264" s="148" t="n"/>
      <c r="K264" s="140">
        <f>IF(AND(B264&lt;&gt;"", C264&lt;&gt;"", D264&lt;&gt;"", E264&lt;&gt;"", F264&lt;&gt;"", G264&lt;&gt;"", J264&lt;&gt;"", 'CONTENT PILLAR MAPPING'!C166&lt;&gt;"", 'CONTENT PILLAR MAPPING'!E166&lt;&gt;"", 'CONTENT PILLAR MAPPING'!F166&lt;&gt;"", 'CONTENT PILLAR MAPPING'!C169&lt;&gt;"", 'CONTENT PILLAR MAPPING'!C174&lt;&gt;"", 'CONTENT PILLAR MAPPING'!D174&lt;&gt;"", 'CONTENT PILLAR MAPPING'!E174&lt;&gt;"", 'CONTENT PILLAR MAPPING'!D182&lt;&gt;"", 'CONTENT PILLAR MAPPING'!D183&lt;&gt;""),
CONCATENATE(
"Sebagai seorang top konten kreator dengan niche utama '", 'CONTENT PILLAR MAPPING'!C166, "', spesifik kategori '", 'CONTENT PILLAR MAPPING'!E166, "', dan super spesifik '", 'CONTENT PILLAR MAPPING'!F166, "', yang dikenal sebagai '", 'CONTENT PILLAR MAPPING'!C169, "'.", CHAR(10),
"Saya memiliki Tone of Voice: '", 'CONTENT PILLAR MAPPING'!C174, "', Brand Archetype: '", 'CONTENT PILLAR MAPPING'!D174, "', dan Deskripsi Gaya Komunikasi: '", 'CONTENT PILLAR MAPPING'!E174, "'.", CHAR(10),
"Target audiens saya adalah: '", 'CONTENT PILLAR MAPPING'!D182, "', dengan segmentasi audiens: '", 'CONTENT PILLAR MAPPING'!D183, "'.", CHAR(10), CHAR(10),
"Mohon buatkan script konten yang **sangat powerful, menarik, inovatif, dan siap pakai** dengan judul ide '", B264, "'.", CHAR(10),
"Konten ini memiliki pilar '", C264, "', nilai tambah utama '", F264, "', dan akan menggunakan storytelling framework '", G264, "'.", CHAR(10),
"Gambaran singkat ide kontennya adalah: '", J264, "'.", CHAR(10),
"Konten ini akan diunggah di platform '", E264, "' dengan format '", D264,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MAPPING'!C169, "'.** Sesuaikan dengan gaya komunikasi saya, dengan fokus pada nilai tambah '", F264,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MAPPING'!D182, ", khusus ", 'CONTENT PILLAR MAPPING'!D183, ") dan membantu mereka menyelesaikan masalah atau mencapai tujuan mereka.", CHAR(10),
"✔ Membantuku membangun personal branding yang kuat dan sustainable, sesuai dengan Positioning saya sebagai '", 'CONTENT PILLAR MAPPING'!C169, "' dan Brand Archetype '", 'CONTENT PILLAR MAPPING'!D174, "'.", CHAR(10),
"✔ Kemas dalam bentuk tabel agar rapi, mudah di baca dan dipahami, dengan kolom 'Judul Konten', 'Pilar', 'Format', 'Draft Script', 'CTA', 'Saran Visual', dan 'Full Caption'. (Kosongkan kolom Link Prompt jika ada)."
),
"")</f>
        <v/>
      </c>
      <c r="L264" s="199" t="n"/>
      <c r="M264" s="199" t="n"/>
      <c r="N264" s="102" t="n"/>
      <c r="O264" s="102" t="n"/>
      <c r="P264" s="102" t="n"/>
      <c r="Q264" s="102" t="n"/>
      <c r="R264" s="102" t="n"/>
      <c r="S264" s="102" t="n"/>
      <c r="T264" s="102" t="n"/>
      <c r="U264" s="102" t="n"/>
      <c r="V264" s="102" t="n"/>
      <c r="W264" s="102" t="n"/>
      <c r="X264" s="102" t="n"/>
      <c r="Y264" s="102" t="n"/>
      <c r="Z264" s="102" t="n"/>
      <c r="AA264" s="102" t="n"/>
      <c r="AB264" s="102" t="n"/>
      <c r="AC264" s="102" t="n"/>
      <c r="AD264" s="102" t="n"/>
    </row>
    <row r="265" ht="15.75" customHeight="1" s="205">
      <c r="A265" s="102" t="n"/>
      <c r="B265" s="142" t="n"/>
      <c r="C265" s="143" t="n"/>
      <c r="D265" s="143" t="n"/>
      <c r="E265" s="143" t="n"/>
      <c r="F265" s="143" t="n"/>
      <c r="G265" s="144" t="n"/>
      <c r="H265" s="145">
        <f>IF(K265&lt;&gt;"", HYPERLINK("https://chatgpt.com/?prompt=" &amp; SUBSTITUTE(SUBSTITUTE(K265, " ", "+"), "&amp;", "dan") &amp; "&amp;force-refresh=true&amp;timestamp=" &amp; TEXT(NOW(), "yyyymmddhhmmss"), "👉 Klik untuk Generate Script! 🔥"), "")</f>
        <v/>
      </c>
      <c r="I265" s="143" t="n"/>
      <c r="J265" s="146" t="n"/>
      <c r="K265" s="130">
        <f>IF(AND(B265&lt;&gt;"", C265&lt;&gt;"", D265&lt;&gt;"", E265&lt;&gt;"", F265&lt;&gt;"", G265&lt;&gt;"", J265&lt;&gt;"", 'CONTENT PILLAR MAPPING'!C168&lt;&gt;"", 'CONTENT PILLAR MAPPING'!E168&lt;&gt;"", 'CONTENT PILLAR MAPPING'!F168&lt;&gt;"", 'CONTENT PILLAR MAPPING'!C171&lt;&gt;"", 'CONTENT PILLAR MAPPING'!C176&lt;&gt;"", 'CONTENT PILLAR MAPPING'!D176&lt;&gt;"", 'CONTENT PILLAR MAPPING'!E176&lt;&gt;"", 'CONTENT PILLAR MAPPING'!D184&lt;&gt;"", 'CONTENT PILLAR MAPPING'!D185&lt;&gt;""),
CONCATENATE(
"Sebagai seorang top konten kreator dengan niche utama '", 'CONTENT PILLAR MAPPING'!C168, "', spesifik kategori '", 'CONTENT PILLAR MAPPING'!E168, "', dan super spesifik '", 'CONTENT PILLAR MAPPING'!F168, "', yang dikenal sebagai '", 'CONTENT PILLAR MAPPING'!C171, "'.", CHAR(10),
"Saya memiliki Tone of Voice: '", 'CONTENT PILLAR MAPPING'!C176, "', Brand Archetype: '", 'CONTENT PILLAR MAPPING'!D176, "', dan Deskripsi Gaya Komunikasi: '", 'CONTENT PILLAR MAPPING'!E176, "'.", CHAR(10),
"Target audiens saya adalah: '", 'CONTENT PILLAR MAPPING'!D184, "', dengan segmentasi audiens: '", 'CONTENT PILLAR MAPPING'!D185, "'.", CHAR(10), CHAR(10),
"Mohon buatkan script konten yang **sangat powerful, menarik, inovatif, dan siap pakai** dengan judul ide '", B265, "'.", CHAR(10),
"Konten ini memiliki pilar '", C265, "', nilai tambah utama '", F265, "', dan akan menggunakan storytelling framework '", G265, "'.", CHAR(10),
"Gambaran singkat ide kontennya adalah: '", J265, "'.", CHAR(10),
"Konten ini akan diunggah di platform '", E265, "' dengan format '", D265,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MAPPING'!C171, "'.** Sesuaikan dengan gaya komunikasi saya, dengan fokus pada nilai tambah '", F265,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MAPPING'!D184, ", khusus ", 'CONTENT PILLAR MAPPING'!D185, ") dan membantu mereka menyelesaikan masalah atau mencapai tujuan mereka.", CHAR(10),
"✔ Membantuku membangun personal branding yang kuat dan sustainable, sesuai dengan Positioning saya sebagai '", 'CONTENT PILLAR MAPPING'!C171, "' dan Brand Archetype '", 'CONTENT PILLAR MAPPING'!D176, "'.", CHAR(10),
"✔ Kemas dalam bentuk tabel agar rapi, mudah di baca dan dipahami, dengan kolom 'Judul Konten', 'Pilar', 'Format', 'Draft Script', 'CTA', 'Saran Visual', dan 'Full Caption'. (Kosongkan kolom Link Prompt jika ada)."
),
"")</f>
        <v/>
      </c>
      <c r="L265" s="91" t="n"/>
      <c r="M265" s="91" t="n"/>
      <c r="N265" s="102" t="n"/>
      <c r="O265" s="102" t="n"/>
      <c r="P265" s="102" t="n"/>
      <c r="Q265" s="102" t="n"/>
      <c r="R265" s="102" t="n"/>
      <c r="S265" s="102" t="n"/>
      <c r="T265" s="102" t="n"/>
      <c r="U265" s="102" t="n"/>
      <c r="V265" s="102" t="n"/>
      <c r="W265" s="102" t="n"/>
      <c r="X265" s="102" t="n"/>
      <c r="Y265" s="102" t="n"/>
      <c r="Z265" s="102" t="n"/>
      <c r="AA265" s="102" t="n"/>
      <c r="AB265" s="102" t="n"/>
      <c r="AC265" s="102" t="n"/>
      <c r="AD265" s="102" t="n"/>
    </row>
    <row r="266" ht="15.75" customHeight="1" s="205">
      <c r="A266" s="102" t="n"/>
      <c r="B266" s="147" t="n"/>
      <c r="C266" s="144" t="n"/>
      <c r="D266" s="144" t="n"/>
      <c r="E266" s="144" t="n"/>
      <c r="F266" s="144" t="n"/>
      <c r="G266" s="144" t="n"/>
      <c r="H266" s="141">
        <f>IF(K266&lt;&gt;"", HYPERLINK("https://chatgpt.com/?prompt=" &amp; SUBSTITUTE(SUBSTITUTE(K266, " ", "+"), "&amp;", "dan") &amp; "&amp;force-refresh=true&amp;timestamp=" &amp; TEXT(NOW(), "yyyymmddhhmmss"), "👉 Klik untuk Generate Script! 🔥"), "")</f>
        <v/>
      </c>
      <c r="I266" s="144" t="n"/>
      <c r="J266" s="148" t="n"/>
      <c r="K266" s="140">
        <f>IF(AND(B266&lt;&gt;"", C266&lt;&gt;"", D266&lt;&gt;"", E266&lt;&gt;"", F266&lt;&gt;"", G266&lt;&gt;"", J266&lt;&gt;"", 'CONTENT PILLAR MAPPING'!C168&lt;&gt;"", 'CONTENT PILLAR MAPPING'!E168&lt;&gt;"", 'CONTENT PILLAR MAPPING'!F168&lt;&gt;"", 'CONTENT PILLAR MAPPING'!C171&lt;&gt;"", 'CONTENT PILLAR MAPPING'!C176&lt;&gt;"", 'CONTENT PILLAR MAPPING'!D176&lt;&gt;"", 'CONTENT PILLAR MAPPING'!E176&lt;&gt;"", 'CONTENT PILLAR MAPPING'!D184&lt;&gt;"", 'CONTENT PILLAR MAPPING'!D185&lt;&gt;""),
CONCATENATE(
"Sebagai seorang top konten kreator dengan niche utama '", 'CONTENT PILLAR MAPPING'!C168, "', spesifik kategori '", 'CONTENT PILLAR MAPPING'!E168, "', dan super spesifik '", 'CONTENT PILLAR MAPPING'!F168, "', yang dikenal sebagai '", 'CONTENT PILLAR MAPPING'!C171, "'.", CHAR(10),
"Saya memiliki Tone of Voice: '", 'CONTENT PILLAR MAPPING'!C176, "', Brand Archetype: '", 'CONTENT PILLAR MAPPING'!D176, "', dan Deskripsi Gaya Komunikasi: '", 'CONTENT PILLAR MAPPING'!E176, "'.", CHAR(10),
"Target audiens saya adalah: '", 'CONTENT PILLAR MAPPING'!D184, "', dengan segmentasi audiens: '", 'CONTENT PILLAR MAPPING'!D185, "'.", CHAR(10), CHAR(10),
"Mohon buatkan script konten yang **sangat powerful, menarik, inovatif, dan siap pakai** dengan judul ide '", B266, "'.", CHAR(10),
"Konten ini memiliki pilar '", C266, "', nilai tambah utama '", F266, "', dan akan menggunakan storytelling framework '", G266, "'.", CHAR(10),
"Gambaran singkat ide kontennya adalah: '", J266, "'.", CHAR(10),
"Konten ini akan diunggah di platform '", E266, "' dengan format '", D266,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MAPPING'!C171, "'.** Sesuaikan dengan gaya komunikasi saya, dengan fokus pada nilai tambah '", F266,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MAPPING'!D184, ", khusus ", 'CONTENT PILLAR MAPPING'!D185, ") dan membantu mereka menyelesaikan masalah atau mencapai tujuan mereka.", CHAR(10),
"✔ Membantuku membangun personal branding yang kuat dan sustainable, sesuai dengan Positioning saya sebagai '", 'CONTENT PILLAR MAPPING'!C171, "' dan Brand Archetype '", 'CONTENT PILLAR MAPPING'!D176, "'.", CHAR(10),
"✔ Kemas dalam bentuk tabel agar rapi, mudah di baca dan dipahami, dengan kolom 'Judul Konten', 'Pilar', 'Format', 'Draft Script', 'CTA', 'Saran Visual', dan 'Full Caption'. (Kosongkan kolom Link Prompt jika ada)."
),
"")</f>
        <v/>
      </c>
      <c r="L266" s="199" t="n"/>
      <c r="M266" s="199" t="n"/>
      <c r="N266" s="102" t="n"/>
      <c r="O266" s="102" t="n"/>
      <c r="P266" s="102" t="n"/>
      <c r="Q266" s="102" t="n"/>
      <c r="R266" s="102" t="n"/>
      <c r="S266" s="102" t="n"/>
      <c r="T266" s="102" t="n"/>
      <c r="U266" s="102" t="n"/>
      <c r="V266" s="102" t="n"/>
      <c r="W266" s="102" t="n"/>
      <c r="X266" s="102" t="n"/>
      <c r="Y266" s="102" t="n"/>
      <c r="Z266" s="102" t="n"/>
      <c r="AA266" s="102" t="n"/>
      <c r="AB266" s="102" t="n"/>
      <c r="AC266" s="102" t="n"/>
      <c r="AD266" s="102" t="n"/>
    </row>
    <row r="267" ht="15.75" customHeight="1" s="205">
      <c r="A267" s="102" t="n"/>
      <c r="B267" s="142" t="n"/>
      <c r="C267" s="143" t="n"/>
      <c r="D267" s="143" t="n"/>
      <c r="E267" s="143" t="n"/>
      <c r="F267" s="143" t="n"/>
      <c r="G267" s="144" t="n"/>
      <c r="H267" s="145">
        <f>IF(K267&lt;&gt;"", HYPERLINK("https://chatgpt.com/?prompt=" &amp; SUBSTITUTE(SUBSTITUTE(K267, " ", "+"), "&amp;", "dan") &amp; "&amp;force-refresh=true&amp;timestamp=" &amp; TEXT(NOW(), "yyyymmddhhmmss"), "👉 Klik untuk Generate Script! 🔥"), "")</f>
        <v/>
      </c>
      <c r="I267" s="143" t="n"/>
      <c r="J267" s="146" t="n"/>
      <c r="K267" s="130">
        <f>IF(AND(B267&lt;&gt;"", C267&lt;&gt;"", D267&lt;&gt;"", E267&lt;&gt;"", F267&lt;&gt;"", G267&lt;&gt;"", J267&lt;&gt;"", 'CONTENT PILLAR MAPPING'!C170&lt;&gt;"", 'CONTENT PILLAR MAPPING'!E170&lt;&gt;"", 'CONTENT PILLAR MAPPING'!F170&lt;&gt;"", 'CONTENT PILLAR MAPPING'!C173&lt;&gt;"", 'CONTENT PILLAR MAPPING'!C178&lt;&gt;"", 'CONTENT PILLAR MAPPING'!D178&lt;&gt;"", 'CONTENT PILLAR MAPPING'!E178&lt;&gt;"", 'CONTENT PILLAR MAPPING'!D186&lt;&gt;"", 'CONTENT PILLAR MAPPING'!D187&lt;&gt;""),
CONCATENATE(
"Sebagai seorang top konten kreator dengan niche utama '", 'CONTENT PILLAR MAPPING'!C170, "', spesifik kategori '", 'CONTENT PILLAR MAPPING'!E170, "', dan super spesifik '", 'CONTENT PILLAR MAPPING'!F170, "', yang dikenal sebagai '", 'CONTENT PILLAR MAPPING'!C173, "'.", CHAR(10),
"Saya memiliki Tone of Voice: '", 'CONTENT PILLAR MAPPING'!C178, "', Brand Archetype: '", 'CONTENT PILLAR MAPPING'!D178, "', dan Deskripsi Gaya Komunikasi: '", 'CONTENT PILLAR MAPPING'!E178, "'.", CHAR(10),
"Target audiens saya adalah: '", 'CONTENT PILLAR MAPPING'!D186, "', dengan segmentasi audiens: '", 'CONTENT PILLAR MAPPING'!D187, "'.", CHAR(10), CHAR(10),
"Mohon buatkan script konten yang **sangat powerful, menarik, inovatif, dan siap pakai** dengan judul ide '", B267, "'.", CHAR(10),
"Konten ini memiliki pilar '", C267, "', nilai tambah utama '", F267, "', dan akan menggunakan storytelling framework '", G267, "'.", CHAR(10),
"Gambaran singkat ide kontennya adalah: '", J267, "'.", CHAR(10),
"Konten ini akan diunggah di platform '", E267, "' dengan format '", D267,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MAPPING'!C173, "'.** Sesuaikan dengan gaya komunikasi saya, dengan fokus pada nilai tambah '", F267,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MAPPING'!D186, ", khusus ", 'CONTENT PILLAR MAPPING'!D187, ") dan membantu mereka menyelesaikan masalah atau mencapai tujuan mereka.", CHAR(10),
"✔ Membantuku membangun personal branding yang kuat dan sustainable, sesuai dengan Positioning saya sebagai '", 'CONTENT PILLAR MAPPING'!C173, "' dan Brand Archetype '", 'CONTENT PILLAR MAPPING'!D178, "'.", CHAR(10),
"✔ Kemas dalam bentuk tabel agar rapi, mudah di baca dan dipahami, dengan kolom 'Judul Konten', 'Pilar', 'Format', 'Draft Script', 'CTA', 'Saran Visual', dan 'Full Caption'. (Kosongkan kolom Link Prompt jika ada)."
),
"")</f>
        <v/>
      </c>
      <c r="L267" s="91" t="n"/>
      <c r="M267" s="91" t="n"/>
      <c r="N267" s="102" t="n"/>
      <c r="O267" s="102" t="n"/>
      <c r="P267" s="102" t="n"/>
      <c r="Q267" s="102" t="n"/>
      <c r="R267" s="102" t="n"/>
      <c r="S267" s="102" t="n"/>
      <c r="T267" s="102" t="n"/>
      <c r="U267" s="102" t="n"/>
      <c r="V267" s="102" t="n"/>
      <c r="W267" s="102" t="n"/>
      <c r="X267" s="102" t="n"/>
      <c r="Y267" s="102" t="n"/>
      <c r="Z267" s="102" t="n"/>
      <c r="AA267" s="102" t="n"/>
      <c r="AB267" s="102" t="n"/>
      <c r="AC267" s="102" t="n"/>
      <c r="AD267" s="102" t="n"/>
    </row>
    <row r="268" ht="15.75" customHeight="1" s="205">
      <c r="A268" s="102" t="n"/>
      <c r="B268" s="147" t="n"/>
      <c r="C268" s="144" t="n"/>
      <c r="D268" s="144" t="n"/>
      <c r="E268" s="144" t="n"/>
      <c r="F268" s="144" t="n"/>
      <c r="G268" s="144" t="n"/>
      <c r="H268" s="141">
        <f>IF(K268&lt;&gt;"", HYPERLINK("https://chatgpt.com/?prompt=" &amp; SUBSTITUTE(SUBSTITUTE(K268, " ", "+"), "&amp;", "dan") &amp; "&amp;force-refresh=true&amp;timestamp=" &amp; TEXT(NOW(), "yyyymmddhhmmss"), "👉 Klik untuk Generate Script! 🔥"), "")</f>
        <v/>
      </c>
      <c r="I268" s="144" t="n"/>
      <c r="J268" s="148" t="n"/>
      <c r="K268" s="140">
        <f>IF(AND(B268&lt;&gt;"", C268&lt;&gt;"", D268&lt;&gt;"", E268&lt;&gt;"", F268&lt;&gt;"", G268&lt;&gt;"", J268&lt;&gt;"", 'CONTENT PILLAR MAPPING'!C170&lt;&gt;"", 'CONTENT PILLAR MAPPING'!E170&lt;&gt;"", 'CONTENT PILLAR MAPPING'!F170&lt;&gt;"", 'CONTENT PILLAR MAPPING'!C173&lt;&gt;"", 'CONTENT PILLAR MAPPING'!C178&lt;&gt;"", 'CONTENT PILLAR MAPPING'!D178&lt;&gt;"", 'CONTENT PILLAR MAPPING'!E178&lt;&gt;"", 'CONTENT PILLAR MAPPING'!D186&lt;&gt;"", 'CONTENT PILLAR MAPPING'!D187&lt;&gt;""),
CONCATENATE(
"Sebagai seorang top konten kreator dengan niche utama '", 'CONTENT PILLAR MAPPING'!C170, "', spesifik kategori '", 'CONTENT PILLAR MAPPING'!E170, "', dan super spesifik '", 'CONTENT PILLAR MAPPING'!F170, "', yang dikenal sebagai '", 'CONTENT PILLAR MAPPING'!C173, "'.", CHAR(10),
"Saya memiliki Tone of Voice: '", 'CONTENT PILLAR MAPPING'!C178, "', Brand Archetype: '", 'CONTENT PILLAR MAPPING'!D178, "', dan Deskripsi Gaya Komunikasi: '", 'CONTENT PILLAR MAPPING'!E178, "'.", CHAR(10),
"Target audiens saya adalah: '", 'CONTENT PILLAR MAPPING'!D186, "', dengan segmentasi audiens: '", 'CONTENT PILLAR MAPPING'!D187, "'.", CHAR(10), CHAR(10),
"Mohon buatkan script konten yang **sangat powerful, menarik, inovatif, dan siap pakai** dengan judul ide '", B268, "'.", CHAR(10),
"Konten ini memiliki pilar '", C268, "', nilai tambah utama '", F268, "', dan akan menggunakan storytelling framework '", G268, "'.", CHAR(10),
"Gambaran singkat ide kontennya adalah: '", J268, "'.", CHAR(10),
"Konten ini akan diunggah di platform '", E268, "' dengan format '", D268,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MAPPING'!C173, "'.** Sesuaikan dengan gaya komunikasi saya, dengan fokus pada nilai tambah '", F268,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MAPPING'!D186, ", khusus ", 'CONTENT PILLAR MAPPING'!D187, ") dan membantu mereka menyelesaikan masalah atau mencapai tujuan mereka.", CHAR(10),
"✔ Membantuku membangun personal branding yang kuat dan sustainable, sesuai dengan Positioning saya sebagai '", 'CONTENT PILLAR MAPPING'!C173, "' dan Brand Archetype '", 'CONTENT PILLAR MAPPING'!D178, "'.", CHAR(10),
"✔ Kemas dalam bentuk tabel agar rapi, mudah di baca dan dipahami, dengan kolom 'Judul Konten', 'Pilar', 'Format', 'Draft Script', 'CTA', 'Saran Visual', dan 'Full Caption'. (Kosongkan kolom Link Prompt jika ada)."
),
"")</f>
        <v/>
      </c>
      <c r="L268" s="199" t="n"/>
      <c r="M268" s="199" t="n"/>
      <c r="N268" s="102" t="n"/>
      <c r="O268" s="102" t="n"/>
      <c r="P268" s="102" t="n"/>
      <c r="Q268" s="102" t="n"/>
      <c r="R268" s="102" t="n"/>
      <c r="S268" s="102" t="n"/>
      <c r="T268" s="102" t="n"/>
      <c r="U268" s="102" t="n"/>
      <c r="V268" s="102" t="n"/>
      <c r="W268" s="102" t="n"/>
      <c r="X268" s="102" t="n"/>
      <c r="Y268" s="102" t="n"/>
      <c r="Z268" s="102" t="n"/>
      <c r="AA268" s="102" t="n"/>
      <c r="AB268" s="102" t="n"/>
      <c r="AC268" s="102" t="n"/>
      <c r="AD268" s="102" t="n"/>
    </row>
    <row r="269" ht="15.75" customHeight="1" s="205">
      <c r="A269" s="102" t="n"/>
      <c r="B269" s="142" t="n"/>
      <c r="C269" s="143" t="n"/>
      <c r="D269" s="143" t="n"/>
      <c r="E269" s="143" t="n"/>
      <c r="F269" s="143" t="n"/>
      <c r="G269" s="144" t="n"/>
      <c r="H269" s="145">
        <f>IF(K269&lt;&gt;"", HYPERLINK("https://chatgpt.com/?prompt=" &amp; SUBSTITUTE(SUBSTITUTE(K269, " ", "+"), "&amp;", "dan") &amp; "&amp;force-refresh=true&amp;timestamp=" &amp; TEXT(NOW(), "yyyymmddhhmmss"), "👉 Klik untuk Generate Script! 🔥"), "")</f>
        <v/>
      </c>
      <c r="I269" s="143" t="n"/>
      <c r="J269" s="146" t="n"/>
      <c r="K269" s="130">
        <f>IF(AND(B269&lt;&gt;"", C269&lt;&gt;"", D269&lt;&gt;"", E269&lt;&gt;"", F269&lt;&gt;"", G269&lt;&gt;"", J269&lt;&gt;"", 'CONTENT PILLAR MAPPING'!C172&lt;&gt;"", 'CONTENT PILLAR MAPPING'!E172&lt;&gt;"", 'CONTENT PILLAR MAPPING'!F172&lt;&gt;"", 'CONTENT PILLAR MAPPING'!C175&lt;&gt;"", 'CONTENT PILLAR MAPPING'!C180&lt;&gt;"", 'CONTENT PILLAR MAPPING'!D180&lt;&gt;"", 'CONTENT PILLAR MAPPING'!E180&lt;&gt;"", 'CONTENT PILLAR MAPPING'!D188&lt;&gt;"", 'CONTENT PILLAR MAPPING'!D189&lt;&gt;""),
CONCATENATE(
"Sebagai seorang top konten kreator dengan niche utama '", 'CONTENT PILLAR MAPPING'!C172, "', spesifik kategori '", 'CONTENT PILLAR MAPPING'!E172, "', dan super spesifik '", 'CONTENT PILLAR MAPPING'!F172, "', yang dikenal sebagai '", 'CONTENT PILLAR MAPPING'!C175, "'.", CHAR(10),
"Saya memiliki Tone of Voice: '", 'CONTENT PILLAR MAPPING'!C180, "', Brand Archetype: '", 'CONTENT PILLAR MAPPING'!D180, "', dan Deskripsi Gaya Komunikasi: '", 'CONTENT PILLAR MAPPING'!E180, "'.", CHAR(10),
"Target audiens saya adalah: '", 'CONTENT PILLAR MAPPING'!D188, "', dengan segmentasi audiens: '", 'CONTENT PILLAR MAPPING'!D189, "'.", CHAR(10), CHAR(10),
"Mohon buatkan script konten yang **sangat powerful, menarik, inovatif, dan siap pakai** dengan judul ide '", B269, "'.", CHAR(10),
"Konten ini memiliki pilar '", C269, "', nilai tambah utama '", F269, "', dan akan menggunakan storytelling framework '", G269, "'.", CHAR(10),
"Gambaran singkat ide kontennya adalah: '", J269, "'.", CHAR(10),
"Konten ini akan diunggah di platform '", E269, "' dengan format '", D269,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MAPPING'!C175, "'.** Sesuaikan dengan gaya komunikasi saya, dengan fokus pada nilai tambah '", F269,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MAPPING'!D188, ", khusus ", 'CONTENT PILLAR MAPPING'!D189, ") dan membantu mereka menyelesaikan masalah atau mencapai tujuan mereka.", CHAR(10),
"✔ Membantuku membangun personal branding yang kuat dan sustainable, sesuai dengan Positioning saya sebagai '", 'CONTENT PILLAR MAPPING'!C175, "' dan Brand Archetype '", 'CONTENT PILLAR MAPPING'!D180, "'.", CHAR(10),
"✔ Kemas dalam bentuk tabel agar rapi, mudah di baca dan dipahami, dengan kolom 'Judul Konten', 'Pilar', 'Format', 'Draft Script', 'CTA', 'Saran Visual', dan 'Full Caption'. (Kosongkan kolom Link Prompt jika ada)."
),
"")</f>
        <v/>
      </c>
      <c r="L269" s="91" t="n"/>
      <c r="M269" s="91" t="n"/>
      <c r="N269" s="102" t="n"/>
      <c r="O269" s="102" t="n"/>
      <c r="P269" s="102" t="n"/>
      <c r="Q269" s="102" t="n"/>
      <c r="R269" s="102" t="n"/>
      <c r="S269" s="102" t="n"/>
      <c r="T269" s="102" t="n"/>
      <c r="U269" s="102" t="n"/>
      <c r="V269" s="102" t="n"/>
      <c r="W269" s="102" t="n"/>
      <c r="X269" s="102" t="n"/>
      <c r="Y269" s="102" t="n"/>
      <c r="Z269" s="102" t="n"/>
      <c r="AA269" s="102" t="n"/>
      <c r="AB269" s="102" t="n"/>
      <c r="AC269" s="102" t="n"/>
      <c r="AD269" s="102" t="n"/>
    </row>
    <row r="270" ht="15.75" customHeight="1" s="205">
      <c r="A270" s="102" t="n"/>
      <c r="B270" s="147" t="n"/>
      <c r="C270" s="144" t="n"/>
      <c r="D270" s="144" t="n"/>
      <c r="E270" s="144" t="n"/>
      <c r="F270" s="144" t="n"/>
      <c r="G270" s="144" t="n"/>
      <c r="H270" s="141">
        <f>IF(K270&lt;&gt;"", HYPERLINK("https://chatgpt.com/?prompt=" &amp; SUBSTITUTE(SUBSTITUTE(K270, " ", "+"), "&amp;", "dan") &amp; "&amp;force-refresh=true&amp;timestamp=" &amp; TEXT(NOW(), "yyyymmddhhmmss"), "👉 Klik untuk Generate Script! 🔥"), "")</f>
        <v/>
      </c>
      <c r="I270" s="144" t="n"/>
      <c r="J270" s="148" t="n"/>
      <c r="K270" s="140">
        <f>IF(AND(B270&lt;&gt;"", C270&lt;&gt;"", D270&lt;&gt;"", E270&lt;&gt;"", F270&lt;&gt;"", G270&lt;&gt;"", J270&lt;&gt;"", 'CONTENT PILLAR MAPPING'!C172&lt;&gt;"", 'CONTENT PILLAR MAPPING'!E172&lt;&gt;"", 'CONTENT PILLAR MAPPING'!F172&lt;&gt;"", 'CONTENT PILLAR MAPPING'!C175&lt;&gt;"", 'CONTENT PILLAR MAPPING'!C180&lt;&gt;"", 'CONTENT PILLAR MAPPING'!D180&lt;&gt;"", 'CONTENT PILLAR MAPPING'!E180&lt;&gt;"", 'CONTENT PILLAR MAPPING'!D188&lt;&gt;"", 'CONTENT PILLAR MAPPING'!D189&lt;&gt;""),
CONCATENATE(
"Sebagai seorang top konten kreator dengan niche utama '", 'CONTENT PILLAR MAPPING'!C172, "', spesifik kategori '", 'CONTENT PILLAR MAPPING'!E172, "', dan super spesifik '", 'CONTENT PILLAR MAPPING'!F172, "', yang dikenal sebagai '", 'CONTENT PILLAR MAPPING'!C175, "'.", CHAR(10),
"Saya memiliki Tone of Voice: '", 'CONTENT PILLAR MAPPING'!C180, "', Brand Archetype: '", 'CONTENT PILLAR MAPPING'!D180, "', dan Deskripsi Gaya Komunikasi: '", 'CONTENT PILLAR MAPPING'!E180, "'.", CHAR(10),
"Target audiens saya adalah: '", 'CONTENT PILLAR MAPPING'!D188, "', dengan segmentasi audiens: '", 'CONTENT PILLAR MAPPING'!D189, "'.", CHAR(10), CHAR(10),
"Mohon buatkan script konten yang **sangat powerful, menarik, inovatif, dan siap pakai** dengan judul ide '", B270, "'.", CHAR(10),
"Konten ini memiliki pilar '", C270, "', nilai tambah utama '", F270, "', dan akan menggunakan storytelling framework '", G270, "'.", CHAR(10),
"Gambaran singkat ide kontennya adalah: '", J270, "'.", CHAR(10),
"Konten ini akan diunggah di platform '", E270, "' dengan format '", D270,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MAPPING'!C175, "'.** Sesuaikan dengan gaya komunikasi saya, dengan fokus pada nilai tambah '", F270,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MAPPING'!D188, ", khusus ", 'CONTENT PILLAR MAPPING'!D189, ") dan membantu mereka menyelesaikan masalah atau mencapai tujuan mereka.", CHAR(10),
"✔ Membantuku membangun personal branding yang kuat dan sustainable, sesuai dengan Positioning saya sebagai '", 'CONTENT PILLAR MAPPING'!C175, "' dan Brand Archetype '", 'CONTENT PILLAR MAPPING'!D180, "'.", CHAR(10),
"✔ Kemas dalam bentuk tabel agar rapi, mudah di baca dan dipahami, dengan kolom 'Judul Konten', 'Pilar', 'Format', 'Draft Script', 'CTA', 'Saran Visual', dan 'Full Caption'. (Kosongkan kolom Link Prompt jika ada)."
),
"")</f>
        <v/>
      </c>
      <c r="L270" s="199" t="n"/>
      <c r="M270" s="199" t="n"/>
      <c r="N270" s="102" t="n"/>
      <c r="O270" s="102" t="n"/>
      <c r="P270" s="102" t="n"/>
      <c r="Q270" s="102" t="n"/>
      <c r="R270" s="102" t="n"/>
      <c r="S270" s="102" t="n"/>
      <c r="T270" s="102" t="n"/>
      <c r="U270" s="102" t="n"/>
      <c r="V270" s="102" t="n"/>
      <c r="W270" s="102" t="n"/>
      <c r="X270" s="102" t="n"/>
      <c r="Y270" s="102" t="n"/>
      <c r="Z270" s="102" t="n"/>
      <c r="AA270" s="102" t="n"/>
      <c r="AB270" s="102" t="n"/>
      <c r="AC270" s="102" t="n"/>
      <c r="AD270" s="102" t="n"/>
    </row>
    <row r="271" ht="15.75" customHeight="1" s="205">
      <c r="A271" s="102" t="n"/>
      <c r="B271" s="142" t="n"/>
      <c r="C271" s="143" t="n"/>
      <c r="D271" s="143" t="n"/>
      <c r="E271" s="143" t="n"/>
      <c r="F271" s="143" t="n"/>
      <c r="G271" s="144" t="n"/>
      <c r="H271" s="145">
        <f>IF(K271&lt;&gt;"", HYPERLINK("https://chatgpt.com/?prompt=" &amp; SUBSTITUTE(SUBSTITUTE(K271, " ", "+"), "&amp;", "dan") &amp; "&amp;force-refresh=true&amp;timestamp=" &amp; TEXT(NOW(), "yyyymmddhhmmss"), "👉 Klik untuk Generate Script! 🔥"), "")</f>
        <v/>
      </c>
      <c r="I271" s="143" t="n"/>
      <c r="J271" s="146" t="n"/>
      <c r="K271" s="130">
        <f>IF(AND(B271&lt;&gt;"", C271&lt;&gt;"", D271&lt;&gt;"", E271&lt;&gt;"", F271&lt;&gt;"", G271&lt;&gt;"", J271&lt;&gt;"", 'CONTENT PILLAR MAPPING'!C174&lt;&gt;"", 'CONTENT PILLAR MAPPING'!E174&lt;&gt;"", 'CONTENT PILLAR MAPPING'!F174&lt;&gt;"", 'CONTENT PILLAR MAPPING'!C177&lt;&gt;"", 'CONTENT PILLAR MAPPING'!C182&lt;&gt;"", 'CONTENT PILLAR MAPPING'!D182&lt;&gt;"", 'CONTENT PILLAR MAPPING'!E182&lt;&gt;"", 'CONTENT PILLAR MAPPING'!D190&lt;&gt;"", 'CONTENT PILLAR MAPPING'!D191&lt;&gt;""),
CONCATENATE(
"Sebagai seorang top konten kreator dengan niche utama '", 'CONTENT PILLAR MAPPING'!C174, "', spesifik kategori '", 'CONTENT PILLAR MAPPING'!E174, "', dan super spesifik '", 'CONTENT PILLAR MAPPING'!F174, "', yang dikenal sebagai '", 'CONTENT PILLAR MAPPING'!C177, "'.", CHAR(10),
"Saya memiliki Tone of Voice: '", 'CONTENT PILLAR MAPPING'!C182, "', Brand Archetype: '", 'CONTENT PILLAR MAPPING'!D182, "', dan Deskripsi Gaya Komunikasi: '", 'CONTENT PILLAR MAPPING'!E182, "'.", CHAR(10),
"Target audiens saya adalah: '", 'CONTENT PILLAR MAPPING'!D190, "', dengan segmentasi audiens: '", 'CONTENT PILLAR MAPPING'!D191, "'.", CHAR(10), CHAR(10),
"Mohon buatkan script konten yang **sangat powerful, menarik, inovatif, dan siap pakai** dengan judul ide '", B271, "'.", CHAR(10),
"Konten ini memiliki pilar '", C271, "', nilai tambah utama '", F271, "', dan akan menggunakan storytelling framework '", G271, "'.", CHAR(10),
"Gambaran singkat ide kontennya adalah: '", J271, "'.", CHAR(10),
"Konten ini akan diunggah di platform '", E271, "' dengan format '", D271,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MAPPING'!C177, "'.** Sesuaikan dengan gaya komunikasi saya, dengan fokus pada nilai tambah '", F271,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MAPPING'!D190, ", khusus ", 'CONTENT PILLAR MAPPING'!D191, ") dan membantu mereka menyelesaikan masalah atau mencapai tujuan mereka.", CHAR(10),
"✔ Membantuku membangun personal branding yang kuat dan sustainable, sesuai dengan Positioning saya sebagai '", 'CONTENT PILLAR MAPPING'!C177, "' dan Brand Archetype '", 'CONTENT PILLAR MAPPING'!D182, "'.", CHAR(10),
"✔ Kemas dalam bentuk tabel agar rapi, mudah di baca dan dipahami, dengan kolom 'Judul Konten', 'Pilar', 'Format', 'Draft Script', 'CTA', 'Saran Visual', dan 'Full Caption'. (Kosongkan kolom Link Prompt jika ada)."
),
"")</f>
        <v/>
      </c>
      <c r="L271" s="91" t="n"/>
      <c r="M271" s="91" t="n"/>
      <c r="N271" s="102" t="n"/>
      <c r="O271" s="102" t="n"/>
      <c r="P271" s="102" t="n"/>
      <c r="Q271" s="102" t="n"/>
      <c r="R271" s="102" t="n"/>
      <c r="S271" s="102" t="n"/>
      <c r="T271" s="102" t="n"/>
      <c r="U271" s="102" t="n"/>
      <c r="V271" s="102" t="n"/>
      <c r="W271" s="102" t="n"/>
      <c r="X271" s="102" t="n"/>
      <c r="Y271" s="102" t="n"/>
      <c r="Z271" s="102" t="n"/>
      <c r="AA271" s="102" t="n"/>
      <c r="AB271" s="102" t="n"/>
      <c r="AC271" s="102" t="n"/>
      <c r="AD271" s="102" t="n"/>
    </row>
    <row r="272" ht="15.75" customHeight="1" s="205">
      <c r="A272" s="102" t="n"/>
      <c r="B272" s="147" t="n"/>
      <c r="C272" s="144" t="n"/>
      <c r="D272" s="144" t="n"/>
      <c r="E272" s="144" t="n"/>
      <c r="F272" s="144" t="n"/>
      <c r="G272" s="144" t="n"/>
      <c r="H272" s="141">
        <f>IF(K272&lt;&gt;"", HYPERLINK("https://chatgpt.com/?prompt=" &amp; SUBSTITUTE(SUBSTITUTE(K272, " ", "+"), "&amp;", "dan") &amp; "&amp;force-refresh=true&amp;timestamp=" &amp; TEXT(NOW(), "yyyymmddhhmmss"), "👉 Klik untuk Generate Script! 🔥"), "")</f>
        <v/>
      </c>
      <c r="I272" s="144" t="n"/>
      <c r="J272" s="148" t="n"/>
      <c r="K272" s="140">
        <f>IF(AND(B272&lt;&gt;"", C272&lt;&gt;"", D272&lt;&gt;"", E272&lt;&gt;"", F272&lt;&gt;"", G272&lt;&gt;"", J272&lt;&gt;"", 'CONTENT PILLAR MAPPING'!C174&lt;&gt;"", 'CONTENT PILLAR MAPPING'!E174&lt;&gt;"", 'CONTENT PILLAR MAPPING'!F174&lt;&gt;"", 'CONTENT PILLAR MAPPING'!C177&lt;&gt;"", 'CONTENT PILLAR MAPPING'!C182&lt;&gt;"", 'CONTENT PILLAR MAPPING'!D182&lt;&gt;"", 'CONTENT PILLAR MAPPING'!E182&lt;&gt;"", 'CONTENT PILLAR MAPPING'!D190&lt;&gt;"", 'CONTENT PILLAR MAPPING'!D191&lt;&gt;""),
CONCATENATE(
"Sebagai seorang top konten kreator dengan niche utama '", 'CONTENT PILLAR MAPPING'!C174, "', spesifik kategori '", 'CONTENT PILLAR MAPPING'!E174, "', dan super spesifik '", 'CONTENT PILLAR MAPPING'!F174, "', yang dikenal sebagai '", 'CONTENT PILLAR MAPPING'!C177, "'.", CHAR(10),
"Saya memiliki Tone of Voice: '", 'CONTENT PILLAR MAPPING'!C182, "', Brand Archetype: '", 'CONTENT PILLAR MAPPING'!D182, "', dan Deskripsi Gaya Komunikasi: '", 'CONTENT PILLAR MAPPING'!E182, "'.", CHAR(10),
"Target audiens saya adalah: '", 'CONTENT PILLAR MAPPING'!D190, "', dengan segmentasi audiens: '", 'CONTENT PILLAR MAPPING'!D191, "'.", CHAR(10), CHAR(10),
"Mohon buatkan script konten yang **sangat powerful, menarik, inovatif, dan siap pakai** dengan judul ide '", B272, "'.", CHAR(10),
"Konten ini memiliki pilar '", C272, "', nilai tambah utama '", F272, "', dan akan menggunakan storytelling framework '", G272, "'.", CHAR(10),
"Gambaran singkat ide kontennya adalah: '", J272, "'.", CHAR(10),
"Konten ini akan diunggah di platform '", E272, "' dengan format '", D272,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MAPPING'!C177, "'.** Sesuaikan dengan gaya komunikasi saya, dengan fokus pada nilai tambah '", F272,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MAPPING'!D190, ", khusus ", 'CONTENT PILLAR MAPPING'!D191, ") dan membantu mereka menyelesaikan masalah atau mencapai tujuan mereka.", CHAR(10),
"✔ Membantuku membangun personal branding yang kuat dan sustainable, sesuai dengan Positioning saya sebagai '", 'CONTENT PILLAR MAPPING'!C177, "' dan Brand Archetype '", 'CONTENT PILLAR MAPPING'!D182, "'.", CHAR(10),
"✔ Kemas dalam bentuk tabel agar rapi, mudah di baca dan dipahami, dengan kolom 'Judul Konten', 'Pilar', 'Format', 'Draft Script', 'CTA', 'Saran Visual', dan 'Full Caption'. (Kosongkan kolom Link Prompt jika ada)."
),
"")</f>
        <v/>
      </c>
      <c r="L272" s="199" t="n"/>
      <c r="M272" s="199" t="n"/>
      <c r="N272" s="102" t="n"/>
      <c r="O272" s="102" t="n"/>
      <c r="P272" s="102" t="n"/>
      <c r="Q272" s="102" t="n"/>
      <c r="R272" s="102" t="n"/>
      <c r="S272" s="102" t="n"/>
      <c r="T272" s="102" t="n"/>
      <c r="U272" s="102" t="n"/>
      <c r="V272" s="102" t="n"/>
      <c r="W272" s="102" t="n"/>
      <c r="X272" s="102" t="n"/>
      <c r="Y272" s="102" t="n"/>
      <c r="Z272" s="102" t="n"/>
      <c r="AA272" s="102" t="n"/>
      <c r="AB272" s="102" t="n"/>
      <c r="AC272" s="102" t="n"/>
      <c r="AD272" s="102" t="n"/>
    </row>
    <row r="273" ht="15.75" customHeight="1" s="205">
      <c r="A273" s="102" t="n"/>
      <c r="B273" s="142" t="n"/>
      <c r="C273" s="143" t="n"/>
      <c r="D273" s="143" t="n"/>
      <c r="E273" s="143" t="n"/>
      <c r="F273" s="143" t="n"/>
      <c r="G273" s="144" t="n"/>
      <c r="H273" s="145">
        <f>IF(K273&lt;&gt;"", HYPERLINK("https://chatgpt.com/?prompt=" &amp; SUBSTITUTE(SUBSTITUTE(K273, " ", "+"), "&amp;", "dan") &amp; "&amp;force-refresh=true&amp;timestamp=" &amp; TEXT(NOW(), "yyyymmddhhmmss"), "👉 Klik untuk Generate Script! 🔥"), "")</f>
        <v/>
      </c>
      <c r="I273" s="143" t="n"/>
      <c r="J273" s="146" t="n"/>
      <c r="K273" s="130">
        <f>IF(AND(B273&lt;&gt;"", C273&lt;&gt;"", D273&lt;&gt;"", E273&lt;&gt;"", F273&lt;&gt;"", G273&lt;&gt;"", J273&lt;&gt;"", 'CONTENT PILLAR MAPPING'!C176&lt;&gt;"", 'CONTENT PILLAR MAPPING'!E176&lt;&gt;"", 'CONTENT PILLAR MAPPING'!F176&lt;&gt;"", 'CONTENT PILLAR MAPPING'!C179&lt;&gt;"", 'CONTENT PILLAR MAPPING'!C184&lt;&gt;"", 'CONTENT PILLAR MAPPING'!D184&lt;&gt;"", 'CONTENT PILLAR MAPPING'!E184&lt;&gt;"", 'CONTENT PILLAR MAPPING'!D192&lt;&gt;"", 'CONTENT PILLAR MAPPING'!D193&lt;&gt;""),
CONCATENATE(
"Sebagai seorang top konten kreator dengan niche utama '", 'CONTENT PILLAR MAPPING'!C176, "', spesifik kategori '", 'CONTENT PILLAR MAPPING'!E176, "', dan super spesifik '", 'CONTENT PILLAR MAPPING'!F176, "', yang dikenal sebagai '", 'CONTENT PILLAR MAPPING'!C179, "'.", CHAR(10),
"Saya memiliki Tone of Voice: '", 'CONTENT PILLAR MAPPING'!C184, "', Brand Archetype: '", 'CONTENT PILLAR MAPPING'!D184, "', dan Deskripsi Gaya Komunikasi: '", 'CONTENT PILLAR MAPPING'!E184, "'.", CHAR(10),
"Target audiens saya adalah: '", 'CONTENT PILLAR MAPPING'!D192, "', dengan segmentasi audiens: '", 'CONTENT PILLAR MAPPING'!D193, "'.", CHAR(10), CHAR(10),
"Mohon buatkan script konten yang **sangat powerful, menarik, inovatif, dan siap pakai** dengan judul ide '", B273, "'.", CHAR(10),
"Konten ini memiliki pilar '", C273, "', nilai tambah utama '", F273, "', dan akan menggunakan storytelling framework '", G273, "'.", CHAR(10),
"Gambaran singkat ide kontennya adalah: '", J273, "'.", CHAR(10),
"Konten ini akan diunggah di platform '", E273, "' dengan format '", D273,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MAPPING'!C179, "'.** Sesuaikan dengan gaya komunikasi saya, dengan fokus pada nilai tambah '", F273,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MAPPING'!D192, ", khusus ", 'CONTENT PILLAR MAPPING'!D193, ") dan membantu mereka menyelesaikan masalah atau mencapai tujuan mereka.", CHAR(10),
"✔ Membantuku membangun personal branding yang kuat dan sustainable, sesuai dengan Positioning saya sebagai '", 'CONTENT PILLAR MAPPING'!C179, "' dan Brand Archetype '", 'CONTENT PILLAR MAPPING'!D184, "'.", CHAR(10),
"✔ Kemas dalam bentuk tabel agar rapi, mudah di baca dan dipahami, dengan kolom 'Judul Konten', 'Pilar', 'Format', 'Draft Script', 'CTA', 'Saran Visual', dan 'Full Caption'. (Kosongkan kolom Link Prompt jika ada)."
),
"")</f>
        <v/>
      </c>
      <c r="L273" s="91" t="n"/>
      <c r="M273" s="91" t="n"/>
      <c r="N273" s="102" t="n"/>
      <c r="O273" s="102" t="n"/>
      <c r="P273" s="102" t="n"/>
      <c r="Q273" s="102" t="n"/>
      <c r="R273" s="102" t="n"/>
      <c r="S273" s="102" t="n"/>
      <c r="T273" s="102" t="n"/>
      <c r="U273" s="102" t="n"/>
      <c r="V273" s="102" t="n"/>
      <c r="W273" s="102" t="n"/>
      <c r="X273" s="102" t="n"/>
      <c r="Y273" s="102" t="n"/>
      <c r="Z273" s="102" t="n"/>
      <c r="AA273" s="102" t="n"/>
      <c r="AB273" s="102" t="n"/>
      <c r="AC273" s="102" t="n"/>
      <c r="AD273" s="102" t="n"/>
    </row>
    <row r="274" ht="15.75" customHeight="1" s="205">
      <c r="A274" s="102" t="n"/>
      <c r="B274" s="147" t="n"/>
      <c r="C274" s="144" t="n"/>
      <c r="D274" s="144" t="n"/>
      <c r="E274" s="144" t="n"/>
      <c r="F274" s="144" t="n"/>
      <c r="G274" s="144" t="n"/>
      <c r="H274" s="141">
        <f>IF(K274&lt;&gt;"", HYPERLINK("https://chatgpt.com/?prompt=" &amp; SUBSTITUTE(SUBSTITUTE(K274, " ", "+"), "&amp;", "dan") &amp; "&amp;force-refresh=true&amp;timestamp=" &amp; TEXT(NOW(), "yyyymmddhhmmss"), "👉 Klik untuk Generate Script! 🔥"), "")</f>
        <v/>
      </c>
      <c r="I274" s="144" t="n"/>
      <c r="J274" s="148" t="n"/>
      <c r="K274" s="140">
        <f>IF(AND(B274&lt;&gt;"", C274&lt;&gt;"", D274&lt;&gt;"", E274&lt;&gt;"", F274&lt;&gt;"", G274&lt;&gt;"", J274&lt;&gt;"", 'CONTENT PILLAR MAPPING'!C176&lt;&gt;"", 'CONTENT PILLAR MAPPING'!E176&lt;&gt;"", 'CONTENT PILLAR MAPPING'!F176&lt;&gt;"", 'CONTENT PILLAR MAPPING'!C179&lt;&gt;"", 'CONTENT PILLAR MAPPING'!C184&lt;&gt;"", 'CONTENT PILLAR MAPPING'!D184&lt;&gt;"", 'CONTENT PILLAR MAPPING'!E184&lt;&gt;"", 'CONTENT PILLAR MAPPING'!D192&lt;&gt;"", 'CONTENT PILLAR MAPPING'!D193&lt;&gt;""),
CONCATENATE(
"Sebagai seorang top konten kreator dengan niche utama '", 'CONTENT PILLAR MAPPING'!C176, "', spesifik kategori '", 'CONTENT PILLAR MAPPING'!E176, "', dan super spesifik '", 'CONTENT PILLAR MAPPING'!F176, "', yang dikenal sebagai '", 'CONTENT PILLAR MAPPING'!C179, "'.", CHAR(10),
"Saya memiliki Tone of Voice: '", 'CONTENT PILLAR MAPPING'!C184, "', Brand Archetype: '", 'CONTENT PILLAR MAPPING'!D184, "', dan Deskripsi Gaya Komunikasi: '", 'CONTENT PILLAR MAPPING'!E184, "'.", CHAR(10),
"Target audiens saya adalah: '", 'CONTENT PILLAR MAPPING'!D192, "', dengan segmentasi audiens: '", 'CONTENT PILLAR MAPPING'!D193, "'.", CHAR(10), CHAR(10),
"Mohon buatkan script konten yang **sangat powerful, menarik, inovatif, dan siap pakai** dengan judul ide '", B274, "'.", CHAR(10),
"Konten ini memiliki pilar '", C274, "', nilai tambah utama '", F274, "', dan akan menggunakan storytelling framework '", G274, "'.", CHAR(10),
"Gambaran singkat ide kontennya adalah: '", J274, "'.", CHAR(10),
"Konten ini akan diunggah di platform '", E274, "' dengan format '", D274,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MAPPING'!C179, "'.** Sesuaikan dengan gaya komunikasi saya, dengan fokus pada nilai tambah '", F274,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MAPPING'!D192, ", khusus ", 'CONTENT PILLAR MAPPING'!D193, ") dan membantu mereka menyelesaikan masalah atau mencapai tujuan mereka.", CHAR(10),
"✔ Membantuku membangun personal branding yang kuat dan sustainable, sesuai dengan Positioning saya sebagai '", 'CONTENT PILLAR MAPPING'!C179, "' dan Brand Archetype '", 'CONTENT PILLAR MAPPING'!D184, "'.", CHAR(10),
"✔ Kemas dalam bentuk tabel agar rapi, mudah di baca dan dipahami, dengan kolom 'Judul Konten', 'Pilar', 'Format', 'Draft Script', 'CTA', 'Saran Visual', dan 'Full Caption'. (Kosongkan kolom Link Prompt jika ada)."
),
"")</f>
        <v/>
      </c>
      <c r="L274" s="199" t="n"/>
      <c r="M274" s="199" t="n"/>
      <c r="N274" s="102" t="n"/>
      <c r="O274" s="102" t="n"/>
      <c r="P274" s="102" t="n"/>
      <c r="Q274" s="102" t="n"/>
      <c r="R274" s="102" t="n"/>
      <c r="S274" s="102" t="n"/>
      <c r="T274" s="102" t="n"/>
      <c r="U274" s="102" t="n"/>
      <c r="V274" s="102" t="n"/>
      <c r="W274" s="102" t="n"/>
      <c r="X274" s="102" t="n"/>
      <c r="Y274" s="102" t="n"/>
      <c r="Z274" s="102" t="n"/>
      <c r="AA274" s="102" t="n"/>
      <c r="AB274" s="102" t="n"/>
      <c r="AC274" s="102" t="n"/>
      <c r="AD274" s="102" t="n"/>
    </row>
    <row r="275" ht="15.75" customHeight="1" s="205">
      <c r="A275" s="102" t="n"/>
      <c r="B275" s="142" t="n"/>
      <c r="C275" s="143" t="n"/>
      <c r="D275" s="143" t="n"/>
      <c r="E275" s="143" t="n"/>
      <c r="F275" s="143" t="n"/>
      <c r="G275" s="144" t="n"/>
      <c r="H275" s="145">
        <f>IF(K275&lt;&gt;"", HYPERLINK("https://chatgpt.com/?prompt=" &amp; SUBSTITUTE(SUBSTITUTE(K275, " ", "+"), "&amp;", "dan") &amp; "&amp;force-refresh=true&amp;timestamp=" &amp; TEXT(NOW(), "yyyymmddhhmmss"), "👉 Klik untuk Generate Script! 🔥"), "")</f>
        <v/>
      </c>
      <c r="I275" s="143" t="n"/>
      <c r="J275" s="146" t="n"/>
      <c r="K275" s="130">
        <f>IF(AND(B275&lt;&gt;"", C275&lt;&gt;"", D275&lt;&gt;"", E275&lt;&gt;"", F275&lt;&gt;"", G275&lt;&gt;"", J275&lt;&gt;"", 'CONTENT PILLAR MAPPING'!C178&lt;&gt;"", 'CONTENT PILLAR MAPPING'!E178&lt;&gt;"", 'CONTENT PILLAR MAPPING'!F178&lt;&gt;"", 'CONTENT PILLAR MAPPING'!C181&lt;&gt;"", 'CONTENT PILLAR MAPPING'!C186&lt;&gt;"", 'CONTENT PILLAR MAPPING'!D186&lt;&gt;"", 'CONTENT PILLAR MAPPING'!E186&lt;&gt;"", 'CONTENT PILLAR MAPPING'!D194&lt;&gt;"", 'CONTENT PILLAR MAPPING'!D195&lt;&gt;""),
CONCATENATE(
"Sebagai seorang top konten kreator dengan niche utama '", 'CONTENT PILLAR MAPPING'!C178, "', spesifik kategori '", 'CONTENT PILLAR MAPPING'!E178, "', dan super spesifik '", 'CONTENT PILLAR MAPPING'!F178, "', yang dikenal sebagai '", 'CONTENT PILLAR MAPPING'!C181, "'.", CHAR(10),
"Saya memiliki Tone of Voice: '", 'CONTENT PILLAR MAPPING'!C186, "', Brand Archetype: '", 'CONTENT PILLAR MAPPING'!D186, "', dan Deskripsi Gaya Komunikasi: '", 'CONTENT PILLAR MAPPING'!E186, "'.", CHAR(10),
"Target audiens saya adalah: '", 'CONTENT PILLAR MAPPING'!D194, "', dengan segmentasi audiens: '", 'CONTENT PILLAR MAPPING'!D195, "'.", CHAR(10), CHAR(10),
"Mohon buatkan script konten yang **sangat powerful, menarik, inovatif, dan siap pakai** dengan judul ide '", B275, "'.", CHAR(10),
"Konten ini memiliki pilar '", C275, "', nilai tambah utama '", F275, "', dan akan menggunakan storytelling framework '", G275, "'.", CHAR(10),
"Gambaran singkat ide kontennya adalah: '", J275, "'.", CHAR(10),
"Konten ini akan diunggah di platform '", E275, "' dengan format '", D275,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MAPPING'!C181, "'.** Sesuaikan dengan gaya komunikasi saya, dengan fokus pada nilai tambah '", F275,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MAPPING'!D194, ", khusus ", 'CONTENT PILLAR MAPPING'!D195, ") dan membantu mereka menyelesaikan masalah atau mencapai tujuan mereka.", CHAR(10),
"✔ Membantuku membangun personal branding yang kuat dan sustainable, sesuai dengan Positioning saya sebagai '", 'CONTENT PILLAR MAPPING'!C181, "' dan Brand Archetype '", 'CONTENT PILLAR MAPPING'!D186, "'.", CHAR(10),
"✔ Kemas dalam bentuk tabel agar rapi, mudah di baca dan dipahami, dengan kolom 'Judul Konten', 'Pilar', 'Format', 'Draft Script', 'CTA', 'Saran Visual', dan 'Full Caption'. (Kosongkan kolom Link Prompt jika ada)."
),
"")</f>
        <v/>
      </c>
      <c r="L275" s="91" t="n"/>
      <c r="M275" s="91" t="n"/>
      <c r="N275" s="102" t="n"/>
      <c r="O275" s="102" t="n"/>
      <c r="P275" s="102" t="n"/>
      <c r="Q275" s="102" t="n"/>
      <c r="R275" s="102" t="n"/>
      <c r="S275" s="102" t="n"/>
      <c r="T275" s="102" t="n"/>
      <c r="U275" s="102" t="n"/>
      <c r="V275" s="102" t="n"/>
      <c r="W275" s="102" t="n"/>
      <c r="X275" s="102" t="n"/>
      <c r="Y275" s="102" t="n"/>
      <c r="Z275" s="102" t="n"/>
      <c r="AA275" s="102" t="n"/>
      <c r="AB275" s="102" t="n"/>
      <c r="AC275" s="102" t="n"/>
      <c r="AD275" s="102" t="n"/>
    </row>
    <row r="276" ht="15.75" customHeight="1" s="205">
      <c r="A276" s="102" t="n"/>
      <c r="B276" s="147" t="n"/>
      <c r="C276" s="144" t="n"/>
      <c r="D276" s="144" t="n"/>
      <c r="E276" s="144" t="n"/>
      <c r="F276" s="144" t="n"/>
      <c r="G276" s="144" t="n"/>
      <c r="H276" s="141">
        <f>IF(K276&lt;&gt;"", HYPERLINK("https://chatgpt.com/?prompt=" &amp; SUBSTITUTE(SUBSTITUTE(K276, " ", "+"), "&amp;", "dan") &amp; "&amp;force-refresh=true&amp;timestamp=" &amp; TEXT(NOW(), "yyyymmddhhmmss"), "👉 Klik untuk Generate Script! 🔥"), "")</f>
        <v/>
      </c>
      <c r="I276" s="144" t="n"/>
      <c r="J276" s="148" t="n"/>
      <c r="K276" s="140">
        <f>IF(AND(B276&lt;&gt;"", C276&lt;&gt;"", D276&lt;&gt;"", E276&lt;&gt;"", F276&lt;&gt;"", G276&lt;&gt;"", J276&lt;&gt;"", 'CONTENT PILLAR MAPPING'!C178&lt;&gt;"", 'CONTENT PILLAR MAPPING'!E178&lt;&gt;"", 'CONTENT PILLAR MAPPING'!F178&lt;&gt;"", 'CONTENT PILLAR MAPPING'!C181&lt;&gt;"", 'CONTENT PILLAR MAPPING'!C186&lt;&gt;"", 'CONTENT PILLAR MAPPING'!D186&lt;&gt;"", 'CONTENT PILLAR MAPPING'!E186&lt;&gt;"", 'CONTENT PILLAR MAPPING'!D194&lt;&gt;"", 'CONTENT PILLAR MAPPING'!D195&lt;&gt;""),
CONCATENATE(
"Sebagai seorang top konten kreator dengan niche utama '", 'CONTENT PILLAR MAPPING'!C178, "', spesifik kategori '", 'CONTENT PILLAR MAPPING'!E178, "', dan super spesifik '", 'CONTENT PILLAR MAPPING'!F178, "', yang dikenal sebagai '", 'CONTENT PILLAR MAPPING'!C181, "'.", CHAR(10),
"Saya memiliki Tone of Voice: '", 'CONTENT PILLAR MAPPING'!C186, "', Brand Archetype: '", 'CONTENT PILLAR MAPPING'!D186, "', dan Deskripsi Gaya Komunikasi: '", 'CONTENT PILLAR MAPPING'!E186, "'.", CHAR(10),
"Target audiens saya adalah: '", 'CONTENT PILLAR MAPPING'!D194, "', dengan segmentasi audiens: '", 'CONTENT PILLAR MAPPING'!D195, "'.", CHAR(10), CHAR(10),
"Mohon buatkan script konten yang **sangat powerful, menarik, inovatif, dan siap pakai** dengan judul ide '", B276, "'.", CHAR(10),
"Konten ini memiliki pilar '", C276, "', nilai tambah utama '", F276, "', dan akan menggunakan storytelling framework '", G276, "'.", CHAR(10),
"Gambaran singkat ide kontennya adalah: '", J276, "'.", CHAR(10),
"Konten ini akan diunggah di platform '", E276, "' dengan format '", D276,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MAPPING'!C181, "'.** Sesuaikan dengan gaya komunikasi saya, dengan fokus pada nilai tambah '", F276,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MAPPING'!D194, ", khusus ", 'CONTENT PILLAR MAPPING'!D195, ") dan membantu mereka menyelesaikan masalah atau mencapai tujuan mereka.", CHAR(10),
"✔ Membantuku membangun personal branding yang kuat dan sustainable, sesuai dengan Positioning saya sebagai '", 'CONTENT PILLAR MAPPING'!C181, "' dan Brand Archetype '", 'CONTENT PILLAR MAPPING'!D186, "'.", CHAR(10),
"✔ Kemas dalam bentuk tabel agar rapi, mudah di baca dan dipahami, dengan kolom 'Judul Konten', 'Pilar', 'Format', 'Draft Script', 'CTA', 'Saran Visual', dan 'Full Caption'. (Kosongkan kolom Link Prompt jika ada)."
),
"")</f>
        <v/>
      </c>
      <c r="L276" s="199" t="n"/>
      <c r="M276" s="199" t="n"/>
      <c r="N276" s="102" t="n"/>
      <c r="O276" s="102" t="n"/>
      <c r="P276" s="102" t="n"/>
      <c r="Q276" s="102" t="n"/>
      <c r="R276" s="102" t="n"/>
      <c r="S276" s="102" t="n"/>
      <c r="T276" s="102" t="n"/>
      <c r="U276" s="102" t="n"/>
      <c r="V276" s="102" t="n"/>
      <c r="W276" s="102" t="n"/>
      <c r="X276" s="102" t="n"/>
      <c r="Y276" s="102" t="n"/>
      <c r="Z276" s="102" t="n"/>
      <c r="AA276" s="102" t="n"/>
      <c r="AB276" s="102" t="n"/>
      <c r="AC276" s="102" t="n"/>
      <c r="AD276" s="102" t="n"/>
    </row>
    <row r="277" ht="15.75" customHeight="1" s="205">
      <c r="A277" s="102" t="n"/>
      <c r="B277" s="142" t="n"/>
      <c r="C277" s="143" t="n"/>
      <c r="D277" s="143" t="n"/>
      <c r="E277" s="143" t="n"/>
      <c r="F277" s="143" t="n"/>
      <c r="G277" s="144" t="n"/>
      <c r="H277" s="145">
        <f>IF(K277&lt;&gt;"", HYPERLINK("https://chatgpt.com/?prompt=" &amp; SUBSTITUTE(SUBSTITUTE(K277, " ", "+"), "&amp;", "dan") &amp; "&amp;force-refresh=true&amp;timestamp=" &amp; TEXT(NOW(), "yyyymmddhhmmss"), "👉 Klik untuk Generate Script! 🔥"), "")</f>
        <v/>
      </c>
      <c r="I277" s="143" t="n"/>
      <c r="J277" s="146" t="n"/>
      <c r="K277" s="130">
        <f>IF(AND(B277&lt;&gt;"", C277&lt;&gt;"", D277&lt;&gt;"", E277&lt;&gt;"", F277&lt;&gt;"", G277&lt;&gt;"", J277&lt;&gt;"", 'CONTENT PILLAR MAPPING'!C180&lt;&gt;"", 'CONTENT PILLAR MAPPING'!E180&lt;&gt;"", 'CONTENT PILLAR MAPPING'!F180&lt;&gt;"", 'CONTENT PILLAR MAPPING'!C183&lt;&gt;"", 'CONTENT PILLAR MAPPING'!C188&lt;&gt;"", 'CONTENT PILLAR MAPPING'!D188&lt;&gt;"", 'CONTENT PILLAR MAPPING'!E188&lt;&gt;"", 'CONTENT PILLAR MAPPING'!D196&lt;&gt;"", 'CONTENT PILLAR MAPPING'!D197&lt;&gt;""),
CONCATENATE(
"Sebagai seorang top konten kreator dengan niche utama '", 'CONTENT PILLAR MAPPING'!C180, "', spesifik kategori '", 'CONTENT PILLAR MAPPING'!E180, "', dan super spesifik '", 'CONTENT PILLAR MAPPING'!F180, "', yang dikenal sebagai '", 'CONTENT PILLAR MAPPING'!C183, "'.", CHAR(10),
"Saya memiliki Tone of Voice: '", 'CONTENT PILLAR MAPPING'!C188, "', Brand Archetype: '", 'CONTENT PILLAR MAPPING'!D188, "', dan Deskripsi Gaya Komunikasi: '", 'CONTENT PILLAR MAPPING'!E188, "'.", CHAR(10),
"Target audiens saya adalah: '", 'CONTENT PILLAR MAPPING'!D196, "', dengan segmentasi audiens: '", 'CONTENT PILLAR MAPPING'!D197, "'.", CHAR(10), CHAR(10),
"Mohon buatkan script konten yang **sangat powerful, menarik, inovatif, dan siap pakai** dengan judul ide '", B277, "'.", CHAR(10),
"Konten ini memiliki pilar '", C277, "', nilai tambah utama '", F277, "', dan akan menggunakan storytelling framework '", G277, "'.", CHAR(10),
"Gambaran singkat ide kontennya adalah: '", J277, "'.", CHAR(10),
"Konten ini akan diunggah di platform '", E277, "' dengan format '", D277,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MAPPING'!C183, "'.** Sesuaikan dengan gaya komunikasi saya, dengan fokus pada nilai tambah '", F277,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MAPPING'!D196, ", khusus ", 'CONTENT PILLAR MAPPING'!D197, ") dan membantu mereka menyelesaikan masalah atau mencapai tujuan mereka.", CHAR(10),
"✔ Membantuku membangun personal branding yang kuat dan sustainable, sesuai dengan Positioning saya sebagai '", 'CONTENT PILLAR MAPPING'!C183, "' dan Brand Archetype '", 'CONTENT PILLAR MAPPING'!D188, "'.", CHAR(10),
"✔ Kemas dalam bentuk tabel agar rapi, mudah di baca dan dipahami, dengan kolom 'Judul Konten', 'Pilar', 'Format', 'Draft Script', 'CTA', 'Saran Visual', dan 'Full Caption'. (Kosongkan kolom Link Prompt jika ada)."
),
"")</f>
        <v/>
      </c>
      <c r="L277" s="91" t="n"/>
      <c r="M277" s="91" t="n"/>
      <c r="N277" s="102" t="n"/>
      <c r="O277" s="102" t="n"/>
      <c r="P277" s="102" t="n"/>
      <c r="Q277" s="102" t="n"/>
      <c r="R277" s="102" t="n"/>
      <c r="S277" s="102" t="n"/>
      <c r="T277" s="102" t="n"/>
      <c r="U277" s="102" t="n"/>
      <c r="V277" s="102" t="n"/>
      <c r="W277" s="102" t="n"/>
      <c r="X277" s="102" t="n"/>
      <c r="Y277" s="102" t="n"/>
      <c r="Z277" s="102" t="n"/>
      <c r="AA277" s="102" t="n"/>
      <c r="AB277" s="102" t="n"/>
      <c r="AC277" s="102" t="n"/>
      <c r="AD277" s="102" t="n"/>
    </row>
    <row r="278" ht="15.75" customHeight="1" s="205">
      <c r="A278" s="102" t="n"/>
      <c r="B278" s="147" t="n"/>
      <c r="C278" s="144" t="n"/>
      <c r="D278" s="144" t="n"/>
      <c r="E278" s="144" t="n"/>
      <c r="F278" s="144" t="n"/>
      <c r="G278" s="144" t="n"/>
      <c r="H278" s="141">
        <f>IF(K278&lt;&gt;"", HYPERLINK("https://chatgpt.com/?prompt=" &amp; SUBSTITUTE(SUBSTITUTE(K278, " ", "+"), "&amp;", "dan") &amp; "&amp;force-refresh=true&amp;timestamp=" &amp; TEXT(NOW(), "yyyymmddhhmmss"), "👉 Klik untuk Generate Script! 🔥"), "")</f>
        <v/>
      </c>
      <c r="I278" s="144" t="n"/>
      <c r="J278" s="148" t="n"/>
      <c r="K278" s="140">
        <f>IF(AND(B278&lt;&gt;"", C278&lt;&gt;"", D278&lt;&gt;"", E278&lt;&gt;"", F278&lt;&gt;"", G278&lt;&gt;"", J278&lt;&gt;"", 'CONTENT PILLAR MAPPING'!C180&lt;&gt;"", 'CONTENT PILLAR MAPPING'!E180&lt;&gt;"", 'CONTENT PILLAR MAPPING'!F180&lt;&gt;"", 'CONTENT PILLAR MAPPING'!C183&lt;&gt;"", 'CONTENT PILLAR MAPPING'!C188&lt;&gt;"", 'CONTENT PILLAR MAPPING'!D188&lt;&gt;"", 'CONTENT PILLAR MAPPING'!E188&lt;&gt;"", 'CONTENT PILLAR MAPPING'!D196&lt;&gt;"", 'CONTENT PILLAR MAPPING'!D197&lt;&gt;""),
CONCATENATE(
"Sebagai seorang top konten kreator dengan niche utama '", 'CONTENT PILLAR MAPPING'!C180, "', spesifik kategori '", 'CONTENT PILLAR MAPPING'!E180, "', dan super spesifik '", 'CONTENT PILLAR MAPPING'!F180, "', yang dikenal sebagai '", 'CONTENT PILLAR MAPPING'!C183, "'.", CHAR(10),
"Saya memiliki Tone of Voice: '", 'CONTENT PILLAR MAPPING'!C188, "', Brand Archetype: '", 'CONTENT PILLAR MAPPING'!D188, "', dan Deskripsi Gaya Komunikasi: '", 'CONTENT PILLAR MAPPING'!E188, "'.", CHAR(10),
"Target audiens saya adalah: '", 'CONTENT PILLAR MAPPING'!D196, "', dengan segmentasi audiens: '", 'CONTENT PILLAR MAPPING'!D197, "'.", CHAR(10), CHAR(10),
"Mohon buatkan script konten yang **sangat powerful, menarik, inovatif, dan siap pakai** dengan judul ide '", B278, "'.", CHAR(10),
"Konten ini memiliki pilar '", C278, "', nilai tambah utama '", F278, "', dan akan menggunakan storytelling framework '", G278, "'.", CHAR(10),
"Gambaran singkat ide kontennya adalah: '", J278, "'.", CHAR(10),
"Konten ini akan diunggah di platform '", E278, "' dengan format '", D278,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MAPPING'!C183, "'.** Sesuaikan dengan gaya komunikasi saya, dengan fokus pada nilai tambah '", F278,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MAPPING'!D196, ", khusus ", 'CONTENT PILLAR MAPPING'!D197, ") dan membantu mereka menyelesaikan masalah atau mencapai tujuan mereka.", CHAR(10),
"✔ Membantuku membangun personal branding yang kuat dan sustainable, sesuai dengan Positioning saya sebagai '", 'CONTENT PILLAR MAPPING'!C183, "' dan Brand Archetype '", 'CONTENT PILLAR MAPPING'!D188, "'.", CHAR(10),
"✔ Kemas dalam bentuk tabel agar rapi, mudah di baca dan dipahami, dengan kolom 'Judul Konten', 'Pilar', 'Format', 'Draft Script', 'CTA', 'Saran Visual', dan 'Full Caption'. (Kosongkan kolom Link Prompt jika ada)."
),
"")</f>
        <v/>
      </c>
      <c r="L278" s="199" t="n"/>
      <c r="M278" s="199" t="n"/>
      <c r="N278" s="102" t="n"/>
      <c r="O278" s="102" t="n"/>
      <c r="P278" s="102" t="n"/>
      <c r="Q278" s="102" t="n"/>
      <c r="R278" s="102" t="n"/>
      <c r="S278" s="102" t="n"/>
      <c r="T278" s="102" t="n"/>
      <c r="U278" s="102" t="n"/>
      <c r="V278" s="102" t="n"/>
      <c r="W278" s="102" t="n"/>
      <c r="X278" s="102" t="n"/>
      <c r="Y278" s="102" t="n"/>
      <c r="Z278" s="102" t="n"/>
      <c r="AA278" s="102" t="n"/>
      <c r="AB278" s="102" t="n"/>
      <c r="AC278" s="102" t="n"/>
      <c r="AD278" s="102" t="n"/>
    </row>
    <row r="279" ht="15.75" customHeight="1" s="205">
      <c r="A279" s="102" t="n"/>
      <c r="B279" s="142" t="n"/>
      <c r="C279" s="143" t="n"/>
      <c r="D279" s="143" t="n"/>
      <c r="E279" s="143" t="n"/>
      <c r="F279" s="143" t="n"/>
      <c r="G279" s="144" t="n"/>
      <c r="H279" s="145">
        <f>IF(K279&lt;&gt;"", HYPERLINK("https://chatgpt.com/?prompt=" &amp; SUBSTITUTE(SUBSTITUTE(K279, " ", "+"), "&amp;", "dan") &amp; "&amp;force-refresh=true&amp;timestamp=" &amp; TEXT(NOW(), "yyyymmddhhmmss"), "👉 Klik untuk Generate Script! 🔥"), "")</f>
        <v/>
      </c>
      <c r="I279" s="143" t="n"/>
      <c r="J279" s="146" t="n"/>
      <c r="K279" s="130">
        <f>IF(AND(B279&lt;&gt;"", C279&lt;&gt;"", D279&lt;&gt;"", E279&lt;&gt;"", F279&lt;&gt;"", G279&lt;&gt;"", J279&lt;&gt;"", 'CONTENT PILLAR MAPPING'!C182&lt;&gt;"", 'CONTENT PILLAR MAPPING'!E182&lt;&gt;"", 'CONTENT PILLAR MAPPING'!F182&lt;&gt;"", 'CONTENT PILLAR MAPPING'!C185&lt;&gt;"", 'CONTENT PILLAR MAPPING'!C190&lt;&gt;"", 'CONTENT PILLAR MAPPING'!D190&lt;&gt;"", 'CONTENT PILLAR MAPPING'!E190&lt;&gt;"", 'CONTENT PILLAR MAPPING'!D198&lt;&gt;"", 'CONTENT PILLAR MAPPING'!D199&lt;&gt;""),
CONCATENATE(
"Sebagai seorang top konten kreator dengan niche utama '", 'CONTENT PILLAR MAPPING'!C182, "', spesifik kategori '", 'CONTENT PILLAR MAPPING'!E182, "', dan super spesifik '", 'CONTENT PILLAR MAPPING'!F182, "', yang dikenal sebagai '", 'CONTENT PILLAR MAPPING'!C185, "'.", CHAR(10),
"Saya memiliki Tone of Voice: '", 'CONTENT PILLAR MAPPING'!C190, "', Brand Archetype: '", 'CONTENT PILLAR MAPPING'!D190, "', dan Deskripsi Gaya Komunikasi: '", 'CONTENT PILLAR MAPPING'!E190, "'.", CHAR(10),
"Target audiens saya adalah: '", 'CONTENT PILLAR MAPPING'!D198, "', dengan segmentasi audiens: '", 'CONTENT PILLAR MAPPING'!D199, "'.", CHAR(10), CHAR(10),
"Mohon buatkan script konten yang **sangat powerful, menarik, inovatif, dan siap pakai** dengan judul ide '", B279, "'.", CHAR(10),
"Konten ini memiliki pilar '", C279, "', nilai tambah utama '", F279, "', dan akan menggunakan storytelling framework '", G279, "'.", CHAR(10),
"Gambaran singkat ide kontennya adalah: '", J279, "'.", CHAR(10),
"Konten ini akan diunggah di platform '", E279, "' dengan format '", D279,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MAPPING'!C185, "'.** Sesuaikan dengan gaya komunikasi saya, dengan fokus pada nilai tambah '", F279,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MAPPING'!D198, ", khusus ", 'CONTENT PILLAR MAPPING'!D199, ") dan membantu mereka menyelesaikan masalah atau mencapai tujuan mereka.", CHAR(10),
"✔ Membantuku membangun personal branding yang kuat dan sustainable, sesuai dengan Positioning saya sebagai '", 'CONTENT PILLAR MAPPING'!C185, "' dan Brand Archetype '", 'CONTENT PILLAR MAPPING'!D190, "'.", CHAR(10),
"✔ Kemas dalam bentuk tabel agar rapi, mudah di baca dan dipahami, dengan kolom 'Judul Konten', 'Pilar', 'Format', 'Draft Script', 'CTA', 'Saran Visual', dan 'Full Caption'. (Kosongkan kolom Link Prompt jika ada)."
),
"")</f>
        <v/>
      </c>
      <c r="L279" s="91" t="n"/>
      <c r="M279" s="91" t="n"/>
      <c r="N279" s="102" t="n"/>
      <c r="O279" s="102" t="n"/>
      <c r="P279" s="102" t="n"/>
      <c r="Q279" s="102" t="n"/>
      <c r="R279" s="102" t="n"/>
      <c r="S279" s="102" t="n"/>
      <c r="T279" s="102" t="n"/>
      <c r="U279" s="102" t="n"/>
      <c r="V279" s="102" t="n"/>
      <c r="W279" s="102" t="n"/>
      <c r="X279" s="102" t="n"/>
      <c r="Y279" s="102" t="n"/>
      <c r="Z279" s="102" t="n"/>
      <c r="AA279" s="102" t="n"/>
      <c r="AB279" s="102" t="n"/>
      <c r="AC279" s="102" t="n"/>
      <c r="AD279" s="102" t="n"/>
    </row>
    <row r="280" ht="15.75" customHeight="1" s="205">
      <c r="A280" s="102" t="n"/>
      <c r="B280" s="147" t="n"/>
      <c r="C280" s="144" t="n"/>
      <c r="D280" s="144" t="n"/>
      <c r="E280" s="144" t="n"/>
      <c r="F280" s="144" t="n"/>
      <c r="G280" s="144" t="n"/>
      <c r="H280" s="141">
        <f>IF(K280&lt;&gt;"", HYPERLINK("https://chatgpt.com/?prompt=" &amp; SUBSTITUTE(SUBSTITUTE(K280, " ", "+"), "&amp;", "dan") &amp; "&amp;force-refresh=true&amp;timestamp=" &amp; TEXT(NOW(), "yyyymmddhhmmss"), "👉 Klik untuk Generate Script! 🔥"), "")</f>
        <v/>
      </c>
      <c r="I280" s="144" t="n"/>
      <c r="J280" s="148" t="n"/>
      <c r="K280" s="140">
        <f>IF(AND(B280&lt;&gt;"", C280&lt;&gt;"", D280&lt;&gt;"", E280&lt;&gt;"", F280&lt;&gt;"", G280&lt;&gt;"", J280&lt;&gt;"", 'CONTENT PILLAR MAPPING'!C182&lt;&gt;"", 'CONTENT PILLAR MAPPING'!E182&lt;&gt;"", 'CONTENT PILLAR MAPPING'!F182&lt;&gt;"", 'CONTENT PILLAR MAPPING'!C185&lt;&gt;"", 'CONTENT PILLAR MAPPING'!C190&lt;&gt;"", 'CONTENT PILLAR MAPPING'!D190&lt;&gt;"", 'CONTENT PILLAR MAPPING'!E190&lt;&gt;"", 'CONTENT PILLAR MAPPING'!D198&lt;&gt;"", 'CONTENT PILLAR MAPPING'!D199&lt;&gt;""),
CONCATENATE(
"Sebagai seorang top konten kreator dengan niche utama '", 'CONTENT PILLAR MAPPING'!C182, "', spesifik kategori '", 'CONTENT PILLAR MAPPING'!E182, "', dan super spesifik '", 'CONTENT PILLAR MAPPING'!F182, "', yang dikenal sebagai '", 'CONTENT PILLAR MAPPING'!C185, "'.", CHAR(10),
"Saya memiliki Tone of Voice: '", 'CONTENT PILLAR MAPPING'!C190, "', Brand Archetype: '", 'CONTENT PILLAR MAPPING'!D190, "', dan Deskripsi Gaya Komunikasi: '", 'CONTENT PILLAR MAPPING'!E190, "'.", CHAR(10),
"Target audiens saya adalah: '", 'CONTENT PILLAR MAPPING'!D198, "', dengan segmentasi audiens: '", 'CONTENT PILLAR MAPPING'!D199, "'.", CHAR(10), CHAR(10),
"Mohon buatkan script konten yang **sangat powerful, menarik, inovatif, dan siap pakai** dengan judul ide '", B280, "'.", CHAR(10),
"Konten ini memiliki pilar '", C280, "', nilai tambah utama '", F280, "', dan akan menggunakan storytelling framework '", G280, "'.", CHAR(10),
"Gambaran singkat ide kontennya adalah: '", J280, "'.", CHAR(10),
"Konten ini akan diunggah di platform '", E280, "' dengan format '", D280,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MAPPING'!C185, "'.** Sesuaikan dengan gaya komunikasi saya, dengan fokus pada nilai tambah '", F280,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MAPPING'!D198, ", khusus ", 'CONTENT PILLAR MAPPING'!D199, ") dan membantu mereka menyelesaikan masalah atau mencapai tujuan mereka.", CHAR(10),
"✔ Membantuku membangun personal branding yang kuat dan sustainable, sesuai dengan Positioning saya sebagai '", 'CONTENT PILLAR MAPPING'!C185, "' dan Brand Archetype '", 'CONTENT PILLAR MAPPING'!D190, "'.", CHAR(10),
"✔ Kemas dalam bentuk tabel agar rapi, mudah di baca dan dipahami, dengan kolom 'Judul Konten', 'Pilar', 'Format', 'Draft Script', 'CTA', 'Saran Visual', dan 'Full Caption'. (Kosongkan kolom Link Prompt jika ada)."
),
"")</f>
        <v/>
      </c>
      <c r="L280" s="199" t="n"/>
      <c r="M280" s="199" t="n"/>
      <c r="N280" s="102" t="n"/>
      <c r="O280" s="102" t="n"/>
      <c r="P280" s="102" t="n"/>
      <c r="Q280" s="102" t="n"/>
      <c r="R280" s="102" t="n"/>
      <c r="S280" s="102" t="n"/>
      <c r="T280" s="102" t="n"/>
      <c r="U280" s="102" t="n"/>
      <c r="V280" s="102" t="n"/>
      <c r="W280" s="102" t="n"/>
      <c r="X280" s="102" t="n"/>
      <c r="Y280" s="102" t="n"/>
      <c r="Z280" s="102" t="n"/>
      <c r="AA280" s="102" t="n"/>
      <c r="AB280" s="102" t="n"/>
      <c r="AC280" s="102" t="n"/>
      <c r="AD280" s="102" t="n"/>
    </row>
    <row r="281" ht="15.75" customHeight="1" s="205">
      <c r="A281" s="102" t="n"/>
      <c r="B281" s="142" t="n"/>
      <c r="C281" s="143" t="n"/>
      <c r="D281" s="143" t="n"/>
      <c r="E281" s="143" t="n"/>
      <c r="F281" s="143" t="n"/>
      <c r="G281" s="144" t="n"/>
      <c r="H281" s="145">
        <f>IF(K281&lt;&gt;"", HYPERLINK("https://chatgpt.com/?prompt=" &amp; SUBSTITUTE(SUBSTITUTE(K281, " ", "+"), "&amp;", "dan") &amp; "&amp;force-refresh=true&amp;timestamp=" &amp; TEXT(NOW(), "yyyymmddhhmmss"), "👉 Klik untuk Generate Script! 🔥"), "")</f>
        <v/>
      </c>
      <c r="I281" s="143" t="n"/>
      <c r="J281" s="146" t="n"/>
      <c r="K281" s="130">
        <f>IF(AND(B281&lt;&gt;"", C281&lt;&gt;"", D281&lt;&gt;"", E281&lt;&gt;"", F281&lt;&gt;"", G281&lt;&gt;"", J281&lt;&gt;"", 'CONTENT PILLAR MAPPING'!C184&lt;&gt;"", 'CONTENT PILLAR MAPPING'!E184&lt;&gt;"", 'CONTENT PILLAR MAPPING'!F184&lt;&gt;"", 'CONTENT PILLAR MAPPING'!C187&lt;&gt;"", 'CONTENT PILLAR MAPPING'!C192&lt;&gt;"", 'CONTENT PILLAR MAPPING'!D192&lt;&gt;"", 'CONTENT PILLAR MAPPING'!E192&lt;&gt;"", 'CONTENT PILLAR MAPPING'!D200&lt;&gt;"", 'CONTENT PILLAR MAPPING'!D201&lt;&gt;""),
CONCATENATE(
"Sebagai seorang top konten kreator dengan niche utama '", 'CONTENT PILLAR MAPPING'!C184, "', spesifik kategori '", 'CONTENT PILLAR MAPPING'!E184, "', dan super spesifik '", 'CONTENT PILLAR MAPPING'!F184, "', yang dikenal sebagai '", 'CONTENT PILLAR MAPPING'!C187, "'.", CHAR(10),
"Saya memiliki Tone of Voice: '", 'CONTENT PILLAR MAPPING'!C192, "', Brand Archetype: '", 'CONTENT PILLAR MAPPING'!D192, "', dan Deskripsi Gaya Komunikasi: '", 'CONTENT PILLAR MAPPING'!E192, "'.", CHAR(10),
"Target audiens saya adalah: '", 'CONTENT PILLAR MAPPING'!D200, "', dengan segmentasi audiens: '", 'CONTENT PILLAR MAPPING'!D201, "'.", CHAR(10), CHAR(10),
"Mohon buatkan script konten yang **sangat powerful, menarik, inovatif, dan siap pakai** dengan judul ide '", B281, "'.", CHAR(10),
"Konten ini memiliki pilar '", C281, "', nilai tambah utama '", F281, "', dan akan menggunakan storytelling framework '", G281, "'.", CHAR(10),
"Gambaran singkat ide kontennya adalah: '", J281, "'.", CHAR(10),
"Konten ini akan diunggah di platform '", E281, "' dengan format '", D281,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MAPPING'!C187, "'.** Sesuaikan dengan gaya komunikasi saya, dengan fokus pada nilai tambah '", F281,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MAPPING'!D200, ", khusus ", 'CONTENT PILLAR MAPPING'!D201, ") dan membantu mereka menyelesaikan masalah atau mencapai tujuan mereka.", CHAR(10),
"✔ Membantuku membangun personal branding yang kuat dan sustainable, sesuai dengan Positioning saya sebagai '", 'CONTENT PILLAR MAPPING'!C187, "' dan Brand Archetype '", 'CONTENT PILLAR MAPPING'!D192, "'.", CHAR(10),
"✔ Kemas dalam bentuk tabel agar rapi, mudah di baca dan dipahami, dengan kolom 'Judul Konten', 'Pilar', 'Format', 'Draft Script', 'CTA', 'Saran Visual', dan 'Full Caption'. (Kosongkan kolom Link Prompt jika ada)."
),
"")</f>
        <v/>
      </c>
      <c r="L281" s="91" t="n"/>
      <c r="M281" s="91" t="n"/>
      <c r="N281" s="102" t="n"/>
      <c r="O281" s="102" t="n"/>
      <c r="P281" s="102" t="n"/>
      <c r="Q281" s="102" t="n"/>
      <c r="R281" s="102" t="n"/>
      <c r="S281" s="102" t="n"/>
      <c r="T281" s="102" t="n"/>
      <c r="U281" s="102" t="n"/>
      <c r="V281" s="102" t="n"/>
      <c r="W281" s="102" t="n"/>
      <c r="X281" s="102" t="n"/>
      <c r="Y281" s="102" t="n"/>
      <c r="Z281" s="102" t="n"/>
      <c r="AA281" s="102" t="n"/>
      <c r="AB281" s="102" t="n"/>
      <c r="AC281" s="102" t="n"/>
      <c r="AD281" s="102" t="n"/>
    </row>
    <row r="282" ht="15.75" customHeight="1" s="205">
      <c r="A282" s="102" t="n"/>
      <c r="B282" s="147" t="n"/>
      <c r="C282" s="144" t="n"/>
      <c r="D282" s="144" t="n"/>
      <c r="E282" s="144" t="n"/>
      <c r="F282" s="144" t="n"/>
      <c r="G282" s="144" t="n"/>
      <c r="H282" s="141">
        <f>IF(K282&lt;&gt;"", HYPERLINK("https://chatgpt.com/?prompt=" &amp; SUBSTITUTE(SUBSTITUTE(K282, " ", "+"), "&amp;", "dan") &amp; "&amp;force-refresh=true&amp;timestamp=" &amp; TEXT(NOW(), "yyyymmddhhmmss"), "👉 Klik untuk Generate Script! 🔥"), "")</f>
        <v/>
      </c>
      <c r="I282" s="144" t="n"/>
      <c r="J282" s="148" t="n"/>
      <c r="K282" s="140">
        <f>IF(AND(B282&lt;&gt;"", C282&lt;&gt;"", D282&lt;&gt;"", E282&lt;&gt;"", F282&lt;&gt;"", G282&lt;&gt;"", J282&lt;&gt;"", 'CONTENT PILLAR MAPPING'!C184&lt;&gt;"", 'CONTENT PILLAR MAPPING'!E184&lt;&gt;"", 'CONTENT PILLAR MAPPING'!F184&lt;&gt;"", 'CONTENT PILLAR MAPPING'!C187&lt;&gt;"", 'CONTENT PILLAR MAPPING'!C192&lt;&gt;"", 'CONTENT PILLAR MAPPING'!D192&lt;&gt;"", 'CONTENT PILLAR MAPPING'!E192&lt;&gt;"", 'CONTENT PILLAR MAPPING'!D200&lt;&gt;"", 'CONTENT PILLAR MAPPING'!D201&lt;&gt;""),
CONCATENATE(
"Sebagai seorang top konten kreator dengan niche utama '", 'CONTENT PILLAR MAPPING'!C184, "', spesifik kategori '", 'CONTENT PILLAR MAPPING'!E184, "', dan super spesifik '", 'CONTENT PILLAR MAPPING'!F184, "', yang dikenal sebagai '", 'CONTENT PILLAR MAPPING'!C187, "'.", CHAR(10),
"Saya memiliki Tone of Voice: '", 'CONTENT PILLAR MAPPING'!C192, "', Brand Archetype: '", 'CONTENT PILLAR MAPPING'!D192, "', dan Deskripsi Gaya Komunikasi: '", 'CONTENT PILLAR MAPPING'!E192, "'.", CHAR(10),
"Target audiens saya adalah: '", 'CONTENT PILLAR MAPPING'!D200, "', dengan segmentasi audiens: '", 'CONTENT PILLAR MAPPING'!D201, "'.", CHAR(10), CHAR(10),
"Mohon buatkan script konten yang **sangat powerful, menarik, inovatif, dan siap pakai** dengan judul ide '", B282, "'.", CHAR(10),
"Konten ini memiliki pilar '", C282, "', nilai tambah utama '", F282, "', dan akan menggunakan storytelling framework '", G282, "'.", CHAR(10),
"Gambaran singkat ide kontennya adalah: '", J282, "'.", CHAR(10),
"Konten ini akan diunggah di platform '", E282, "' dengan format '", D282,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MAPPING'!C187, "'.** Sesuaikan dengan gaya komunikasi saya, dengan fokus pada nilai tambah '", F282,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MAPPING'!D200, ", khusus ", 'CONTENT PILLAR MAPPING'!D201, ") dan membantu mereka menyelesaikan masalah atau mencapai tujuan mereka.", CHAR(10),
"✔ Membantuku membangun personal branding yang kuat dan sustainable, sesuai dengan Positioning saya sebagai '", 'CONTENT PILLAR MAPPING'!C187, "' dan Brand Archetype '", 'CONTENT PILLAR MAPPING'!D192, "'.", CHAR(10),
"✔ Kemas dalam bentuk tabel agar rapi, mudah di baca dan dipahami, dengan kolom 'Judul Konten', 'Pilar', 'Format', 'Draft Script', 'CTA', 'Saran Visual', dan 'Full Caption'. (Kosongkan kolom Link Prompt jika ada)."
),
"")</f>
        <v/>
      </c>
      <c r="L282" s="199" t="n"/>
      <c r="M282" s="199" t="n"/>
      <c r="N282" s="102" t="n"/>
      <c r="O282" s="102" t="n"/>
      <c r="P282" s="102" t="n"/>
      <c r="Q282" s="102" t="n"/>
      <c r="R282" s="102" t="n"/>
      <c r="S282" s="102" t="n"/>
      <c r="T282" s="102" t="n"/>
      <c r="U282" s="102" t="n"/>
      <c r="V282" s="102" t="n"/>
      <c r="W282" s="102" t="n"/>
      <c r="X282" s="102" t="n"/>
      <c r="Y282" s="102" t="n"/>
      <c r="Z282" s="102" t="n"/>
      <c r="AA282" s="102" t="n"/>
      <c r="AB282" s="102" t="n"/>
      <c r="AC282" s="102" t="n"/>
      <c r="AD282" s="102" t="n"/>
    </row>
    <row r="283" ht="15.75" customHeight="1" s="205">
      <c r="A283" s="102" t="n"/>
      <c r="B283" s="142" t="n"/>
      <c r="C283" s="143" t="n"/>
      <c r="D283" s="143" t="n"/>
      <c r="E283" s="143" t="n"/>
      <c r="F283" s="143" t="n"/>
      <c r="G283" s="144" t="n"/>
      <c r="H283" s="145">
        <f>IF(K283&lt;&gt;"", HYPERLINK("https://chatgpt.com/?prompt=" &amp; SUBSTITUTE(SUBSTITUTE(K283, " ", "+"), "&amp;", "dan") &amp; "&amp;force-refresh=true&amp;timestamp=" &amp; TEXT(NOW(), "yyyymmddhhmmss"), "👉 Klik untuk Generate Script! 🔥"), "")</f>
        <v/>
      </c>
      <c r="I283" s="143" t="n"/>
      <c r="J283" s="146" t="n"/>
      <c r="K283" s="130">
        <f>IF(AND(B283&lt;&gt;"", C283&lt;&gt;"", D283&lt;&gt;"", E283&lt;&gt;"", F283&lt;&gt;"", G283&lt;&gt;"", J283&lt;&gt;"", 'CONTENT PILLAR MAPPING'!C186&lt;&gt;"", 'CONTENT PILLAR MAPPING'!E186&lt;&gt;"", 'CONTENT PILLAR MAPPING'!F186&lt;&gt;"", 'CONTENT PILLAR MAPPING'!C189&lt;&gt;"", 'CONTENT PILLAR MAPPING'!C194&lt;&gt;"", 'CONTENT PILLAR MAPPING'!D194&lt;&gt;"", 'CONTENT PILLAR MAPPING'!E194&lt;&gt;"", 'CONTENT PILLAR MAPPING'!D202&lt;&gt;"", 'CONTENT PILLAR MAPPING'!D203&lt;&gt;""),
CONCATENATE(
"Sebagai seorang top konten kreator dengan niche utama '", 'CONTENT PILLAR MAPPING'!C186, "', spesifik kategori '", 'CONTENT PILLAR MAPPING'!E186, "', dan super spesifik '", 'CONTENT PILLAR MAPPING'!F186, "', yang dikenal sebagai '", 'CONTENT PILLAR MAPPING'!C189, "'.", CHAR(10),
"Saya memiliki Tone of Voice: '", 'CONTENT PILLAR MAPPING'!C194, "', Brand Archetype: '", 'CONTENT PILLAR MAPPING'!D194, "', dan Deskripsi Gaya Komunikasi: '", 'CONTENT PILLAR MAPPING'!E194, "'.", CHAR(10),
"Target audiens saya adalah: '", 'CONTENT PILLAR MAPPING'!D202, "', dengan segmentasi audiens: '", 'CONTENT PILLAR MAPPING'!D203, "'.", CHAR(10), CHAR(10),
"Mohon buatkan script konten yang **sangat powerful, menarik, inovatif, dan siap pakai** dengan judul ide '", B283, "'.", CHAR(10),
"Konten ini memiliki pilar '", C283, "', nilai tambah utama '", F283, "', dan akan menggunakan storytelling framework '", G283, "'.", CHAR(10),
"Gambaran singkat ide kontennya adalah: '", J283, "'.", CHAR(10),
"Konten ini akan diunggah di platform '", E283, "' dengan format '", D283,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MAPPING'!C189, "'.** Sesuaikan dengan gaya komunikasi saya, dengan fokus pada nilai tambah '", F283,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MAPPING'!D202, ", khusus ", 'CONTENT PILLAR MAPPING'!D203, ") dan membantu mereka menyelesaikan masalah atau mencapai tujuan mereka.", CHAR(10),
"✔ Membantuku membangun personal branding yang kuat dan sustainable, sesuai dengan Positioning saya sebagai '", 'CONTENT PILLAR MAPPING'!C189, "' dan Brand Archetype '", 'CONTENT PILLAR MAPPING'!D194, "'.", CHAR(10),
"✔ Kemas dalam bentuk tabel agar rapi, mudah di baca dan dipahami, dengan kolom 'Judul Konten', 'Pilar', 'Format', 'Draft Script', 'CTA', 'Saran Visual', dan 'Full Caption'. (Kosongkan kolom Link Prompt jika ada)."
),
"")</f>
        <v/>
      </c>
      <c r="L283" s="91" t="n"/>
      <c r="M283" s="91" t="n"/>
      <c r="N283" s="102" t="n"/>
      <c r="O283" s="102" t="n"/>
      <c r="P283" s="102" t="n"/>
      <c r="Q283" s="102" t="n"/>
      <c r="R283" s="102" t="n"/>
      <c r="S283" s="102" t="n"/>
      <c r="T283" s="102" t="n"/>
      <c r="U283" s="102" t="n"/>
      <c r="V283" s="102" t="n"/>
      <c r="W283" s="102" t="n"/>
      <c r="X283" s="102" t="n"/>
      <c r="Y283" s="102" t="n"/>
      <c r="Z283" s="102" t="n"/>
      <c r="AA283" s="102" t="n"/>
      <c r="AB283" s="102" t="n"/>
      <c r="AC283" s="102" t="n"/>
      <c r="AD283" s="102" t="n"/>
    </row>
    <row r="284" ht="15.75" customHeight="1" s="205">
      <c r="A284" s="102" t="n"/>
      <c r="B284" s="147" t="n"/>
      <c r="C284" s="144" t="n"/>
      <c r="D284" s="144" t="n"/>
      <c r="E284" s="144" t="n"/>
      <c r="F284" s="144" t="n"/>
      <c r="G284" s="144" t="n"/>
      <c r="H284" s="141">
        <f>IF(K284&lt;&gt;"", HYPERLINK("https://chatgpt.com/?prompt=" &amp; SUBSTITUTE(SUBSTITUTE(K284, " ", "+"), "&amp;", "dan") &amp; "&amp;force-refresh=true&amp;timestamp=" &amp; TEXT(NOW(), "yyyymmddhhmmss"), "👉 Klik untuk Generate Script! 🔥"), "")</f>
        <v/>
      </c>
      <c r="I284" s="144" t="n"/>
      <c r="J284" s="148" t="n"/>
      <c r="K284" s="140">
        <f>IF(AND(B284&lt;&gt;"", C284&lt;&gt;"", D284&lt;&gt;"", E284&lt;&gt;"", F284&lt;&gt;"", G284&lt;&gt;"", J284&lt;&gt;"", 'CONTENT PILLAR MAPPING'!C186&lt;&gt;"", 'CONTENT PILLAR MAPPING'!E186&lt;&gt;"", 'CONTENT PILLAR MAPPING'!F186&lt;&gt;"", 'CONTENT PILLAR MAPPING'!C189&lt;&gt;"", 'CONTENT PILLAR MAPPING'!C194&lt;&gt;"", 'CONTENT PILLAR MAPPING'!D194&lt;&gt;"", 'CONTENT PILLAR MAPPING'!E194&lt;&gt;"", 'CONTENT PILLAR MAPPING'!D202&lt;&gt;"", 'CONTENT PILLAR MAPPING'!D203&lt;&gt;""),
CONCATENATE(
"Sebagai seorang top konten kreator dengan niche utama '", 'CONTENT PILLAR MAPPING'!C186, "', spesifik kategori '", 'CONTENT PILLAR MAPPING'!E186, "', dan super spesifik '", 'CONTENT PILLAR MAPPING'!F186, "', yang dikenal sebagai '", 'CONTENT PILLAR MAPPING'!C189, "'.", CHAR(10),
"Saya memiliki Tone of Voice: '", 'CONTENT PILLAR MAPPING'!C194, "', Brand Archetype: '", 'CONTENT PILLAR MAPPING'!D194, "', dan Deskripsi Gaya Komunikasi: '", 'CONTENT PILLAR MAPPING'!E194, "'.", CHAR(10),
"Target audiens saya adalah: '", 'CONTENT PILLAR MAPPING'!D202, "', dengan segmentasi audiens: '", 'CONTENT PILLAR MAPPING'!D203, "'.", CHAR(10), CHAR(10),
"Mohon buatkan script konten yang **sangat powerful, menarik, inovatif, dan siap pakai** dengan judul ide '", B284, "'.", CHAR(10),
"Konten ini memiliki pilar '", C284, "', nilai tambah utama '", F284, "', dan akan menggunakan storytelling framework '", G284, "'.", CHAR(10),
"Gambaran singkat ide kontennya adalah: '", J284, "'.", CHAR(10),
"Konten ini akan diunggah di platform '", E284, "' dengan format '", D284,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MAPPING'!C189, "'.** Sesuaikan dengan gaya komunikasi saya, dengan fokus pada nilai tambah '", F284,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MAPPING'!D202, ", khusus ", 'CONTENT PILLAR MAPPING'!D203, ") dan membantu mereka menyelesaikan masalah atau mencapai tujuan mereka.", CHAR(10),
"✔ Membantuku membangun personal branding yang kuat dan sustainable, sesuai dengan Positioning saya sebagai '", 'CONTENT PILLAR MAPPING'!C189, "' dan Brand Archetype '", 'CONTENT PILLAR MAPPING'!D194, "'.", CHAR(10),
"✔ Kemas dalam bentuk tabel agar rapi, mudah di baca dan dipahami, dengan kolom 'Judul Konten', 'Pilar', 'Format', 'Draft Script', 'CTA', 'Saran Visual', dan 'Full Caption'. (Kosongkan kolom Link Prompt jika ada)."
),
"")</f>
        <v/>
      </c>
      <c r="L284" s="199" t="n"/>
      <c r="M284" s="199" t="n"/>
      <c r="N284" s="102" t="n"/>
      <c r="O284" s="102" t="n"/>
      <c r="P284" s="102" t="n"/>
      <c r="Q284" s="102" t="n"/>
      <c r="R284" s="102" t="n"/>
      <c r="S284" s="102" t="n"/>
      <c r="T284" s="102" t="n"/>
      <c r="U284" s="102" t="n"/>
      <c r="V284" s="102" t="n"/>
      <c r="W284" s="102" t="n"/>
      <c r="X284" s="102" t="n"/>
      <c r="Y284" s="102" t="n"/>
      <c r="Z284" s="102" t="n"/>
      <c r="AA284" s="102" t="n"/>
      <c r="AB284" s="102" t="n"/>
      <c r="AC284" s="102" t="n"/>
      <c r="AD284" s="102" t="n"/>
    </row>
    <row r="285" ht="15.75" customHeight="1" s="205">
      <c r="A285" s="102" t="n"/>
      <c r="B285" s="142" t="n"/>
      <c r="C285" s="143" t="n"/>
      <c r="D285" s="143" t="n"/>
      <c r="E285" s="143" t="n"/>
      <c r="F285" s="143" t="n"/>
      <c r="G285" s="144" t="n"/>
      <c r="H285" s="145">
        <f>IF(K285&lt;&gt;"", HYPERLINK("https://chatgpt.com/?prompt=" &amp; SUBSTITUTE(SUBSTITUTE(K285, " ", "+"), "&amp;", "dan") &amp; "&amp;force-refresh=true&amp;timestamp=" &amp; TEXT(NOW(), "yyyymmddhhmmss"), "👉 Klik untuk Generate Script! 🔥"), "")</f>
        <v/>
      </c>
      <c r="I285" s="143" t="n"/>
      <c r="J285" s="146" t="n"/>
      <c r="K285" s="130">
        <f>IF(AND(B285&lt;&gt;"", C285&lt;&gt;"", D285&lt;&gt;"", E285&lt;&gt;"", F285&lt;&gt;"", G285&lt;&gt;"", J285&lt;&gt;"", 'CONTENT PILLAR MAPPING'!C188&lt;&gt;"", 'CONTENT PILLAR MAPPING'!E188&lt;&gt;"", 'CONTENT PILLAR MAPPING'!F188&lt;&gt;"", 'CONTENT PILLAR MAPPING'!C191&lt;&gt;"", 'CONTENT PILLAR MAPPING'!C196&lt;&gt;"", 'CONTENT PILLAR MAPPING'!D196&lt;&gt;"", 'CONTENT PILLAR MAPPING'!E196&lt;&gt;"", 'CONTENT PILLAR MAPPING'!D204&lt;&gt;"", 'CONTENT PILLAR MAPPING'!D205&lt;&gt;""),
CONCATENATE(
"Sebagai seorang top konten kreator dengan niche utama '", 'CONTENT PILLAR MAPPING'!C188, "', spesifik kategori '", 'CONTENT PILLAR MAPPING'!E188, "', dan super spesifik '", 'CONTENT PILLAR MAPPING'!F188, "', yang dikenal sebagai '", 'CONTENT PILLAR MAPPING'!C191, "'.", CHAR(10),
"Saya memiliki Tone of Voice: '", 'CONTENT PILLAR MAPPING'!C196, "', Brand Archetype: '", 'CONTENT PILLAR MAPPING'!D196, "', dan Deskripsi Gaya Komunikasi: '", 'CONTENT PILLAR MAPPING'!E196, "'.", CHAR(10),
"Target audiens saya adalah: '", 'CONTENT PILLAR MAPPING'!D204, "', dengan segmentasi audiens: '", 'CONTENT PILLAR MAPPING'!D205, "'.", CHAR(10), CHAR(10),
"Mohon buatkan script konten yang **sangat powerful, menarik, inovatif, dan siap pakai** dengan judul ide '", B285, "'.", CHAR(10),
"Konten ini memiliki pilar '", C285, "', nilai tambah utama '", F285, "', dan akan menggunakan storytelling framework '", G285, "'.", CHAR(10),
"Gambaran singkat ide kontennya adalah: '", J285, "'.", CHAR(10),
"Konten ini akan diunggah di platform '", E285, "' dengan format '", D285,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MAPPING'!C191, "'.** Sesuaikan dengan gaya komunikasi saya, dengan fokus pada nilai tambah '", F285,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MAPPING'!D204, ", khusus ", 'CONTENT PILLAR MAPPING'!D205, ") dan membantu mereka menyelesaikan masalah atau mencapai tujuan mereka.", CHAR(10),
"✔ Membantuku membangun personal branding yang kuat dan sustainable, sesuai dengan Positioning saya sebagai '", 'CONTENT PILLAR MAPPING'!C191, "' dan Brand Archetype '", 'CONTENT PILLAR MAPPING'!D196, "'.", CHAR(10),
"✔ Kemas dalam bentuk tabel agar rapi, mudah di baca dan dipahami, dengan kolom 'Judul Konten', 'Pilar', 'Format', 'Draft Script', 'CTA', 'Saran Visual', dan 'Full Caption'. (Kosongkan kolom Link Prompt jika ada)."
),
"")</f>
        <v/>
      </c>
      <c r="L285" s="91" t="n"/>
      <c r="M285" s="91" t="n"/>
      <c r="N285" s="102" t="n"/>
      <c r="O285" s="102" t="n"/>
      <c r="P285" s="102" t="n"/>
      <c r="Q285" s="102" t="n"/>
      <c r="R285" s="102" t="n"/>
      <c r="S285" s="102" t="n"/>
      <c r="T285" s="102" t="n"/>
      <c r="U285" s="102" t="n"/>
      <c r="V285" s="102" t="n"/>
      <c r="W285" s="102" t="n"/>
      <c r="X285" s="102" t="n"/>
      <c r="Y285" s="102" t="n"/>
      <c r="Z285" s="102" t="n"/>
      <c r="AA285" s="102" t="n"/>
      <c r="AB285" s="102" t="n"/>
      <c r="AC285" s="102" t="n"/>
      <c r="AD285" s="102" t="n"/>
    </row>
    <row r="286" ht="15.75" customHeight="1" s="205">
      <c r="A286" s="102" t="n"/>
      <c r="B286" s="147" t="n"/>
      <c r="C286" s="144" t="n"/>
      <c r="D286" s="144" t="n"/>
      <c r="E286" s="144" t="n"/>
      <c r="F286" s="144" t="n"/>
      <c r="G286" s="144" t="n"/>
      <c r="H286" s="141">
        <f>IF(K286&lt;&gt;"", HYPERLINK("https://chatgpt.com/?prompt=" &amp; SUBSTITUTE(SUBSTITUTE(K286, " ", "+"), "&amp;", "dan") &amp; "&amp;force-refresh=true&amp;timestamp=" &amp; TEXT(NOW(), "yyyymmddhhmmss"), "👉 Klik untuk Generate Script! 🔥"), "")</f>
        <v/>
      </c>
      <c r="I286" s="144" t="n"/>
      <c r="J286" s="148" t="n"/>
      <c r="K286" s="140">
        <f>IF(AND(B286&lt;&gt;"", C286&lt;&gt;"", D286&lt;&gt;"", E286&lt;&gt;"", F286&lt;&gt;"", G286&lt;&gt;"", J286&lt;&gt;"", 'CONTENT PILLAR MAPPING'!C188&lt;&gt;"", 'CONTENT PILLAR MAPPING'!E188&lt;&gt;"", 'CONTENT PILLAR MAPPING'!F188&lt;&gt;"", 'CONTENT PILLAR MAPPING'!C191&lt;&gt;"", 'CONTENT PILLAR MAPPING'!C196&lt;&gt;"", 'CONTENT PILLAR MAPPING'!D196&lt;&gt;"", 'CONTENT PILLAR MAPPING'!E196&lt;&gt;"", 'CONTENT PILLAR MAPPING'!D204&lt;&gt;"", 'CONTENT PILLAR MAPPING'!D205&lt;&gt;""),
CONCATENATE(
"Sebagai seorang top konten kreator dengan niche utama '", 'CONTENT PILLAR MAPPING'!C188, "', spesifik kategori '", 'CONTENT PILLAR MAPPING'!E188, "', dan super spesifik '", 'CONTENT PILLAR MAPPING'!F188, "', yang dikenal sebagai '", 'CONTENT PILLAR MAPPING'!C191, "'.", CHAR(10),
"Saya memiliki Tone of Voice: '", 'CONTENT PILLAR MAPPING'!C196, "', Brand Archetype: '", 'CONTENT PILLAR MAPPING'!D196, "', dan Deskripsi Gaya Komunikasi: '", 'CONTENT PILLAR MAPPING'!E196, "'.", CHAR(10),
"Target audiens saya adalah: '", 'CONTENT PILLAR MAPPING'!D204, "', dengan segmentasi audiens: '", 'CONTENT PILLAR MAPPING'!D205, "'.", CHAR(10), CHAR(10),
"Mohon buatkan script konten yang **sangat powerful, menarik, inovatif, dan siap pakai** dengan judul ide '", B286, "'.", CHAR(10),
"Konten ini memiliki pilar '", C286, "', nilai tambah utama '", F286, "', dan akan menggunakan storytelling framework '", G286, "'.", CHAR(10),
"Gambaran singkat ide kontennya adalah: '", J286, "'.", CHAR(10),
"Konten ini akan diunggah di platform '", E286, "' dengan format '", D286,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MAPPING'!C191, "'.** Sesuaikan dengan gaya komunikasi saya, dengan fokus pada nilai tambah '", F286,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MAPPING'!D204, ", khusus ", 'CONTENT PILLAR MAPPING'!D205, ") dan membantu mereka menyelesaikan masalah atau mencapai tujuan mereka.", CHAR(10),
"✔ Membantuku membangun personal branding yang kuat dan sustainable, sesuai dengan Positioning saya sebagai '", 'CONTENT PILLAR MAPPING'!C191, "' dan Brand Archetype '", 'CONTENT PILLAR MAPPING'!D196, "'.", CHAR(10),
"✔ Kemas dalam bentuk tabel agar rapi, mudah di baca dan dipahami, dengan kolom 'Judul Konten', 'Pilar', 'Format', 'Draft Script', 'CTA', 'Saran Visual', dan 'Full Caption'. (Kosongkan kolom Link Prompt jika ada)."
),
"")</f>
        <v/>
      </c>
      <c r="L286" s="199" t="n"/>
      <c r="M286" s="199" t="n"/>
      <c r="N286" s="102" t="n"/>
      <c r="O286" s="102" t="n"/>
      <c r="P286" s="102" t="n"/>
      <c r="Q286" s="102" t="n"/>
      <c r="R286" s="102" t="n"/>
      <c r="S286" s="102" t="n"/>
      <c r="T286" s="102" t="n"/>
      <c r="U286" s="102" t="n"/>
      <c r="V286" s="102" t="n"/>
      <c r="W286" s="102" t="n"/>
      <c r="X286" s="102" t="n"/>
      <c r="Y286" s="102" t="n"/>
      <c r="Z286" s="102" t="n"/>
      <c r="AA286" s="102" t="n"/>
      <c r="AB286" s="102" t="n"/>
      <c r="AC286" s="102" t="n"/>
      <c r="AD286" s="102" t="n"/>
    </row>
    <row r="287" ht="15.75" customHeight="1" s="205">
      <c r="A287" s="102" t="n"/>
      <c r="B287" s="142" t="n"/>
      <c r="C287" s="143" t="n"/>
      <c r="D287" s="143" t="n"/>
      <c r="E287" s="143" t="n"/>
      <c r="F287" s="143" t="n"/>
      <c r="G287" s="144" t="n"/>
      <c r="H287" s="145">
        <f>IF(K287&lt;&gt;"", HYPERLINK("https://chatgpt.com/?prompt=" &amp; SUBSTITUTE(SUBSTITUTE(K287, " ", "+"), "&amp;", "dan") &amp; "&amp;force-refresh=true&amp;timestamp=" &amp; TEXT(NOW(), "yyyymmddhhmmss"), "👉 Klik untuk Generate Script! 🔥"), "")</f>
        <v/>
      </c>
      <c r="I287" s="143" t="n"/>
      <c r="J287" s="146" t="n"/>
      <c r="K287" s="130">
        <f>IF(AND(B287&lt;&gt;"", C287&lt;&gt;"", D287&lt;&gt;"", E287&lt;&gt;"", F287&lt;&gt;"", G287&lt;&gt;"", J287&lt;&gt;"", 'CONTENT PILLAR MAPPING'!C190&lt;&gt;"", 'CONTENT PILLAR MAPPING'!E190&lt;&gt;"", 'CONTENT PILLAR MAPPING'!F190&lt;&gt;"", 'CONTENT PILLAR MAPPING'!C193&lt;&gt;"", 'CONTENT PILLAR MAPPING'!C198&lt;&gt;"", 'CONTENT PILLAR MAPPING'!D198&lt;&gt;"", 'CONTENT PILLAR MAPPING'!E198&lt;&gt;"", 'CONTENT PILLAR MAPPING'!D206&lt;&gt;"", 'CONTENT PILLAR MAPPING'!D207&lt;&gt;""),
CONCATENATE(
"Sebagai seorang top konten kreator dengan niche utama '", 'CONTENT PILLAR MAPPING'!C190, "', spesifik kategori '", 'CONTENT PILLAR MAPPING'!E190, "', dan super spesifik '", 'CONTENT PILLAR MAPPING'!F190, "', yang dikenal sebagai '", 'CONTENT PILLAR MAPPING'!C193, "'.", CHAR(10),
"Saya memiliki Tone of Voice: '", 'CONTENT PILLAR MAPPING'!C198, "', Brand Archetype: '", 'CONTENT PILLAR MAPPING'!D198, "', dan Deskripsi Gaya Komunikasi: '", 'CONTENT PILLAR MAPPING'!E198, "'.", CHAR(10),
"Target audiens saya adalah: '", 'CONTENT PILLAR MAPPING'!D206, "', dengan segmentasi audiens: '", 'CONTENT PILLAR MAPPING'!D207, "'.", CHAR(10), CHAR(10),
"Mohon buatkan script konten yang **sangat powerful, menarik, inovatif, dan siap pakai** dengan judul ide '", B287, "'.", CHAR(10),
"Konten ini memiliki pilar '", C287, "', nilai tambah utama '", F287, "', dan akan menggunakan storytelling framework '", G287, "'.", CHAR(10),
"Gambaran singkat ide kontennya adalah: '", J287, "'.", CHAR(10),
"Konten ini akan diunggah di platform '", E287, "' dengan format '", D287,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MAPPING'!C193, "'.** Sesuaikan dengan gaya komunikasi saya, dengan fokus pada nilai tambah '", F287,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MAPPING'!D206, ", khusus ", 'CONTENT PILLAR MAPPING'!D207, ") dan membantu mereka menyelesaikan masalah atau mencapai tujuan mereka.", CHAR(10),
"✔ Membantuku membangun personal branding yang kuat dan sustainable, sesuai dengan Positioning saya sebagai '", 'CONTENT PILLAR MAPPING'!C193, "' dan Brand Archetype '", 'CONTENT PILLAR MAPPING'!D198, "'.", CHAR(10),
"✔ Kemas dalam bentuk tabel agar rapi, mudah di baca dan dipahami, dengan kolom 'Judul Konten', 'Pilar', 'Format', 'Draft Script', 'CTA', 'Saran Visual', dan 'Full Caption'. (Kosongkan kolom Link Prompt jika ada)."
),
"")</f>
        <v/>
      </c>
      <c r="L287" s="91" t="n"/>
      <c r="M287" s="91" t="n"/>
      <c r="N287" s="102" t="n"/>
      <c r="O287" s="102" t="n"/>
      <c r="P287" s="102" t="n"/>
      <c r="Q287" s="102" t="n"/>
      <c r="R287" s="102" t="n"/>
      <c r="S287" s="102" t="n"/>
      <c r="T287" s="102" t="n"/>
      <c r="U287" s="102" t="n"/>
      <c r="V287" s="102" t="n"/>
      <c r="W287" s="102" t="n"/>
      <c r="X287" s="102" t="n"/>
      <c r="Y287" s="102" t="n"/>
      <c r="Z287" s="102" t="n"/>
      <c r="AA287" s="102" t="n"/>
      <c r="AB287" s="102" t="n"/>
      <c r="AC287" s="102" t="n"/>
      <c r="AD287" s="102" t="n"/>
    </row>
    <row r="288" ht="15.75" customHeight="1" s="205">
      <c r="A288" s="102" t="n"/>
      <c r="B288" s="147" t="n"/>
      <c r="C288" s="144" t="n"/>
      <c r="D288" s="144" t="n"/>
      <c r="E288" s="144" t="n"/>
      <c r="F288" s="144" t="n"/>
      <c r="G288" s="144" t="n"/>
      <c r="H288" s="141">
        <f>IF(K288&lt;&gt;"", HYPERLINK("https://chatgpt.com/?prompt=" &amp; SUBSTITUTE(SUBSTITUTE(K288, " ", "+"), "&amp;", "dan") &amp; "&amp;force-refresh=true&amp;timestamp=" &amp; TEXT(NOW(), "yyyymmddhhmmss"), "👉 Klik untuk Generate Script! 🔥"), "")</f>
        <v/>
      </c>
      <c r="I288" s="144" t="n"/>
      <c r="J288" s="148" t="n"/>
      <c r="K288" s="140">
        <f>IF(AND(B288&lt;&gt;"", C288&lt;&gt;"", D288&lt;&gt;"", E288&lt;&gt;"", F288&lt;&gt;"", G288&lt;&gt;"", J288&lt;&gt;"", 'CONTENT PILLAR MAPPING'!C190&lt;&gt;"", 'CONTENT PILLAR MAPPING'!E190&lt;&gt;"", 'CONTENT PILLAR MAPPING'!F190&lt;&gt;"", 'CONTENT PILLAR MAPPING'!C193&lt;&gt;"", 'CONTENT PILLAR MAPPING'!C198&lt;&gt;"", 'CONTENT PILLAR MAPPING'!D198&lt;&gt;"", 'CONTENT PILLAR MAPPING'!E198&lt;&gt;"", 'CONTENT PILLAR MAPPING'!D206&lt;&gt;"", 'CONTENT PILLAR MAPPING'!D207&lt;&gt;""),
CONCATENATE(
"Sebagai seorang top konten kreator dengan niche utama '", 'CONTENT PILLAR MAPPING'!C190, "', spesifik kategori '", 'CONTENT PILLAR MAPPING'!E190, "', dan super spesifik '", 'CONTENT PILLAR MAPPING'!F190, "', yang dikenal sebagai '", 'CONTENT PILLAR MAPPING'!C193, "'.", CHAR(10),
"Saya memiliki Tone of Voice: '", 'CONTENT PILLAR MAPPING'!C198, "', Brand Archetype: '", 'CONTENT PILLAR MAPPING'!D198, "', dan Deskripsi Gaya Komunikasi: '", 'CONTENT PILLAR MAPPING'!E198, "'.", CHAR(10),
"Target audiens saya adalah: '", 'CONTENT PILLAR MAPPING'!D206, "', dengan segmentasi audiens: '", 'CONTENT PILLAR MAPPING'!D207, "'.", CHAR(10), CHAR(10),
"Mohon buatkan script konten yang **sangat powerful, menarik, inovatif, dan siap pakai** dengan judul ide '", B288, "'.", CHAR(10),
"Konten ini memiliki pilar '", C288, "', nilai tambah utama '", F288, "', dan akan menggunakan storytelling framework '", G288, "'.", CHAR(10),
"Gambaran singkat ide kontennya adalah: '", J288, "'.", CHAR(10),
"Konten ini akan diunggah di platform '", E288, "' dengan format '", D288,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MAPPING'!C193, "'.** Sesuaikan dengan gaya komunikasi saya, dengan fokus pada nilai tambah '", F288,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MAPPING'!D206, ", khusus ", 'CONTENT PILLAR MAPPING'!D207, ") dan membantu mereka menyelesaikan masalah atau mencapai tujuan mereka.", CHAR(10),
"✔ Membantuku membangun personal branding yang kuat dan sustainable, sesuai dengan Positioning saya sebagai '", 'CONTENT PILLAR MAPPING'!C193, "' dan Brand Archetype '", 'CONTENT PILLAR MAPPING'!D198, "'.", CHAR(10),
"✔ Kemas dalam bentuk tabel agar rapi, mudah di baca dan dipahami, dengan kolom 'Judul Konten', 'Pilar', 'Format', 'Draft Script', 'CTA', 'Saran Visual', dan 'Full Caption'. (Kosongkan kolom Link Prompt jika ada)."
),
"")</f>
        <v/>
      </c>
      <c r="L288" s="199" t="n"/>
      <c r="M288" s="199" t="n"/>
      <c r="N288" s="102" t="n"/>
      <c r="O288" s="102" t="n"/>
      <c r="P288" s="102" t="n"/>
      <c r="Q288" s="102" t="n"/>
      <c r="R288" s="102" t="n"/>
      <c r="S288" s="102" t="n"/>
      <c r="T288" s="102" t="n"/>
      <c r="U288" s="102" t="n"/>
      <c r="V288" s="102" t="n"/>
      <c r="W288" s="102" t="n"/>
      <c r="X288" s="102" t="n"/>
      <c r="Y288" s="102" t="n"/>
      <c r="Z288" s="102" t="n"/>
      <c r="AA288" s="102" t="n"/>
      <c r="AB288" s="102" t="n"/>
      <c r="AC288" s="102" t="n"/>
      <c r="AD288" s="102" t="n"/>
    </row>
    <row r="289" ht="15.75" customHeight="1" s="205">
      <c r="A289" s="102" t="n"/>
      <c r="B289" s="142" t="n"/>
      <c r="C289" s="143" t="n"/>
      <c r="D289" s="143" t="n"/>
      <c r="E289" s="143" t="n"/>
      <c r="F289" s="143" t="n"/>
      <c r="G289" s="144" t="n"/>
      <c r="H289" s="145">
        <f>IF(K289&lt;&gt;"", HYPERLINK("https://chatgpt.com/?prompt=" &amp; SUBSTITUTE(SUBSTITUTE(K289, " ", "+"), "&amp;", "dan") &amp; "&amp;force-refresh=true&amp;timestamp=" &amp; TEXT(NOW(), "yyyymmddhhmmss"), "👉 Klik untuk Generate Script! 🔥"), "")</f>
        <v/>
      </c>
      <c r="I289" s="143" t="n"/>
      <c r="J289" s="146" t="n"/>
      <c r="K289" s="130">
        <f>IF(AND(B289&lt;&gt;"", C289&lt;&gt;"", D289&lt;&gt;"", E289&lt;&gt;"", F289&lt;&gt;"", G289&lt;&gt;"", J289&lt;&gt;"", 'CONTENT PILLAR MAPPING'!C192&lt;&gt;"", 'CONTENT PILLAR MAPPING'!E192&lt;&gt;"", 'CONTENT PILLAR MAPPING'!F192&lt;&gt;"", 'CONTENT PILLAR MAPPING'!C195&lt;&gt;"", 'CONTENT PILLAR MAPPING'!C200&lt;&gt;"", 'CONTENT PILLAR MAPPING'!D200&lt;&gt;"", 'CONTENT PILLAR MAPPING'!E200&lt;&gt;"", 'CONTENT PILLAR MAPPING'!D208&lt;&gt;"", 'CONTENT PILLAR MAPPING'!D209&lt;&gt;""),
CONCATENATE(
"Sebagai seorang top konten kreator dengan niche utama '", 'CONTENT PILLAR MAPPING'!C192, "', spesifik kategori '", 'CONTENT PILLAR MAPPING'!E192, "', dan super spesifik '", 'CONTENT PILLAR MAPPING'!F192, "', yang dikenal sebagai '", 'CONTENT PILLAR MAPPING'!C195, "'.", CHAR(10),
"Saya memiliki Tone of Voice: '", 'CONTENT PILLAR MAPPING'!C200, "', Brand Archetype: '", 'CONTENT PILLAR MAPPING'!D200, "', dan Deskripsi Gaya Komunikasi: '", 'CONTENT PILLAR MAPPING'!E200, "'.", CHAR(10),
"Target audiens saya adalah: '", 'CONTENT PILLAR MAPPING'!D208, "', dengan segmentasi audiens: '", 'CONTENT PILLAR MAPPING'!D209, "'.", CHAR(10), CHAR(10),
"Mohon buatkan script konten yang **sangat powerful, menarik, inovatif, dan siap pakai** dengan judul ide '", B289, "'.", CHAR(10),
"Konten ini memiliki pilar '", C289, "', nilai tambah utama '", F289, "', dan akan menggunakan storytelling framework '", G289, "'.", CHAR(10),
"Gambaran singkat ide kontennya adalah: '", J289, "'.", CHAR(10),
"Konten ini akan diunggah di platform '", E289, "' dengan format '", D289,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MAPPING'!C195, "'.** Sesuaikan dengan gaya komunikasi saya, dengan fokus pada nilai tambah '", F289,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MAPPING'!D208, ", khusus ", 'CONTENT PILLAR MAPPING'!D209, ") dan membantu mereka menyelesaikan masalah atau mencapai tujuan mereka.", CHAR(10),
"✔ Membantuku membangun personal branding yang kuat dan sustainable, sesuai dengan Positioning saya sebagai '", 'CONTENT PILLAR MAPPING'!C195, "' dan Brand Archetype '", 'CONTENT PILLAR MAPPING'!D200, "'.", CHAR(10),
"✔ Kemas dalam bentuk tabel agar rapi, mudah di baca dan dipahami, dengan kolom 'Judul Konten', 'Pilar', 'Format', 'Draft Script', 'CTA', 'Saran Visual', dan 'Full Caption'. (Kosongkan kolom Link Prompt jika ada)."
),
"")</f>
        <v/>
      </c>
      <c r="L289" s="91" t="n"/>
      <c r="M289" s="91" t="n"/>
      <c r="N289" s="102" t="n"/>
      <c r="O289" s="102" t="n"/>
      <c r="P289" s="102" t="n"/>
      <c r="Q289" s="102" t="n"/>
      <c r="R289" s="102" t="n"/>
      <c r="S289" s="102" t="n"/>
      <c r="T289" s="102" t="n"/>
      <c r="U289" s="102" t="n"/>
      <c r="V289" s="102" t="n"/>
      <c r="W289" s="102" t="n"/>
      <c r="X289" s="102" t="n"/>
      <c r="Y289" s="102" t="n"/>
      <c r="Z289" s="102" t="n"/>
      <c r="AA289" s="102" t="n"/>
      <c r="AB289" s="102" t="n"/>
      <c r="AC289" s="102" t="n"/>
      <c r="AD289" s="102" t="n"/>
    </row>
    <row r="290" ht="15.75" customHeight="1" s="205">
      <c r="A290" s="102" t="n"/>
      <c r="B290" s="147" t="n"/>
      <c r="C290" s="144" t="n"/>
      <c r="D290" s="144" t="n"/>
      <c r="E290" s="144" t="n"/>
      <c r="F290" s="144" t="n"/>
      <c r="G290" s="144" t="n"/>
      <c r="H290" s="141">
        <f>IF(K290&lt;&gt;"", HYPERLINK("https://chatgpt.com/?prompt=" &amp; SUBSTITUTE(SUBSTITUTE(K290, " ", "+"), "&amp;", "dan") &amp; "&amp;force-refresh=true&amp;timestamp=" &amp; TEXT(NOW(), "yyyymmddhhmmss"), "👉 Klik untuk Generate Script! 🔥"), "")</f>
        <v/>
      </c>
      <c r="I290" s="144" t="n"/>
      <c r="J290" s="148" t="n"/>
      <c r="K290" s="140">
        <f>IF(AND(B290&lt;&gt;"", C290&lt;&gt;"", D290&lt;&gt;"", E290&lt;&gt;"", F290&lt;&gt;"", G290&lt;&gt;"", J290&lt;&gt;"", 'CONTENT PILLAR MAPPING'!C192&lt;&gt;"", 'CONTENT PILLAR MAPPING'!E192&lt;&gt;"", 'CONTENT PILLAR MAPPING'!F192&lt;&gt;"", 'CONTENT PILLAR MAPPING'!C195&lt;&gt;"", 'CONTENT PILLAR MAPPING'!C200&lt;&gt;"", 'CONTENT PILLAR MAPPING'!D200&lt;&gt;"", 'CONTENT PILLAR MAPPING'!E200&lt;&gt;"", 'CONTENT PILLAR MAPPING'!D208&lt;&gt;"", 'CONTENT PILLAR MAPPING'!D209&lt;&gt;""),
CONCATENATE(
"Sebagai seorang top konten kreator dengan niche utama '", 'CONTENT PILLAR MAPPING'!C192, "', spesifik kategori '", 'CONTENT PILLAR MAPPING'!E192, "', dan super spesifik '", 'CONTENT PILLAR MAPPING'!F192, "', yang dikenal sebagai '", 'CONTENT PILLAR MAPPING'!C195, "'.", CHAR(10),
"Saya memiliki Tone of Voice: '", 'CONTENT PILLAR MAPPING'!C200, "', Brand Archetype: '", 'CONTENT PILLAR MAPPING'!D200, "', dan Deskripsi Gaya Komunikasi: '", 'CONTENT PILLAR MAPPING'!E200, "'.", CHAR(10),
"Target audiens saya adalah: '", 'CONTENT PILLAR MAPPING'!D208, "', dengan segmentasi audiens: '", 'CONTENT PILLAR MAPPING'!D209, "'.", CHAR(10), CHAR(10),
"Mohon buatkan script konten yang **sangat powerful, menarik, inovatif, dan siap pakai** dengan judul ide '", B290, "'.", CHAR(10),
"Konten ini memiliki pilar '", C290, "', nilai tambah utama '", F290, "', dan akan menggunakan storytelling framework '", G290, "'.", CHAR(10),
"Gambaran singkat ide kontennya adalah: '", J290, "'.", CHAR(10),
"Konten ini akan diunggah di platform '", E290, "' dengan format '", D290,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MAPPING'!C195, "'.** Sesuaikan dengan gaya komunikasi saya, dengan fokus pada nilai tambah '", F290,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MAPPING'!D208, ", khusus ", 'CONTENT PILLAR MAPPING'!D209, ") dan membantu mereka menyelesaikan masalah atau mencapai tujuan mereka.", CHAR(10),
"✔ Membantuku membangun personal branding yang kuat dan sustainable, sesuai dengan Positioning saya sebagai '", 'CONTENT PILLAR MAPPING'!C195, "' dan Brand Archetype '", 'CONTENT PILLAR MAPPING'!D200, "'.", CHAR(10),
"✔ Kemas dalam bentuk tabel agar rapi, mudah di baca dan dipahami, dengan kolom 'Judul Konten', 'Pilar', 'Format', 'Draft Script', 'CTA', 'Saran Visual', dan 'Full Caption'. (Kosongkan kolom Link Prompt jika ada)."
),
"")</f>
        <v/>
      </c>
      <c r="L290" s="199" t="n"/>
      <c r="M290" s="199" t="n"/>
      <c r="N290" s="102" t="n"/>
      <c r="O290" s="102" t="n"/>
      <c r="P290" s="102" t="n"/>
      <c r="Q290" s="102" t="n"/>
      <c r="R290" s="102" t="n"/>
      <c r="S290" s="102" t="n"/>
      <c r="T290" s="102" t="n"/>
      <c r="U290" s="102" t="n"/>
      <c r="V290" s="102" t="n"/>
      <c r="W290" s="102" t="n"/>
      <c r="X290" s="102" t="n"/>
      <c r="Y290" s="102" t="n"/>
      <c r="Z290" s="102" t="n"/>
      <c r="AA290" s="102" t="n"/>
      <c r="AB290" s="102" t="n"/>
      <c r="AC290" s="102" t="n"/>
      <c r="AD290" s="102" t="n"/>
    </row>
    <row r="291" ht="15.75" customHeight="1" s="205">
      <c r="A291" s="102" t="n"/>
      <c r="B291" s="142" t="n"/>
      <c r="C291" s="143" t="n"/>
      <c r="D291" s="143" t="n"/>
      <c r="E291" s="143" t="n"/>
      <c r="F291" s="143" t="n"/>
      <c r="G291" s="144" t="n"/>
      <c r="H291" s="145">
        <f>IF(K291&lt;&gt;"", HYPERLINK("https://chatgpt.com/?prompt=" &amp; SUBSTITUTE(SUBSTITUTE(K291, " ", "+"), "&amp;", "dan") &amp; "&amp;force-refresh=true&amp;timestamp=" &amp; TEXT(NOW(), "yyyymmddhhmmss"), "👉 Klik untuk Generate Script! 🔥"), "")</f>
        <v/>
      </c>
      <c r="I291" s="143" t="n"/>
      <c r="J291" s="146" t="n"/>
      <c r="K291" s="130">
        <f>IF(AND(B291&lt;&gt;"", C291&lt;&gt;"", D291&lt;&gt;"", E291&lt;&gt;"", F291&lt;&gt;"", G291&lt;&gt;"", J291&lt;&gt;"", 'CONTENT PILLAR MAPPING'!C194&lt;&gt;"", 'CONTENT PILLAR MAPPING'!E194&lt;&gt;"", 'CONTENT PILLAR MAPPING'!F194&lt;&gt;"", 'CONTENT PILLAR MAPPING'!C197&lt;&gt;"", 'CONTENT PILLAR MAPPING'!C202&lt;&gt;"", 'CONTENT PILLAR MAPPING'!D202&lt;&gt;"", 'CONTENT PILLAR MAPPING'!E202&lt;&gt;"", 'CONTENT PILLAR MAPPING'!D210&lt;&gt;"", 'CONTENT PILLAR MAPPING'!D211&lt;&gt;""),
CONCATENATE(
"Sebagai seorang top konten kreator dengan niche utama '", 'CONTENT PILLAR MAPPING'!C194, "', spesifik kategori '", 'CONTENT PILLAR MAPPING'!E194, "', dan super spesifik '", 'CONTENT PILLAR MAPPING'!F194, "', yang dikenal sebagai '", 'CONTENT PILLAR MAPPING'!C197, "'.", CHAR(10),
"Saya memiliki Tone of Voice: '", 'CONTENT PILLAR MAPPING'!C202, "', Brand Archetype: '", 'CONTENT PILLAR MAPPING'!D202, "', dan Deskripsi Gaya Komunikasi: '", 'CONTENT PILLAR MAPPING'!E202, "'.", CHAR(10),
"Target audiens saya adalah: '", 'CONTENT PILLAR MAPPING'!D210, "', dengan segmentasi audiens: '", 'CONTENT PILLAR MAPPING'!D211, "'.", CHAR(10), CHAR(10),
"Mohon buatkan script konten yang **sangat powerful, menarik, inovatif, dan siap pakai** dengan judul ide '", B291, "'.", CHAR(10),
"Konten ini memiliki pilar '", C291, "', nilai tambah utama '", F291, "', dan akan menggunakan storytelling framework '", G291, "'.", CHAR(10),
"Gambaran singkat ide kontennya adalah: '", J291, "'.", CHAR(10),
"Konten ini akan diunggah di platform '", E291, "' dengan format '", D291,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MAPPING'!C197, "'.** Sesuaikan dengan gaya komunikasi saya, dengan fokus pada nilai tambah '", F291,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MAPPING'!D210, ", khusus ", 'CONTENT PILLAR MAPPING'!D211, ") dan membantu mereka menyelesaikan masalah atau mencapai tujuan mereka.", CHAR(10),
"✔ Membantuku membangun personal branding yang kuat dan sustainable, sesuai dengan Positioning saya sebagai '", 'CONTENT PILLAR MAPPING'!C197, "' dan Brand Archetype '", 'CONTENT PILLAR MAPPING'!D202, "'.", CHAR(10),
"✔ Kemas dalam bentuk tabel agar rapi, mudah di baca dan dipahami, dengan kolom 'Judul Konten', 'Pilar', 'Format', 'Draft Script', 'CTA', 'Saran Visual', dan 'Full Caption'. (Kosongkan kolom Link Prompt jika ada)."
),
"")</f>
        <v/>
      </c>
      <c r="L291" s="91" t="n"/>
      <c r="M291" s="91" t="n"/>
      <c r="N291" s="102" t="n"/>
      <c r="O291" s="102" t="n"/>
      <c r="P291" s="102" t="n"/>
      <c r="Q291" s="102" t="n"/>
      <c r="R291" s="102" t="n"/>
      <c r="S291" s="102" t="n"/>
      <c r="T291" s="102" t="n"/>
      <c r="U291" s="102" t="n"/>
      <c r="V291" s="102" t="n"/>
      <c r="W291" s="102" t="n"/>
      <c r="X291" s="102" t="n"/>
      <c r="Y291" s="102" t="n"/>
      <c r="Z291" s="102" t="n"/>
      <c r="AA291" s="102" t="n"/>
      <c r="AB291" s="102" t="n"/>
      <c r="AC291" s="102" t="n"/>
      <c r="AD291" s="102" t="n"/>
    </row>
    <row r="292" ht="15.75" customHeight="1" s="205">
      <c r="A292" s="102" t="n"/>
      <c r="B292" s="147" t="n"/>
      <c r="C292" s="144" t="n"/>
      <c r="D292" s="144" t="n"/>
      <c r="E292" s="144" t="n"/>
      <c r="F292" s="144" t="n"/>
      <c r="G292" s="144" t="n"/>
      <c r="H292" s="141">
        <f>IF(K292&lt;&gt;"", HYPERLINK("https://chatgpt.com/?prompt=" &amp; SUBSTITUTE(SUBSTITUTE(K292, " ", "+"), "&amp;", "dan") &amp; "&amp;force-refresh=true&amp;timestamp=" &amp; TEXT(NOW(), "yyyymmddhhmmss"), "👉 Klik untuk Generate Script! 🔥"), "")</f>
        <v/>
      </c>
      <c r="I292" s="144" t="n"/>
      <c r="J292" s="148" t="n"/>
      <c r="K292" s="140">
        <f>IF(AND(B292&lt;&gt;"", C292&lt;&gt;"", D292&lt;&gt;"", E292&lt;&gt;"", F292&lt;&gt;"", G292&lt;&gt;"", J292&lt;&gt;"", 'CONTENT PILLAR MAPPING'!C194&lt;&gt;"", 'CONTENT PILLAR MAPPING'!E194&lt;&gt;"", 'CONTENT PILLAR MAPPING'!F194&lt;&gt;"", 'CONTENT PILLAR MAPPING'!C197&lt;&gt;"", 'CONTENT PILLAR MAPPING'!C202&lt;&gt;"", 'CONTENT PILLAR MAPPING'!D202&lt;&gt;"", 'CONTENT PILLAR MAPPING'!E202&lt;&gt;"", 'CONTENT PILLAR MAPPING'!D210&lt;&gt;"", 'CONTENT PILLAR MAPPING'!D211&lt;&gt;""),
CONCATENATE(
"Sebagai seorang top konten kreator dengan niche utama '", 'CONTENT PILLAR MAPPING'!C194, "', spesifik kategori '", 'CONTENT PILLAR MAPPING'!E194, "', dan super spesifik '", 'CONTENT PILLAR MAPPING'!F194, "', yang dikenal sebagai '", 'CONTENT PILLAR MAPPING'!C197, "'.", CHAR(10),
"Saya memiliki Tone of Voice: '", 'CONTENT PILLAR MAPPING'!C202, "', Brand Archetype: '", 'CONTENT PILLAR MAPPING'!D202, "', dan Deskripsi Gaya Komunikasi: '", 'CONTENT PILLAR MAPPING'!E202, "'.", CHAR(10),
"Target audiens saya adalah: '", 'CONTENT PILLAR MAPPING'!D210, "', dengan segmentasi audiens: '", 'CONTENT PILLAR MAPPING'!D211, "'.", CHAR(10), CHAR(10),
"Mohon buatkan script konten yang **sangat powerful, menarik, inovatif, dan siap pakai** dengan judul ide '", B292, "'.", CHAR(10),
"Konten ini memiliki pilar '", C292, "', nilai tambah utama '", F292, "', dan akan menggunakan storytelling framework '", G292, "'.", CHAR(10),
"Gambaran singkat ide kontennya adalah: '", J292, "'.", CHAR(10),
"Konten ini akan diunggah di platform '", E292, "' dengan format '", D292,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MAPPING'!C197, "'.** Sesuaikan dengan gaya komunikasi saya, dengan fokus pada nilai tambah '", F292,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MAPPING'!D210, ", khusus ", 'CONTENT PILLAR MAPPING'!D211, ") dan membantu mereka menyelesaikan masalah atau mencapai tujuan mereka.", CHAR(10),
"✔ Membantuku membangun personal branding yang kuat dan sustainable, sesuai dengan Positioning saya sebagai '", 'CONTENT PILLAR MAPPING'!C197, "' dan Brand Archetype '", 'CONTENT PILLAR MAPPING'!D202, "'.", CHAR(10),
"✔ Kemas dalam bentuk tabel agar rapi, mudah di baca dan dipahami, dengan kolom 'Judul Konten', 'Pilar', 'Format', 'Draft Script', 'CTA', 'Saran Visual', dan 'Full Caption'. (Kosongkan kolom Link Prompt jika ada)."
),
"")</f>
        <v/>
      </c>
      <c r="L292" s="199" t="n"/>
      <c r="M292" s="199" t="n"/>
      <c r="N292" s="102" t="n"/>
      <c r="O292" s="102" t="n"/>
      <c r="P292" s="102" t="n"/>
      <c r="Q292" s="102" t="n"/>
      <c r="R292" s="102" t="n"/>
      <c r="S292" s="102" t="n"/>
      <c r="T292" s="102" t="n"/>
      <c r="U292" s="102" t="n"/>
      <c r="V292" s="102" t="n"/>
      <c r="W292" s="102" t="n"/>
      <c r="X292" s="102" t="n"/>
      <c r="Y292" s="102" t="n"/>
      <c r="Z292" s="102" t="n"/>
      <c r="AA292" s="102" t="n"/>
      <c r="AB292" s="102" t="n"/>
      <c r="AC292" s="102" t="n"/>
      <c r="AD292" s="102" t="n"/>
    </row>
    <row r="293" ht="15.75" customHeight="1" s="205">
      <c r="A293" s="102" t="n"/>
      <c r="B293" s="142" t="n"/>
      <c r="C293" s="143" t="n"/>
      <c r="D293" s="143" t="n"/>
      <c r="E293" s="143" t="n"/>
      <c r="F293" s="143" t="n"/>
      <c r="G293" s="144" t="n"/>
      <c r="H293" s="145">
        <f>IF(K293&lt;&gt;"", HYPERLINK("https://chatgpt.com/?prompt=" &amp; SUBSTITUTE(SUBSTITUTE(K293, " ", "+"), "&amp;", "dan") &amp; "&amp;force-refresh=true&amp;timestamp=" &amp; TEXT(NOW(), "yyyymmddhhmmss"), "👉 Klik untuk Generate Script! 🔥"), "")</f>
        <v/>
      </c>
      <c r="I293" s="143" t="n"/>
      <c r="J293" s="146" t="n"/>
      <c r="K293" s="130">
        <f>IF(AND(B293&lt;&gt;"", C293&lt;&gt;"", D293&lt;&gt;"", E293&lt;&gt;"", F293&lt;&gt;"", G293&lt;&gt;"", J293&lt;&gt;"", 'CONTENT PILLAR MAPPING'!C196&lt;&gt;"", 'CONTENT PILLAR MAPPING'!E196&lt;&gt;"", 'CONTENT PILLAR MAPPING'!F196&lt;&gt;"", 'CONTENT PILLAR MAPPING'!C199&lt;&gt;"", 'CONTENT PILLAR MAPPING'!C204&lt;&gt;"", 'CONTENT PILLAR MAPPING'!D204&lt;&gt;"", 'CONTENT PILLAR MAPPING'!E204&lt;&gt;"", 'CONTENT PILLAR MAPPING'!D212&lt;&gt;"", 'CONTENT PILLAR MAPPING'!D213&lt;&gt;""),
CONCATENATE(
"Sebagai seorang top konten kreator dengan niche utama '", 'CONTENT PILLAR MAPPING'!C196, "', spesifik kategori '", 'CONTENT PILLAR MAPPING'!E196, "', dan super spesifik '", 'CONTENT PILLAR MAPPING'!F196, "', yang dikenal sebagai '", 'CONTENT PILLAR MAPPING'!C199, "'.", CHAR(10),
"Saya memiliki Tone of Voice: '", 'CONTENT PILLAR MAPPING'!C204, "', Brand Archetype: '", 'CONTENT PILLAR MAPPING'!D204, "', dan Deskripsi Gaya Komunikasi: '", 'CONTENT PILLAR MAPPING'!E204, "'.", CHAR(10),
"Target audiens saya adalah: '", 'CONTENT PILLAR MAPPING'!D212, "', dengan segmentasi audiens: '", 'CONTENT PILLAR MAPPING'!D213, "'.", CHAR(10), CHAR(10),
"Mohon buatkan script konten yang **sangat powerful, menarik, inovatif, dan siap pakai** dengan judul ide '", B293, "'.", CHAR(10),
"Konten ini memiliki pilar '", C293, "', nilai tambah utama '", F293, "', dan akan menggunakan storytelling framework '", G293, "'.", CHAR(10),
"Gambaran singkat ide kontennya adalah: '", J293, "'.", CHAR(10),
"Konten ini akan diunggah di platform '", E293, "' dengan format '", D293,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MAPPING'!C199, "'.** Sesuaikan dengan gaya komunikasi saya, dengan fokus pada nilai tambah '", F293,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MAPPING'!D212, ", khusus ", 'CONTENT PILLAR MAPPING'!D213, ") dan membantu mereka menyelesaikan masalah atau mencapai tujuan mereka.", CHAR(10),
"✔ Membantuku membangun personal branding yang kuat dan sustainable, sesuai dengan Positioning saya sebagai '", 'CONTENT PILLAR MAPPING'!C199, "' dan Brand Archetype '", 'CONTENT PILLAR MAPPING'!D204, "'.", CHAR(10),
"✔ Kemas dalam bentuk tabel agar rapi, mudah di baca dan dipahami, dengan kolom 'Judul Konten', 'Pilar', 'Format', 'Draft Script', 'CTA', 'Saran Visual', dan 'Full Caption'. (Kosongkan kolom Link Prompt jika ada)."
),
"")</f>
        <v/>
      </c>
      <c r="L293" s="91" t="n"/>
      <c r="M293" s="91" t="n"/>
      <c r="N293" s="102" t="n"/>
      <c r="O293" s="102" t="n"/>
      <c r="P293" s="102" t="n"/>
      <c r="Q293" s="102" t="n"/>
      <c r="R293" s="102" t="n"/>
      <c r="S293" s="102" t="n"/>
      <c r="T293" s="102" t="n"/>
      <c r="U293" s="102" t="n"/>
      <c r="V293" s="102" t="n"/>
      <c r="W293" s="102" t="n"/>
      <c r="X293" s="102" t="n"/>
      <c r="Y293" s="102" t="n"/>
      <c r="Z293" s="102" t="n"/>
      <c r="AA293" s="102" t="n"/>
      <c r="AB293" s="102" t="n"/>
      <c r="AC293" s="102" t="n"/>
      <c r="AD293" s="102" t="n"/>
    </row>
    <row r="294" ht="15.75" customHeight="1" s="205">
      <c r="A294" s="102" t="n"/>
      <c r="B294" s="147" t="n"/>
      <c r="C294" s="144" t="n"/>
      <c r="D294" s="144" t="n"/>
      <c r="E294" s="144" t="n"/>
      <c r="F294" s="144" t="n"/>
      <c r="G294" s="144" t="n"/>
      <c r="H294" s="141">
        <f>IF(K294&lt;&gt;"", HYPERLINK("https://chatgpt.com/?prompt=" &amp; SUBSTITUTE(SUBSTITUTE(K294, " ", "+"), "&amp;", "dan") &amp; "&amp;force-refresh=true&amp;timestamp=" &amp; TEXT(NOW(), "yyyymmddhhmmss"), "👉 Klik untuk Generate Script! 🔥"), "")</f>
        <v/>
      </c>
      <c r="I294" s="144" t="n"/>
      <c r="J294" s="148" t="n"/>
      <c r="K294" s="140">
        <f>IF(AND(B294&lt;&gt;"", C294&lt;&gt;"", D294&lt;&gt;"", E294&lt;&gt;"", F294&lt;&gt;"", G294&lt;&gt;"", J294&lt;&gt;"", 'CONTENT PILLAR MAPPING'!C196&lt;&gt;"", 'CONTENT PILLAR MAPPING'!E196&lt;&gt;"", 'CONTENT PILLAR MAPPING'!F196&lt;&gt;"", 'CONTENT PILLAR MAPPING'!C199&lt;&gt;"", 'CONTENT PILLAR MAPPING'!C204&lt;&gt;"", 'CONTENT PILLAR MAPPING'!D204&lt;&gt;"", 'CONTENT PILLAR MAPPING'!E204&lt;&gt;"", 'CONTENT PILLAR MAPPING'!D212&lt;&gt;"", 'CONTENT PILLAR MAPPING'!D213&lt;&gt;""),
CONCATENATE(
"Sebagai seorang top konten kreator dengan niche utama '", 'CONTENT PILLAR MAPPING'!C196, "', spesifik kategori '", 'CONTENT PILLAR MAPPING'!E196, "', dan super spesifik '", 'CONTENT PILLAR MAPPING'!F196, "', yang dikenal sebagai '", 'CONTENT PILLAR MAPPING'!C199, "'.", CHAR(10),
"Saya memiliki Tone of Voice: '", 'CONTENT PILLAR MAPPING'!C204, "', Brand Archetype: '", 'CONTENT PILLAR MAPPING'!D204, "', dan Deskripsi Gaya Komunikasi: '", 'CONTENT PILLAR MAPPING'!E204, "'.", CHAR(10),
"Target audiens saya adalah: '", 'CONTENT PILLAR MAPPING'!D212, "', dengan segmentasi audiens: '", 'CONTENT PILLAR MAPPING'!D213, "'.", CHAR(10), CHAR(10),
"Mohon buatkan script konten yang **sangat powerful, menarik, inovatif, dan siap pakai** dengan judul ide '", B294, "'.", CHAR(10),
"Konten ini memiliki pilar '", C294, "', nilai tambah utama '", F294, "', dan akan menggunakan storytelling framework '", G294, "'.", CHAR(10),
"Gambaran singkat ide kontennya adalah: '", J294, "'.", CHAR(10),
"Konten ini akan diunggah di platform '", E294, "' dengan format '", D294,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MAPPING'!C199, "'.** Sesuaikan dengan gaya komunikasi saya, dengan fokus pada nilai tambah '", F294,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MAPPING'!D212, ", khusus ", 'CONTENT PILLAR MAPPING'!D213, ") dan membantu mereka menyelesaikan masalah atau mencapai tujuan mereka.", CHAR(10),
"✔ Membantuku membangun personal branding yang kuat dan sustainable, sesuai dengan Positioning saya sebagai '", 'CONTENT PILLAR MAPPING'!C199, "' dan Brand Archetype '", 'CONTENT PILLAR MAPPING'!D204, "'.", CHAR(10),
"✔ Kemas dalam bentuk tabel agar rapi, mudah di baca dan dipahami, dengan kolom 'Judul Konten', 'Pilar', 'Format', 'Draft Script', 'CTA', 'Saran Visual', dan 'Full Caption'. (Kosongkan kolom Link Prompt jika ada)."
),
"")</f>
        <v/>
      </c>
      <c r="L294" s="199" t="n"/>
      <c r="M294" s="199" t="n"/>
      <c r="N294" s="102" t="n"/>
      <c r="O294" s="102" t="n"/>
      <c r="P294" s="102" t="n"/>
      <c r="Q294" s="102" t="n"/>
      <c r="R294" s="102" t="n"/>
      <c r="S294" s="102" t="n"/>
      <c r="T294" s="102" t="n"/>
      <c r="U294" s="102" t="n"/>
      <c r="V294" s="102" t="n"/>
      <c r="W294" s="102" t="n"/>
      <c r="X294" s="102" t="n"/>
      <c r="Y294" s="102" t="n"/>
      <c r="Z294" s="102" t="n"/>
      <c r="AA294" s="102" t="n"/>
      <c r="AB294" s="102" t="n"/>
      <c r="AC294" s="102" t="n"/>
      <c r="AD294" s="102" t="n"/>
    </row>
    <row r="295" ht="15.75" customHeight="1" s="205">
      <c r="A295" s="102" t="n"/>
      <c r="B295" s="142" t="n"/>
      <c r="C295" s="143" t="n"/>
      <c r="D295" s="143" t="n"/>
      <c r="E295" s="143" t="n"/>
      <c r="F295" s="143" t="n"/>
      <c r="G295" s="144" t="n"/>
      <c r="H295" s="145">
        <f>IF(K295&lt;&gt;"", HYPERLINK("https://chatgpt.com/?prompt=" &amp; SUBSTITUTE(SUBSTITUTE(K295, " ", "+"), "&amp;", "dan") &amp; "&amp;force-refresh=true&amp;timestamp=" &amp; TEXT(NOW(), "yyyymmddhhmmss"), "👉 Klik untuk Generate Script! 🔥"), "")</f>
        <v/>
      </c>
      <c r="I295" s="143" t="n"/>
      <c r="J295" s="146" t="n"/>
      <c r="K295" s="130">
        <f>IF(AND(B295&lt;&gt;"", C295&lt;&gt;"", D295&lt;&gt;"", E295&lt;&gt;"", F295&lt;&gt;"", G295&lt;&gt;"", J295&lt;&gt;"", 'CONTENT PILLAR MAPPING'!C198&lt;&gt;"", 'CONTENT PILLAR MAPPING'!E198&lt;&gt;"", 'CONTENT PILLAR MAPPING'!F198&lt;&gt;"", 'CONTENT PILLAR MAPPING'!C201&lt;&gt;"", 'CONTENT PILLAR MAPPING'!C206&lt;&gt;"", 'CONTENT PILLAR MAPPING'!D206&lt;&gt;"", 'CONTENT PILLAR MAPPING'!E206&lt;&gt;"", 'CONTENT PILLAR MAPPING'!D214&lt;&gt;"", 'CONTENT PILLAR MAPPING'!D215&lt;&gt;""),
CONCATENATE(
"Sebagai seorang top konten kreator dengan niche utama '", 'CONTENT PILLAR MAPPING'!C198, "', spesifik kategori '", 'CONTENT PILLAR MAPPING'!E198, "', dan super spesifik '", 'CONTENT PILLAR MAPPING'!F198, "', yang dikenal sebagai '", 'CONTENT PILLAR MAPPING'!C201, "'.", CHAR(10),
"Saya memiliki Tone of Voice: '", 'CONTENT PILLAR MAPPING'!C206, "', Brand Archetype: '", 'CONTENT PILLAR MAPPING'!D206, "', dan Deskripsi Gaya Komunikasi: '", 'CONTENT PILLAR MAPPING'!E206, "'.", CHAR(10),
"Target audiens saya adalah: '", 'CONTENT PILLAR MAPPING'!D214, "', dengan segmentasi audiens: '", 'CONTENT PILLAR MAPPING'!D215, "'.", CHAR(10), CHAR(10),
"Mohon buatkan script konten yang **sangat powerful, menarik, inovatif, dan siap pakai** dengan judul ide '", B295, "'.", CHAR(10),
"Konten ini memiliki pilar '", C295, "', nilai tambah utama '", F295, "', dan akan menggunakan storytelling framework '", G295, "'.", CHAR(10),
"Gambaran singkat ide kontennya adalah: '", J295, "'.", CHAR(10),
"Konten ini akan diunggah di platform '", E295, "' dengan format '", D295,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MAPPING'!C201, "'.** Sesuaikan dengan gaya komunikasi saya, dengan fokus pada nilai tambah '", F295,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MAPPING'!D214, ", khusus ", 'CONTENT PILLAR MAPPING'!D215, ") dan membantu mereka menyelesaikan masalah atau mencapai tujuan mereka.", CHAR(10),
"✔ Membantuku membangun personal branding yang kuat dan sustainable, sesuai dengan Positioning saya sebagai '", 'CONTENT PILLAR MAPPING'!C201, "' dan Brand Archetype '", 'CONTENT PILLAR MAPPING'!D206, "'.", CHAR(10),
"✔ Kemas dalam bentuk tabel agar rapi, mudah di baca dan dipahami, dengan kolom 'Judul Konten', 'Pilar', 'Format', 'Draft Script', 'CTA', 'Saran Visual', dan 'Full Caption'. (Kosongkan kolom Link Prompt jika ada)."
),
"")</f>
        <v/>
      </c>
      <c r="L295" s="91" t="n"/>
      <c r="M295" s="91" t="n"/>
      <c r="N295" s="102" t="n"/>
      <c r="O295" s="102" t="n"/>
      <c r="P295" s="102" t="n"/>
      <c r="Q295" s="102" t="n"/>
      <c r="R295" s="102" t="n"/>
      <c r="S295" s="102" t="n"/>
      <c r="T295" s="102" t="n"/>
      <c r="U295" s="102" t="n"/>
      <c r="V295" s="102" t="n"/>
      <c r="W295" s="102" t="n"/>
      <c r="X295" s="102" t="n"/>
      <c r="Y295" s="102" t="n"/>
      <c r="Z295" s="102" t="n"/>
      <c r="AA295" s="102" t="n"/>
      <c r="AB295" s="102" t="n"/>
      <c r="AC295" s="102" t="n"/>
      <c r="AD295" s="102" t="n"/>
    </row>
    <row r="296" ht="15.75" customHeight="1" s="205">
      <c r="A296" s="102" t="n"/>
      <c r="B296" s="147" t="n"/>
      <c r="C296" s="144" t="n"/>
      <c r="D296" s="144" t="n"/>
      <c r="E296" s="144" t="n"/>
      <c r="F296" s="144" t="n"/>
      <c r="G296" s="144" t="n"/>
      <c r="H296" s="141">
        <f>IF(K296&lt;&gt;"", HYPERLINK("https://chatgpt.com/?prompt=" &amp; SUBSTITUTE(SUBSTITUTE(K296, " ", "+"), "&amp;", "dan") &amp; "&amp;force-refresh=true&amp;timestamp=" &amp; TEXT(NOW(), "yyyymmddhhmmss"), "👉 Klik untuk Generate Script! 🔥"), "")</f>
        <v/>
      </c>
      <c r="I296" s="144" t="n"/>
      <c r="J296" s="148" t="n"/>
      <c r="K296" s="140">
        <f>IF(AND(B296&lt;&gt;"", C296&lt;&gt;"", D296&lt;&gt;"", E296&lt;&gt;"", F296&lt;&gt;"", G296&lt;&gt;"", J296&lt;&gt;"", 'CONTENT PILLAR MAPPING'!C198&lt;&gt;"", 'CONTENT PILLAR MAPPING'!E198&lt;&gt;"", 'CONTENT PILLAR MAPPING'!F198&lt;&gt;"", 'CONTENT PILLAR MAPPING'!C201&lt;&gt;"", 'CONTENT PILLAR MAPPING'!C206&lt;&gt;"", 'CONTENT PILLAR MAPPING'!D206&lt;&gt;"", 'CONTENT PILLAR MAPPING'!E206&lt;&gt;"", 'CONTENT PILLAR MAPPING'!D214&lt;&gt;"", 'CONTENT PILLAR MAPPING'!D215&lt;&gt;""),
CONCATENATE(
"Sebagai seorang top konten kreator dengan niche utama '", 'CONTENT PILLAR MAPPING'!C198, "', spesifik kategori '", 'CONTENT PILLAR MAPPING'!E198, "', dan super spesifik '", 'CONTENT PILLAR MAPPING'!F198, "', yang dikenal sebagai '", 'CONTENT PILLAR MAPPING'!C201, "'.", CHAR(10),
"Saya memiliki Tone of Voice: '", 'CONTENT PILLAR MAPPING'!C206, "', Brand Archetype: '", 'CONTENT PILLAR MAPPING'!D206, "', dan Deskripsi Gaya Komunikasi: '", 'CONTENT PILLAR MAPPING'!E206, "'.", CHAR(10),
"Target audiens saya adalah: '", 'CONTENT PILLAR MAPPING'!D214, "', dengan segmentasi audiens: '", 'CONTENT PILLAR MAPPING'!D215, "'.", CHAR(10), CHAR(10),
"Mohon buatkan script konten yang **sangat powerful, menarik, inovatif, dan siap pakai** dengan judul ide '", B296, "'.", CHAR(10),
"Konten ini memiliki pilar '", C296, "', nilai tambah utama '", F296, "', dan akan menggunakan storytelling framework '", G296, "'.", CHAR(10),
"Gambaran singkat ide kontennya adalah: '", J296, "'.", CHAR(10),
"Konten ini akan diunggah di platform '", E296, "' dengan format '", D296,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MAPPING'!C201, "'.** Sesuaikan dengan gaya komunikasi saya, dengan fokus pada nilai tambah '", F296,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MAPPING'!D214, ", khusus ", 'CONTENT PILLAR MAPPING'!D215, ") dan membantu mereka menyelesaikan masalah atau mencapai tujuan mereka.", CHAR(10),
"✔ Membantuku membangun personal branding yang kuat dan sustainable, sesuai dengan Positioning saya sebagai '", 'CONTENT PILLAR MAPPING'!C201, "' dan Brand Archetype '", 'CONTENT PILLAR MAPPING'!D206, "'.", CHAR(10),
"✔ Kemas dalam bentuk tabel agar rapi, mudah di baca dan dipahami, dengan kolom 'Judul Konten', 'Pilar', 'Format', 'Draft Script', 'CTA', 'Saran Visual', dan 'Full Caption'. (Kosongkan kolom Link Prompt jika ada)."
),
"")</f>
        <v/>
      </c>
      <c r="L296" s="199" t="n"/>
      <c r="M296" s="199" t="n"/>
      <c r="N296" s="102" t="n"/>
      <c r="O296" s="102" t="n"/>
      <c r="P296" s="102" t="n"/>
      <c r="Q296" s="102" t="n"/>
      <c r="R296" s="102" t="n"/>
      <c r="S296" s="102" t="n"/>
      <c r="T296" s="102" t="n"/>
      <c r="U296" s="102" t="n"/>
      <c r="V296" s="102" t="n"/>
      <c r="W296" s="102" t="n"/>
      <c r="X296" s="102" t="n"/>
      <c r="Y296" s="102" t="n"/>
      <c r="Z296" s="102" t="n"/>
      <c r="AA296" s="102" t="n"/>
      <c r="AB296" s="102" t="n"/>
      <c r="AC296" s="102" t="n"/>
      <c r="AD296" s="102" t="n"/>
    </row>
    <row r="297" ht="15.75" customHeight="1" s="205">
      <c r="A297" s="102" t="n"/>
      <c r="B297" s="142" t="n"/>
      <c r="C297" s="143" t="n"/>
      <c r="D297" s="143" t="n"/>
      <c r="E297" s="143" t="n"/>
      <c r="F297" s="143" t="n"/>
      <c r="G297" s="144" t="n"/>
      <c r="H297" s="145">
        <f>IF(K297&lt;&gt;"", HYPERLINK("https://chatgpt.com/?prompt=" &amp; SUBSTITUTE(SUBSTITUTE(K297, " ", "+"), "&amp;", "dan") &amp; "&amp;force-refresh=true&amp;timestamp=" &amp; TEXT(NOW(), "yyyymmddhhmmss"), "👉 Klik untuk Generate Script! 🔥"), "")</f>
        <v/>
      </c>
      <c r="I297" s="143" t="n"/>
      <c r="J297" s="146" t="n"/>
      <c r="K297" s="130">
        <f>IF(AND(B297&lt;&gt;"", C297&lt;&gt;"", D297&lt;&gt;"", E297&lt;&gt;"", F297&lt;&gt;"", G297&lt;&gt;"", J297&lt;&gt;"", 'CONTENT PILLAR MAPPING'!C200&lt;&gt;"", 'CONTENT PILLAR MAPPING'!E200&lt;&gt;"", 'CONTENT PILLAR MAPPING'!F200&lt;&gt;"", 'CONTENT PILLAR MAPPING'!C203&lt;&gt;"", 'CONTENT PILLAR MAPPING'!C208&lt;&gt;"", 'CONTENT PILLAR MAPPING'!D208&lt;&gt;"", 'CONTENT PILLAR MAPPING'!E208&lt;&gt;"", 'CONTENT PILLAR MAPPING'!D216&lt;&gt;"", 'CONTENT PILLAR MAPPING'!D217&lt;&gt;""),
CONCATENATE(
"Sebagai seorang top konten kreator dengan niche utama '", 'CONTENT PILLAR MAPPING'!C200, "', spesifik kategori '", 'CONTENT PILLAR MAPPING'!E200, "', dan super spesifik '", 'CONTENT PILLAR MAPPING'!F200, "', yang dikenal sebagai '", 'CONTENT PILLAR MAPPING'!C203, "'.", CHAR(10),
"Saya memiliki Tone of Voice: '", 'CONTENT PILLAR MAPPING'!C208, "', Brand Archetype: '", 'CONTENT PILLAR MAPPING'!D208, "', dan Deskripsi Gaya Komunikasi: '", 'CONTENT PILLAR MAPPING'!E208, "'.", CHAR(10),
"Target audiens saya adalah: '", 'CONTENT PILLAR MAPPING'!D216, "', dengan segmentasi audiens: '", 'CONTENT PILLAR MAPPING'!D217, "'.", CHAR(10), CHAR(10),
"Mohon buatkan script konten yang **sangat powerful, menarik, inovatif, dan siap pakai** dengan judul ide '", B297, "'.", CHAR(10),
"Konten ini memiliki pilar '", C297, "', nilai tambah utama '", F297, "', dan akan menggunakan storytelling framework '", G297, "'.", CHAR(10),
"Gambaran singkat ide kontennya adalah: '", J297, "'.", CHAR(10),
"Konten ini akan diunggah di platform '", E297, "' dengan format '", D297,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MAPPING'!C203, "'.** Sesuaikan dengan gaya komunikasi saya, dengan fokus pada nilai tambah '", F297,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MAPPING'!D216, ", khusus ", 'CONTENT PILLAR MAPPING'!D217, ") dan membantu mereka menyelesaikan masalah atau mencapai tujuan mereka.", CHAR(10),
"✔ Membantuku membangun personal branding yang kuat dan sustainable, sesuai dengan Positioning saya sebagai '", 'CONTENT PILLAR MAPPING'!C203, "' dan Brand Archetype '", 'CONTENT PILLAR MAPPING'!D208, "'.", CHAR(10),
"✔ Kemas dalam bentuk tabel agar rapi, mudah di baca dan dipahami, dengan kolom 'Judul Konten', 'Pilar', 'Format', 'Draft Script', 'CTA', 'Saran Visual', dan 'Full Caption'. (Kosongkan kolom Link Prompt jika ada)."
),
"")</f>
        <v/>
      </c>
      <c r="L297" s="91" t="n"/>
      <c r="M297" s="91" t="n"/>
      <c r="N297" s="102" t="n"/>
      <c r="O297" s="102" t="n"/>
      <c r="P297" s="102" t="n"/>
      <c r="Q297" s="102" t="n"/>
      <c r="R297" s="102" t="n"/>
      <c r="S297" s="102" t="n"/>
      <c r="T297" s="102" t="n"/>
      <c r="U297" s="102" t="n"/>
      <c r="V297" s="102" t="n"/>
      <c r="W297" s="102" t="n"/>
      <c r="X297" s="102" t="n"/>
      <c r="Y297" s="102" t="n"/>
      <c r="Z297" s="102" t="n"/>
      <c r="AA297" s="102" t="n"/>
      <c r="AB297" s="102" t="n"/>
      <c r="AC297" s="102" t="n"/>
      <c r="AD297" s="102" t="n"/>
    </row>
    <row r="298" ht="15.75" customHeight="1" s="205">
      <c r="A298" s="102" t="n"/>
      <c r="B298" s="147" t="n"/>
      <c r="C298" s="144" t="n"/>
      <c r="D298" s="144" t="n"/>
      <c r="E298" s="144" t="n"/>
      <c r="F298" s="144" t="n"/>
      <c r="G298" s="144" t="n"/>
      <c r="H298" s="141">
        <f>IF(K298&lt;&gt;"", HYPERLINK("https://chatgpt.com/?prompt=" &amp; SUBSTITUTE(SUBSTITUTE(K298, " ", "+"), "&amp;", "dan") &amp; "&amp;force-refresh=true&amp;timestamp=" &amp; TEXT(NOW(), "yyyymmddhhmmss"), "👉 Klik untuk Generate Script! 🔥"), "")</f>
        <v/>
      </c>
      <c r="I298" s="144" t="n"/>
      <c r="J298" s="148" t="n"/>
      <c r="K298" s="140">
        <f>IF(AND(B298&lt;&gt;"", C298&lt;&gt;"", D298&lt;&gt;"", E298&lt;&gt;"", F298&lt;&gt;"", G298&lt;&gt;"", J298&lt;&gt;"", 'CONTENT PILLAR MAPPING'!C200&lt;&gt;"", 'CONTENT PILLAR MAPPING'!E200&lt;&gt;"", 'CONTENT PILLAR MAPPING'!F200&lt;&gt;"", 'CONTENT PILLAR MAPPING'!C203&lt;&gt;"", 'CONTENT PILLAR MAPPING'!C208&lt;&gt;"", 'CONTENT PILLAR MAPPING'!D208&lt;&gt;"", 'CONTENT PILLAR MAPPING'!E208&lt;&gt;"", 'CONTENT PILLAR MAPPING'!D216&lt;&gt;"", 'CONTENT PILLAR MAPPING'!D217&lt;&gt;""),
CONCATENATE(
"Sebagai seorang top konten kreator dengan niche utama '", 'CONTENT PILLAR MAPPING'!C200, "', spesifik kategori '", 'CONTENT PILLAR MAPPING'!E200, "', dan super spesifik '", 'CONTENT PILLAR MAPPING'!F200, "', yang dikenal sebagai '", 'CONTENT PILLAR MAPPING'!C203, "'.", CHAR(10),
"Saya memiliki Tone of Voice: '", 'CONTENT PILLAR MAPPING'!C208, "', Brand Archetype: '", 'CONTENT PILLAR MAPPING'!D208, "', dan Deskripsi Gaya Komunikasi: '", 'CONTENT PILLAR MAPPING'!E208, "'.", CHAR(10),
"Target audiens saya adalah: '", 'CONTENT PILLAR MAPPING'!D216, "', dengan segmentasi audiens: '", 'CONTENT PILLAR MAPPING'!D217, "'.", CHAR(10), CHAR(10),
"Mohon buatkan script konten yang **sangat powerful, menarik, inovatif, dan siap pakai** dengan judul ide '", B298, "'.", CHAR(10),
"Konten ini memiliki pilar '", C298, "', nilai tambah utama '", F298, "', dan akan menggunakan storytelling framework '", G298, "'.", CHAR(10),
"Gambaran singkat ide kontennya adalah: '", J298, "'.", CHAR(10),
"Konten ini akan diunggah di platform '", E298, "' dengan format '", D298,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MAPPING'!C203, "'.** Sesuaikan dengan gaya komunikasi saya, dengan fokus pada nilai tambah '", F298,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MAPPING'!D216, ", khusus ", 'CONTENT PILLAR MAPPING'!D217, ") dan membantu mereka menyelesaikan masalah atau mencapai tujuan mereka.", CHAR(10),
"✔ Membantuku membangun personal branding yang kuat dan sustainable, sesuai dengan Positioning saya sebagai '", 'CONTENT PILLAR MAPPING'!C203, "' dan Brand Archetype '", 'CONTENT PILLAR MAPPING'!D208, "'.", CHAR(10),
"✔ Kemas dalam bentuk tabel agar rapi, mudah di baca dan dipahami, dengan kolom 'Judul Konten', 'Pilar', 'Format', 'Draft Script', 'CTA', 'Saran Visual', dan 'Full Caption'. (Kosongkan kolom Link Prompt jika ada)."
),
"")</f>
        <v/>
      </c>
      <c r="L298" s="199" t="n"/>
      <c r="M298" s="199" t="n"/>
      <c r="N298" s="102" t="n"/>
      <c r="O298" s="102" t="n"/>
      <c r="P298" s="102" t="n"/>
      <c r="Q298" s="102" t="n"/>
      <c r="R298" s="102" t="n"/>
      <c r="S298" s="102" t="n"/>
      <c r="T298" s="102" t="n"/>
      <c r="U298" s="102" t="n"/>
      <c r="V298" s="102" t="n"/>
      <c r="W298" s="102" t="n"/>
      <c r="X298" s="102" t="n"/>
      <c r="Y298" s="102" t="n"/>
      <c r="Z298" s="102" t="n"/>
      <c r="AA298" s="102" t="n"/>
      <c r="AB298" s="102" t="n"/>
      <c r="AC298" s="102" t="n"/>
      <c r="AD298" s="102" t="n"/>
    </row>
    <row r="299" ht="15.75" customHeight="1" s="205">
      <c r="A299" s="102" t="n"/>
      <c r="B299" s="142" t="n"/>
      <c r="C299" s="143" t="n"/>
      <c r="D299" s="143" t="n"/>
      <c r="E299" s="143" t="n"/>
      <c r="F299" s="143" t="n"/>
      <c r="G299" s="144" t="n"/>
      <c r="H299" s="145">
        <f>IF(K299&lt;&gt;"", HYPERLINK("https://chatgpt.com/?prompt=" &amp; SUBSTITUTE(SUBSTITUTE(K299, " ", "+"), "&amp;", "dan") &amp; "&amp;force-refresh=true&amp;timestamp=" &amp; TEXT(NOW(), "yyyymmddhhmmss"), "👉 Klik untuk Generate Script! 🔥"), "")</f>
        <v/>
      </c>
      <c r="I299" s="143" t="n"/>
      <c r="J299" s="146" t="n"/>
      <c r="K299" s="130">
        <f>IF(AND(B299&lt;&gt;"", C299&lt;&gt;"", D299&lt;&gt;"", E299&lt;&gt;"", F299&lt;&gt;"", G299&lt;&gt;"", J299&lt;&gt;"", 'CONTENT PILLAR MAPPING'!C202&lt;&gt;"", 'CONTENT PILLAR MAPPING'!E202&lt;&gt;"", 'CONTENT PILLAR MAPPING'!F202&lt;&gt;"", 'CONTENT PILLAR MAPPING'!C205&lt;&gt;"", 'CONTENT PILLAR MAPPING'!C210&lt;&gt;"", 'CONTENT PILLAR MAPPING'!D210&lt;&gt;"", 'CONTENT PILLAR MAPPING'!E210&lt;&gt;"", 'CONTENT PILLAR MAPPING'!D218&lt;&gt;"", 'CONTENT PILLAR MAPPING'!D219&lt;&gt;""),
CONCATENATE(
"Sebagai seorang top konten kreator dengan niche utama '", 'CONTENT PILLAR MAPPING'!C202, "', spesifik kategori '", 'CONTENT PILLAR MAPPING'!E202, "', dan super spesifik '", 'CONTENT PILLAR MAPPING'!F202, "', yang dikenal sebagai '", 'CONTENT PILLAR MAPPING'!C205, "'.", CHAR(10),
"Saya memiliki Tone of Voice: '", 'CONTENT PILLAR MAPPING'!C210, "', Brand Archetype: '", 'CONTENT PILLAR MAPPING'!D210, "', dan Deskripsi Gaya Komunikasi: '", 'CONTENT PILLAR MAPPING'!E210, "'.", CHAR(10),
"Target audiens saya adalah: '", 'CONTENT PILLAR MAPPING'!D218, "', dengan segmentasi audiens: '", 'CONTENT PILLAR MAPPING'!D219, "'.", CHAR(10), CHAR(10),
"Mohon buatkan script konten yang **sangat powerful, menarik, inovatif, dan siap pakai** dengan judul ide '", B299, "'.", CHAR(10),
"Konten ini memiliki pilar '", C299, "', nilai tambah utama '", F299, "', dan akan menggunakan storytelling framework '", G299, "'.", CHAR(10),
"Gambaran singkat ide kontennya adalah: '", J299, "'.", CHAR(10),
"Konten ini akan diunggah di platform '", E299, "' dengan format '", D299,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MAPPING'!C205, "'.** Sesuaikan dengan gaya komunikasi saya, dengan fokus pada nilai tambah '", F299,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MAPPING'!D218, ", khusus ", 'CONTENT PILLAR MAPPING'!D219, ") dan membantu mereka menyelesaikan masalah atau mencapai tujuan mereka.", CHAR(10),
"✔ Membantuku membangun personal branding yang kuat dan sustainable, sesuai dengan Positioning saya sebagai '", 'CONTENT PILLAR MAPPING'!C205, "' dan Brand Archetype '", 'CONTENT PILLAR MAPPING'!D210, "'.", CHAR(10),
"✔ Kemas dalam bentuk tabel agar rapi, mudah di baca dan dipahami, dengan kolom 'Judul Konten', 'Pilar', 'Format', 'Draft Script', 'CTA', 'Saran Visual', dan 'Full Caption'. (Kosongkan kolom Link Prompt jika ada)."
),
"")</f>
        <v/>
      </c>
      <c r="L299" s="91" t="n"/>
      <c r="M299" s="91" t="n"/>
      <c r="N299" s="102" t="n"/>
      <c r="O299" s="102" t="n"/>
      <c r="P299" s="102" t="n"/>
      <c r="Q299" s="102" t="n"/>
      <c r="R299" s="102" t="n"/>
      <c r="S299" s="102" t="n"/>
      <c r="T299" s="102" t="n"/>
      <c r="U299" s="102" t="n"/>
      <c r="V299" s="102" t="n"/>
      <c r="W299" s="102" t="n"/>
      <c r="X299" s="102" t="n"/>
      <c r="Y299" s="102" t="n"/>
      <c r="Z299" s="102" t="n"/>
      <c r="AA299" s="102" t="n"/>
      <c r="AB299" s="102" t="n"/>
      <c r="AC299" s="102" t="n"/>
      <c r="AD299" s="102" t="n"/>
    </row>
    <row r="300" ht="15.75" customHeight="1" s="205">
      <c r="A300" s="102" t="n"/>
      <c r="B300" s="147" t="n"/>
      <c r="C300" s="144" t="n"/>
      <c r="D300" s="144" t="n"/>
      <c r="E300" s="144" t="n"/>
      <c r="F300" s="144" t="n"/>
      <c r="G300" s="144" t="n"/>
      <c r="H300" s="141">
        <f>IF(K300&lt;&gt;"", HYPERLINK("https://chatgpt.com/?prompt=" &amp; SUBSTITUTE(SUBSTITUTE(K300, " ", "+"), "&amp;", "dan") &amp; "&amp;force-refresh=true&amp;timestamp=" &amp; TEXT(NOW(), "yyyymmddhhmmss"), "👉 Klik untuk Generate Script! 🔥"), "")</f>
        <v/>
      </c>
      <c r="I300" s="144" t="n"/>
      <c r="J300" s="148" t="n"/>
      <c r="K300" s="140">
        <f>IF(AND(B300&lt;&gt;"", C300&lt;&gt;"", D300&lt;&gt;"", E300&lt;&gt;"", F300&lt;&gt;"", G300&lt;&gt;"", J300&lt;&gt;"", 'CONTENT PILLAR MAPPING'!C202&lt;&gt;"", 'CONTENT PILLAR MAPPING'!E202&lt;&gt;"", 'CONTENT PILLAR MAPPING'!F202&lt;&gt;"", 'CONTENT PILLAR MAPPING'!C205&lt;&gt;"", 'CONTENT PILLAR MAPPING'!C210&lt;&gt;"", 'CONTENT PILLAR MAPPING'!D210&lt;&gt;"", 'CONTENT PILLAR MAPPING'!E210&lt;&gt;"", 'CONTENT PILLAR MAPPING'!D218&lt;&gt;"", 'CONTENT PILLAR MAPPING'!D219&lt;&gt;""),
CONCATENATE(
"Sebagai seorang top konten kreator dengan niche utama '", 'CONTENT PILLAR MAPPING'!C202, "', spesifik kategori '", 'CONTENT PILLAR MAPPING'!E202, "', dan super spesifik '", 'CONTENT PILLAR MAPPING'!F202, "', yang dikenal sebagai '", 'CONTENT PILLAR MAPPING'!C205, "'.", CHAR(10),
"Saya memiliki Tone of Voice: '", 'CONTENT PILLAR MAPPING'!C210, "', Brand Archetype: '", 'CONTENT PILLAR MAPPING'!D210, "', dan Deskripsi Gaya Komunikasi: '", 'CONTENT PILLAR MAPPING'!E210, "'.", CHAR(10),
"Target audiens saya adalah: '", 'CONTENT PILLAR MAPPING'!D218, "', dengan segmentasi audiens: '", 'CONTENT PILLAR MAPPING'!D219, "'.", CHAR(10), CHAR(10),
"Mohon buatkan script konten yang **sangat powerful, menarik, inovatif, dan siap pakai** dengan judul ide '", B300, "'.", CHAR(10),
"Konten ini memiliki pilar '", C300, "', nilai tambah utama '", F300, "', dan akan menggunakan storytelling framework '", G300, "'.", CHAR(10),
"Gambaran singkat ide kontennya adalah: '", J300, "'.", CHAR(10),
"Konten ini akan diunggah di platform '", E300, "' dengan format '", D300,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MAPPING'!C205, "'.** Sesuaikan dengan gaya komunikasi saya, dengan fokus pada nilai tambah '", F300,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MAPPING'!D218, ", khusus ", 'CONTENT PILLAR MAPPING'!D219, ") dan membantu mereka menyelesaikan masalah atau mencapai tujuan mereka.", CHAR(10),
"✔ Membantuku membangun personal branding yang kuat dan sustainable, sesuai dengan Positioning saya sebagai '", 'CONTENT PILLAR MAPPING'!C205, "' dan Brand Archetype '", 'CONTENT PILLAR MAPPING'!D210, "'.", CHAR(10),
"✔ Kemas dalam bentuk tabel agar rapi, mudah di baca dan dipahami, dengan kolom 'Judul Konten', 'Pilar', 'Format', 'Draft Script', 'CTA', 'Saran Visual', dan 'Full Caption'. (Kosongkan kolom Link Prompt jika ada)."
),
"")</f>
        <v/>
      </c>
      <c r="L300" s="199" t="n"/>
      <c r="M300" s="199" t="n"/>
      <c r="N300" s="102" t="n"/>
      <c r="O300" s="102" t="n"/>
      <c r="P300" s="102" t="n"/>
      <c r="Q300" s="102" t="n"/>
      <c r="R300" s="102" t="n"/>
      <c r="S300" s="102" t="n"/>
      <c r="T300" s="102" t="n"/>
      <c r="U300" s="102" t="n"/>
      <c r="V300" s="102" t="n"/>
      <c r="W300" s="102" t="n"/>
      <c r="X300" s="102" t="n"/>
      <c r="Y300" s="102" t="n"/>
      <c r="Z300" s="102" t="n"/>
      <c r="AA300" s="102" t="n"/>
      <c r="AB300" s="102" t="n"/>
      <c r="AC300" s="102" t="n"/>
      <c r="AD300" s="102" t="n"/>
    </row>
    <row r="301" ht="15.75" customHeight="1" s="205">
      <c r="A301" s="102" t="n"/>
      <c r="B301" s="142" t="n"/>
      <c r="C301" s="143" t="n"/>
      <c r="D301" s="143" t="n"/>
      <c r="E301" s="143" t="n"/>
      <c r="F301" s="143" t="n"/>
      <c r="G301" s="144" t="n"/>
      <c r="H301" s="145">
        <f>IF(K301&lt;&gt;"", HYPERLINK("https://chatgpt.com/?prompt=" &amp; SUBSTITUTE(SUBSTITUTE(K301, " ", "+"), "&amp;", "dan") &amp; "&amp;force-refresh=true&amp;timestamp=" &amp; TEXT(NOW(), "yyyymmddhhmmss"), "👉 Klik untuk Generate Script! 🔥"), "")</f>
        <v/>
      </c>
      <c r="I301" s="143" t="n"/>
      <c r="J301" s="146" t="n"/>
      <c r="K301" s="130">
        <f>IF(AND(B301&lt;&gt;"", C301&lt;&gt;"", D301&lt;&gt;"", E301&lt;&gt;"", F301&lt;&gt;"", G301&lt;&gt;"", J301&lt;&gt;"", 'CONTENT PILLAR MAPPING'!C204&lt;&gt;"", 'CONTENT PILLAR MAPPING'!E204&lt;&gt;"", 'CONTENT PILLAR MAPPING'!F204&lt;&gt;"", 'CONTENT PILLAR MAPPING'!C207&lt;&gt;"", 'CONTENT PILLAR MAPPING'!C212&lt;&gt;"", 'CONTENT PILLAR MAPPING'!D212&lt;&gt;"", 'CONTENT PILLAR MAPPING'!E212&lt;&gt;"", 'CONTENT PILLAR MAPPING'!D220&lt;&gt;"", 'CONTENT PILLAR MAPPING'!D221&lt;&gt;""),
CONCATENATE(
"Sebagai seorang top konten kreator dengan niche utama '", 'CONTENT PILLAR MAPPING'!C204, "', spesifik kategori '", 'CONTENT PILLAR MAPPING'!E204, "', dan super spesifik '", 'CONTENT PILLAR MAPPING'!F204, "', yang dikenal sebagai '", 'CONTENT PILLAR MAPPING'!C207, "'.", CHAR(10),
"Saya memiliki Tone of Voice: '", 'CONTENT PILLAR MAPPING'!C212, "', Brand Archetype: '", 'CONTENT PILLAR MAPPING'!D212, "', dan Deskripsi Gaya Komunikasi: '", 'CONTENT PILLAR MAPPING'!E212, "'.", CHAR(10),
"Target audiens saya adalah: '", 'CONTENT PILLAR MAPPING'!D220, "', dengan segmentasi audiens: '", 'CONTENT PILLAR MAPPING'!D221, "'.", CHAR(10), CHAR(10),
"Mohon buatkan script konten yang **sangat powerful, menarik, inovatif, dan siap pakai** dengan judul ide '", B301, "'.", CHAR(10),
"Konten ini memiliki pilar '", C301, "', nilai tambah utama '", F301, "', dan akan menggunakan storytelling framework '", G301, "'.", CHAR(10),
"Gambaran singkat ide kontennya adalah: '", J301, "'.", CHAR(10),
"Konten ini akan diunggah di platform '", E301, "' dengan format '", D301,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MAPPING'!C207, "'.** Sesuaikan dengan gaya komunikasi saya, dengan fokus pada nilai tambah '", F301,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MAPPING'!D220, ", khusus ", 'CONTENT PILLAR MAPPING'!D221, ") dan membantu mereka menyelesaikan masalah atau mencapai tujuan mereka.", CHAR(10),
"✔ Membantuku membangun personal branding yang kuat dan sustainable, sesuai dengan Positioning saya sebagai '", 'CONTENT PILLAR MAPPING'!C207, "' dan Brand Archetype '", 'CONTENT PILLAR MAPPING'!D212, "'.", CHAR(10),
"✔ Kemas dalam bentuk tabel agar rapi, mudah di baca dan dipahami, dengan kolom 'Judul Konten', 'Pilar', 'Format', 'Draft Script', 'CTA', 'Saran Visual', dan 'Full Caption'. (Kosongkan kolom Link Prompt jika ada)."
),
"")</f>
        <v/>
      </c>
      <c r="L301" s="91" t="n"/>
      <c r="M301" s="91" t="n"/>
      <c r="N301" s="102" t="n"/>
      <c r="O301" s="102" t="n"/>
      <c r="P301" s="102" t="n"/>
      <c r="Q301" s="102" t="n"/>
      <c r="R301" s="102" t="n"/>
      <c r="S301" s="102" t="n"/>
      <c r="T301" s="102" t="n"/>
      <c r="U301" s="102" t="n"/>
      <c r="V301" s="102" t="n"/>
      <c r="W301" s="102" t="n"/>
      <c r="X301" s="102" t="n"/>
      <c r="Y301" s="102" t="n"/>
      <c r="Z301" s="102" t="n"/>
      <c r="AA301" s="102" t="n"/>
      <c r="AB301" s="102" t="n"/>
      <c r="AC301" s="102" t="n"/>
      <c r="AD301" s="102" t="n"/>
    </row>
    <row r="302" ht="15.75" customHeight="1" s="205">
      <c r="A302" s="102" t="n"/>
      <c r="B302" s="147" t="n"/>
      <c r="C302" s="144" t="n"/>
      <c r="D302" s="144" t="n"/>
      <c r="E302" s="144" t="n"/>
      <c r="F302" s="144" t="n"/>
      <c r="G302" s="144" t="n"/>
      <c r="H302" s="141">
        <f>IF(K302&lt;&gt;"", HYPERLINK("https://chatgpt.com/?prompt=" &amp; SUBSTITUTE(SUBSTITUTE(K302, " ", "+"), "&amp;", "dan") &amp; "&amp;force-refresh=true&amp;timestamp=" &amp; TEXT(NOW(), "yyyymmddhhmmss"), "👉 Klik untuk Generate Script! 🔥"), "")</f>
        <v/>
      </c>
      <c r="I302" s="144" t="n"/>
      <c r="J302" s="148" t="n"/>
      <c r="K302" s="140">
        <f>IF(AND(B302&lt;&gt;"", C302&lt;&gt;"", D302&lt;&gt;"", E302&lt;&gt;"", F302&lt;&gt;"", G302&lt;&gt;"", J302&lt;&gt;"", 'CONTENT PILLAR MAPPING'!C204&lt;&gt;"", 'CONTENT PILLAR MAPPING'!E204&lt;&gt;"", 'CONTENT PILLAR MAPPING'!F204&lt;&gt;"", 'CONTENT PILLAR MAPPING'!C207&lt;&gt;"", 'CONTENT PILLAR MAPPING'!C212&lt;&gt;"", 'CONTENT PILLAR MAPPING'!D212&lt;&gt;"", 'CONTENT PILLAR MAPPING'!E212&lt;&gt;"", 'CONTENT PILLAR MAPPING'!D220&lt;&gt;"", 'CONTENT PILLAR MAPPING'!D221&lt;&gt;""),
CONCATENATE(
"Sebagai seorang top konten kreator dengan niche utama '", 'CONTENT PILLAR MAPPING'!C204, "', spesifik kategori '", 'CONTENT PILLAR MAPPING'!E204, "', dan super spesifik '", 'CONTENT PILLAR MAPPING'!F204, "', yang dikenal sebagai '", 'CONTENT PILLAR MAPPING'!C207, "'.", CHAR(10),
"Saya memiliki Tone of Voice: '", 'CONTENT PILLAR MAPPING'!C212, "', Brand Archetype: '", 'CONTENT PILLAR MAPPING'!D212, "', dan Deskripsi Gaya Komunikasi: '", 'CONTENT PILLAR MAPPING'!E212, "'.", CHAR(10),
"Target audiens saya adalah: '", 'CONTENT PILLAR MAPPING'!D220, "', dengan segmentasi audiens: '", 'CONTENT PILLAR MAPPING'!D221, "'.", CHAR(10), CHAR(10),
"Mohon buatkan script konten yang **sangat powerful, menarik, inovatif, dan siap pakai** dengan judul ide '", B302, "'.", CHAR(10),
"Konten ini memiliki pilar '", C302, "', nilai tambah utama '", F302, "', dan akan menggunakan storytelling framework '", G302, "'.", CHAR(10),
"Gambaran singkat ide kontennya adalah: '", J302, "'.", CHAR(10),
"Konten ini akan diunggah di platform '", E302, "' dengan format '", D302,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MAPPING'!C207, "'.** Sesuaikan dengan gaya komunikasi saya, dengan fokus pada nilai tambah '", F302,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MAPPING'!D220, ", khusus ", 'CONTENT PILLAR MAPPING'!D221, ") dan membantu mereka menyelesaikan masalah atau mencapai tujuan mereka.", CHAR(10),
"✔ Membantuku membangun personal branding yang kuat dan sustainable, sesuai dengan Positioning saya sebagai '", 'CONTENT PILLAR MAPPING'!C207, "' dan Brand Archetype '", 'CONTENT PILLAR MAPPING'!D212, "'.", CHAR(10),
"✔ Kemas dalam bentuk tabel agar rapi, mudah di baca dan dipahami, dengan kolom 'Judul Konten', 'Pilar', 'Format', 'Draft Script', 'CTA', 'Saran Visual', dan 'Full Caption'. (Kosongkan kolom Link Prompt jika ada)."
),
"")</f>
        <v/>
      </c>
      <c r="L302" s="199" t="n"/>
      <c r="M302" s="199" t="n"/>
      <c r="N302" s="102" t="n"/>
      <c r="O302" s="102" t="n"/>
      <c r="P302" s="102" t="n"/>
      <c r="Q302" s="102" t="n"/>
      <c r="R302" s="102" t="n"/>
      <c r="S302" s="102" t="n"/>
      <c r="T302" s="102" t="n"/>
      <c r="U302" s="102" t="n"/>
      <c r="V302" s="102" t="n"/>
      <c r="W302" s="102" t="n"/>
      <c r="X302" s="102" t="n"/>
      <c r="Y302" s="102" t="n"/>
      <c r="Z302" s="102" t="n"/>
      <c r="AA302" s="102" t="n"/>
      <c r="AB302" s="102" t="n"/>
      <c r="AC302" s="102" t="n"/>
      <c r="AD302" s="102" t="n"/>
    </row>
    <row r="303" ht="15.75" customHeight="1" s="205">
      <c r="A303" s="102" t="n"/>
      <c r="B303" s="142" t="n"/>
      <c r="C303" s="143" t="n"/>
      <c r="D303" s="143" t="n"/>
      <c r="E303" s="143" t="n"/>
      <c r="F303" s="143" t="n"/>
      <c r="G303" s="144" t="n"/>
      <c r="H303" s="145">
        <f>IF(K303&lt;&gt;"", HYPERLINK("https://chatgpt.com/?prompt=" &amp; SUBSTITUTE(SUBSTITUTE(K303, " ", "+"), "&amp;", "dan") &amp; "&amp;force-refresh=true&amp;timestamp=" &amp; TEXT(NOW(), "yyyymmddhhmmss"), "👉 Klik untuk Generate Script! 🔥"), "")</f>
        <v/>
      </c>
      <c r="I303" s="143" t="n"/>
      <c r="J303" s="146" t="n"/>
      <c r="K303" s="130">
        <f>IF(AND(B303&lt;&gt;"", C303&lt;&gt;"", D303&lt;&gt;"", E303&lt;&gt;"", F303&lt;&gt;"", G303&lt;&gt;"", J303&lt;&gt;"", 'CONTENT PILLAR MAPPING'!C206&lt;&gt;"", 'CONTENT PILLAR MAPPING'!E206&lt;&gt;"", 'CONTENT PILLAR MAPPING'!F206&lt;&gt;"", 'CONTENT PILLAR MAPPING'!C209&lt;&gt;"", 'CONTENT PILLAR MAPPING'!C214&lt;&gt;"", 'CONTENT PILLAR MAPPING'!D214&lt;&gt;"", 'CONTENT PILLAR MAPPING'!E214&lt;&gt;"", 'CONTENT PILLAR MAPPING'!D222&lt;&gt;"", 'CONTENT PILLAR MAPPING'!D223&lt;&gt;""),
CONCATENATE(
"Sebagai seorang top konten kreator dengan niche utama '", 'CONTENT PILLAR MAPPING'!C206, "', spesifik kategori '", 'CONTENT PILLAR MAPPING'!E206, "', dan super spesifik '", 'CONTENT PILLAR MAPPING'!F206, "', yang dikenal sebagai '", 'CONTENT PILLAR MAPPING'!C209, "'.", CHAR(10),
"Saya memiliki Tone of Voice: '", 'CONTENT PILLAR MAPPING'!C214, "', Brand Archetype: '", 'CONTENT PILLAR MAPPING'!D214, "', dan Deskripsi Gaya Komunikasi: '", 'CONTENT PILLAR MAPPING'!E214, "'.", CHAR(10),
"Target audiens saya adalah: '", 'CONTENT PILLAR MAPPING'!D222, "', dengan segmentasi audiens: '", 'CONTENT PILLAR MAPPING'!D223, "'.", CHAR(10), CHAR(10),
"Mohon buatkan script konten yang **sangat powerful, menarik, inovatif, dan siap pakai** dengan judul ide '", B303, "'.", CHAR(10),
"Konten ini memiliki pilar '", C303, "', nilai tambah utama '", F303, "', dan akan menggunakan storytelling framework '", G303, "'.", CHAR(10),
"Gambaran singkat ide kontennya adalah: '", J303, "'.", CHAR(10),
"Konten ini akan diunggah di platform '", E303, "' dengan format '", D303,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MAPPING'!C209, "'.** Sesuaikan dengan gaya komunikasi saya, dengan fokus pada nilai tambah '", F303,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MAPPING'!D222, ", khusus ", 'CONTENT PILLAR MAPPING'!D223, ") dan membantu mereka menyelesaikan masalah atau mencapai tujuan mereka.", CHAR(10),
"✔ Membantuku membangun personal branding yang kuat dan sustainable, sesuai dengan Positioning saya sebagai '", 'CONTENT PILLAR MAPPING'!C209, "' dan Brand Archetype '", 'CONTENT PILLAR MAPPING'!D214, "'.", CHAR(10),
"✔ Kemas dalam bentuk tabel agar rapi, mudah di baca dan dipahami, dengan kolom 'Judul Konten', 'Pilar', 'Format', 'Draft Script', 'CTA', 'Saran Visual', dan 'Full Caption'. (Kosongkan kolom Link Prompt jika ada)."
),
"")</f>
        <v/>
      </c>
      <c r="L303" s="91" t="n"/>
      <c r="M303" s="91" t="n"/>
      <c r="N303" s="102" t="n"/>
      <c r="O303" s="102" t="n"/>
      <c r="P303" s="102" t="n"/>
      <c r="Q303" s="102" t="n"/>
      <c r="R303" s="102" t="n"/>
      <c r="S303" s="102" t="n"/>
      <c r="T303" s="102" t="n"/>
      <c r="U303" s="102" t="n"/>
      <c r="V303" s="102" t="n"/>
      <c r="W303" s="102" t="n"/>
      <c r="X303" s="102" t="n"/>
      <c r="Y303" s="102" t="n"/>
      <c r="Z303" s="102" t="n"/>
      <c r="AA303" s="102" t="n"/>
      <c r="AB303" s="102" t="n"/>
      <c r="AC303" s="102" t="n"/>
      <c r="AD303" s="102" t="n"/>
    </row>
    <row r="304" ht="15.75" customHeight="1" s="205">
      <c r="A304" s="102" t="n"/>
      <c r="B304" s="147" t="n"/>
      <c r="C304" s="144" t="n"/>
      <c r="D304" s="144" t="n"/>
      <c r="E304" s="144" t="n"/>
      <c r="F304" s="144" t="n"/>
      <c r="G304" s="144" t="n"/>
      <c r="H304" s="141">
        <f>IF(K304&lt;&gt;"", HYPERLINK("https://chatgpt.com/?prompt=" &amp; SUBSTITUTE(SUBSTITUTE(K304, " ", "+"), "&amp;", "dan") &amp; "&amp;force-refresh=true&amp;timestamp=" &amp; TEXT(NOW(), "yyyymmddhhmmss"), "👉 Klik untuk Generate Script! 🔥"), "")</f>
        <v/>
      </c>
      <c r="I304" s="144" t="n"/>
      <c r="J304" s="148" t="n"/>
      <c r="K304" s="140">
        <f>IF(AND(B304&lt;&gt;"", C304&lt;&gt;"", D304&lt;&gt;"", E304&lt;&gt;"", F304&lt;&gt;"", G304&lt;&gt;"", J304&lt;&gt;"", 'CONTENT PILLAR MAPPING'!C206&lt;&gt;"", 'CONTENT PILLAR MAPPING'!E206&lt;&gt;"", 'CONTENT PILLAR MAPPING'!F206&lt;&gt;"", 'CONTENT PILLAR MAPPING'!C209&lt;&gt;"", 'CONTENT PILLAR MAPPING'!C214&lt;&gt;"", 'CONTENT PILLAR MAPPING'!D214&lt;&gt;"", 'CONTENT PILLAR MAPPING'!E214&lt;&gt;"", 'CONTENT PILLAR MAPPING'!D222&lt;&gt;"", 'CONTENT PILLAR MAPPING'!D223&lt;&gt;""),
CONCATENATE(
"Sebagai seorang top konten kreator dengan niche utama '", 'CONTENT PILLAR MAPPING'!C206, "', spesifik kategori '", 'CONTENT PILLAR MAPPING'!E206, "', dan super spesifik '", 'CONTENT PILLAR MAPPING'!F206, "', yang dikenal sebagai '", 'CONTENT PILLAR MAPPING'!C209, "'.", CHAR(10),
"Saya memiliki Tone of Voice: '", 'CONTENT PILLAR MAPPING'!C214, "', Brand Archetype: '", 'CONTENT PILLAR MAPPING'!D214, "', dan Deskripsi Gaya Komunikasi: '", 'CONTENT PILLAR MAPPING'!E214, "'.", CHAR(10),
"Target audiens saya adalah: '", 'CONTENT PILLAR MAPPING'!D222, "', dengan segmentasi audiens: '", 'CONTENT PILLAR MAPPING'!D223, "'.", CHAR(10), CHAR(10),
"Mohon buatkan script konten yang **sangat powerful, menarik, inovatif, dan siap pakai** dengan judul ide '", B304, "'.", CHAR(10),
"Konten ini memiliki pilar '", C304, "', nilai tambah utama '", F304, "', dan akan menggunakan storytelling framework '", G304, "'.", CHAR(10),
"Gambaran singkat ide kontennya adalah: '", J304, "'.", CHAR(10),
"Konten ini akan diunggah di platform '", E304, "' dengan format '", D304,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MAPPING'!C209, "'.** Sesuaikan dengan gaya komunikasi saya, dengan fokus pada nilai tambah '", F304,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MAPPING'!D222, ", khusus ", 'CONTENT PILLAR MAPPING'!D223, ") dan membantu mereka menyelesaikan masalah atau mencapai tujuan mereka.", CHAR(10),
"✔ Membantuku membangun personal branding yang kuat dan sustainable, sesuai dengan Positioning saya sebagai '", 'CONTENT PILLAR MAPPING'!C209, "' dan Brand Archetype '", 'CONTENT PILLAR MAPPING'!D214, "'.", CHAR(10),
"✔ Kemas dalam bentuk tabel agar rapi, mudah di baca dan dipahami, dengan kolom 'Judul Konten', 'Pilar', 'Format', 'Draft Script', 'CTA', 'Saran Visual', dan 'Full Caption'. (Kosongkan kolom Link Prompt jika ada)."
),
"")</f>
        <v/>
      </c>
      <c r="L304" s="199" t="n"/>
      <c r="M304" s="199" t="n"/>
      <c r="N304" s="102" t="n"/>
      <c r="O304" s="102" t="n"/>
      <c r="P304" s="102" t="n"/>
      <c r="Q304" s="102" t="n"/>
      <c r="R304" s="102" t="n"/>
      <c r="S304" s="102" t="n"/>
      <c r="T304" s="102" t="n"/>
      <c r="U304" s="102" t="n"/>
      <c r="V304" s="102" t="n"/>
      <c r="W304" s="102" t="n"/>
      <c r="X304" s="102" t="n"/>
      <c r="Y304" s="102" t="n"/>
      <c r="Z304" s="102" t="n"/>
      <c r="AA304" s="102" t="n"/>
      <c r="AB304" s="102" t="n"/>
      <c r="AC304" s="102" t="n"/>
      <c r="AD304" s="102" t="n"/>
    </row>
    <row r="305" ht="15.75" customHeight="1" s="205">
      <c r="A305" s="102" t="n"/>
      <c r="B305" s="142" t="n"/>
      <c r="C305" s="143" t="n"/>
      <c r="D305" s="143" t="n"/>
      <c r="E305" s="143" t="n"/>
      <c r="F305" s="143" t="n"/>
      <c r="G305" s="144" t="n"/>
      <c r="H305" s="145">
        <f>IF(K305&lt;&gt;"", HYPERLINK("https://chatgpt.com/?prompt=" &amp; SUBSTITUTE(SUBSTITUTE(K305, " ", "+"), "&amp;", "dan") &amp; "&amp;force-refresh=true&amp;timestamp=" &amp; TEXT(NOW(), "yyyymmddhhmmss"), "👉 Klik untuk Generate Script! 🔥"), "")</f>
        <v/>
      </c>
      <c r="I305" s="143" t="n"/>
      <c r="J305" s="146" t="n"/>
      <c r="K305" s="130">
        <f>IF(AND(B305&lt;&gt;"", C305&lt;&gt;"", D305&lt;&gt;"", E305&lt;&gt;"", F305&lt;&gt;"", G305&lt;&gt;"", J305&lt;&gt;"", 'CONTENT PILLAR MAPPING'!C208&lt;&gt;"", 'CONTENT PILLAR MAPPING'!E208&lt;&gt;"", 'CONTENT PILLAR MAPPING'!F208&lt;&gt;"", 'CONTENT PILLAR MAPPING'!C211&lt;&gt;"", 'CONTENT PILLAR MAPPING'!C216&lt;&gt;"", 'CONTENT PILLAR MAPPING'!D216&lt;&gt;"", 'CONTENT PILLAR MAPPING'!E216&lt;&gt;"", 'CONTENT PILLAR MAPPING'!D224&lt;&gt;"", 'CONTENT PILLAR MAPPING'!D225&lt;&gt;""),
CONCATENATE(
"Sebagai seorang top konten kreator dengan niche utama '", 'CONTENT PILLAR MAPPING'!C208, "', spesifik kategori '", 'CONTENT PILLAR MAPPING'!E208, "', dan super spesifik '", 'CONTENT PILLAR MAPPING'!F208, "', yang dikenal sebagai '", 'CONTENT PILLAR MAPPING'!C211, "'.", CHAR(10),
"Saya memiliki Tone of Voice: '", 'CONTENT PILLAR MAPPING'!C216, "', Brand Archetype: '", 'CONTENT PILLAR MAPPING'!D216, "', dan Deskripsi Gaya Komunikasi: '", 'CONTENT PILLAR MAPPING'!E216, "'.", CHAR(10),
"Target audiens saya adalah: '", 'CONTENT PILLAR MAPPING'!D224, "', dengan segmentasi audiens: '", 'CONTENT PILLAR MAPPING'!D225, "'.", CHAR(10), CHAR(10),
"Mohon buatkan script konten yang **sangat powerful, menarik, inovatif, dan siap pakai** dengan judul ide '", B305, "'.", CHAR(10),
"Konten ini memiliki pilar '", C305, "', nilai tambah utama '", F305, "', dan akan menggunakan storytelling framework '", G305, "'.", CHAR(10),
"Gambaran singkat ide kontennya adalah: '", J305, "'.", CHAR(10),
"Konten ini akan diunggah di platform '", E305, "' dengan format '", D305,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MAPPING'!C211, "'.** Sesuaikan dengan gaya komunikasi saya, dengan fokus pada nilai tambah '", F305,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MAPPING'!D224, ", khusus ", 'CONTENT PILLAR MAPPING'!D225, ") dan membantu mereka menyelesaikan masalah atau mencapai tujuan mereka.", CHAR(10),
"✔ Membantuku membangun personal branding yang kuat dan sustainable, sesuai dengan Positioning saya sebagai '", 'CONTENT PILLAR MAPPING'!C211, "' dan Brand Archetype '", 'CONTENT PILLAR MAPPING'!D216, "'.", CHAR(10),
"✔ Kemas dalam bentuk tabel agar rapi, mudah di baca dan dipahami, dengan kolom 'Judul Konten', 'Pilar', 'Format', 'Draft Script', 'CTA', 'Saran Visual', dan 'Full Caption'. (Kosongkan kolom Link Prompt jika ada)."
),
"")</f>
        <v/>
      </c>
      <c r="L305" s="91" t="n"/>
      <c r="M305" s="91" t="n"/>
      <c r="N305" s="102" t="n"/>
      <c r="O305" s="102" t="n"/>
      <c r="P305" s="102" t="n"/>
      <c r="Q305" s="102" t="n"/>
      <c r="R305" s="102" t="n"/>
      <c r="S305" s="102" t="n"/>
      <c r="T305" s="102" t="n"/>
      <c r="U305" s="102" t="n"/>
      <c r="V305" s="102" t="n"/>
      <c r="W305" s="102" t="n"/>
      <c r="X305" s="102" t="n"/>
      <c r="Y305" s="102" t="n"/>
      <c r="Z305" s="102" t="n"/>
      <c r="AA305" s="102" t="n"/>
      <c r="AB305" s="102" t="n"/>
      <c r="AC305" s="102" t="n"/>
      <c r="AD305" s="102" t="n"/>
    </row>
    <row r="306" ht="15.75" customHeight="1" s="205">
      <c r="A306" s="102" t="n"/>
      <c r="B306" s="147" t="n"/>
      <c r="C306" s="144" t="n"/>
      <c r="D306" s="144" t="n"/>
      <c r="E306" s="144" t="n"/>
      <c r="F306" s="144" t="n"/>
      <c r="G306" s="144" t="n"/>
      <c r="H306" s="141">
        <f>IF(K306&lt;&gt;"", HYPERLINK("https://chatgpt.com/?prompt=" &amp; SUBSTITUTE(SUBSTITUTE(K306, " ", "+"), "&amp;", "dan") &amp; "&amp;force-refresh=true&amp;timestamp=" &amp; TEXT(NOW(), "yyyymmddhhmmss"), "👉 Klik untuk Generate Script! 🔥"), "")</f>
        <v/>
      </c>
      <c r="I306" s="144" t="n"/>
      <c r="J306" s="148" t="n"/>
      <c r="K306" s="140">
        <f>IF(AND(B306&lt;&gt;"", C306&lt;&gt;"", D306&lt;&gt;"", E306&lt;&gt;"", F306&lt;&gt;"", G306&lt;&gt;"", J306&lt;&gt;"", 'CONTENT PILLAR MAPPING'!C208&lt;&gt;"", 'CONTENT PILLAR MAPPING'!E208&lt;&gt;"", 'CONTENT PILLAR MAPPING'!F208&lt;&gt;"", 'CONTENT PILLAR MAPPING'!C211&lt;&gt;"", 'CONTENT PILLAR MAPPING'!C216&lt;&gt;"", 'CONTENT PILLAR MAPPING'!D216&lt;&gt;"", 'CONTENT PILLAR MAPPING'!E216&lt;&gt;"", 'CONTENT PILLAR MAPPING'!D224&lt;&gt;"", 'CONTENT PILLAR MAPPING'!D225&lt;&gt;""),
CONCATENATE(
"Sebagai seorang top konten kreator dengan niche utama '", 'CONTENT PILLAR MAPPING'!C208, "', spesifik kategori '", 'CONTENT PILLAR MAPPING'!E208, "', dan super spesifik '", 'CONTENT PILLAR MAPPING'!F208, "', yang dikenal sebagai '", 'CONTENT PILLAR MAPPING'!C211, "'.", CHAR(10),
"Saya memiliki Tone of Voice: '", 'CONTENT PILLAR MAPPING'!C216, "', Brand Archetype: '", 'CONTENT PILLAR MAPPING'!D216, "', dan Deskripsi Gaya Komunikasi: '", 'CONTENT PILLAR MAPPING'!E216, "'.", CHAR(10),
"Target audiens saya adalah: '", 'CONTENT PILLAR MAPPING'!D224, "', dengan segmentasi audiens: '", 'CONTENT PILLAR MAPPING'!D225, "'.", CHAR(10), CHAR(10),
"Mohon buatkan script konten yang **sangat powerful, menarik, inovatif, dan siap pakai** dengan judul ide '", B306, "'.", CHAR(10),
"Konten ini memiliki pilar '", C306, "', nilai tambah utama '", F306, "', dan akan menggunakan storytelling framework '", G306, "'.", CHAR(10),
"Gambaran singkat ide kontennya adalah: '", J306, "'.", CHAR(10),
"Konten ini akan diunggah di platform '", E306, "' dengan format '", D306,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MAPPING'!C211, "'.** Sesuaikan dengan gaya komunikasi saya, dengan fokus pada nilai tambah '", F306,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MAPPING'!D224, ", khusus ", 'CONTENT PILLAR MAPPING'!D225, ") dan membantu mereka menyelesaikan masalah atau mencapai tujuan mereka.", CHAR(10),
"✔ Membantuku membangun personal branding yang kuat dan sustainable, sesuai dengan Positioning saya sebagai '", 'CONTENT PILLAR MAPPING'!C211, "' dan Brand Archetype '", 'CONTENT PILLAR MAPPING'!D216, "'.", CHAR(10),
"✔ Kemas dalam bentuk tabel agar rapi, mudah di baca dan dipahami, dengan kolom 'Judul Konten', 'Pilar', 'Format', 'Draft Script', 'CTA', 'Saran Visual', dan 'Full Caption'. (Kosongkan kolom Link Prompt jika ada)."
),
"")</f>
        <v/>
      </c>
      <c r="L306" s="199" t="n"/>
      <c r="M306" s="199" t="n"/>
      <c r="N306" s="102" t="n"/>
      <c r="O306" s="102" t="n"/>
      <c r="P306" s="102" t="n"/>
      <c r="Q306" s="102" t="n"/>
      <c r="R306" s="102" t="n"/>
      <c r="S306" s="102" t="n"/>
      <c r="T306" s="102" t="n"/>
      <c r="U306" s="102" t="n"/>
      <c r="V306" s="102" t="n"/>
      <c r="W306" s="102" t="n"/>
      <c r="X306" s="102" t="n"/>
      <c r="Y306" s="102" t="n"/>
      <c r="Z306" s="102" t="n"/>
      <c r="AA306" s="102" t="n"/>
      <c r="AB306" s="102" t="n"/>
      <c r="AC306" s="102" t="n"/>
      <c r="AD306" s="102" t="n"/>
    </row>
    <row r="307" ht="15.75" customHeight="1" s="205">
      <c r="A307" s="102" t="n"/>
      <c r="B307" s="142" t="n"/>
      <c r="C307" s="143" t="n"/>
      <c r="D307" s="143" t="n"/>
      <c r="E307" s="143" t="n"/>
      <c r="F307" s="143" t="n"/>
      <c r="G307" s="144" t="n"/>
      <c r="H307" s="145">
        <f>IF(K307&lt;&gt;"", HYPERLINK("https://chatgpt.com/?prompt=" &amp; SUBSTITUTE(SUBSTITUTE(K307, " ", "+"), "&amp;", "dan") &amp; "&amp;force-refresh=true&amp;timestamp=" &amp; TEXT(NOW(), "yyyymmddhhmmss"), "👉 Klik untuk Generate Script! 🔥"), "")</f>
        <v/>
      </c>
      <c r="I307" s="143" t="n"/>
      <c r="J307" s="146" t="n"/>
      <c r="K307" s="130">
        <f>IF(AND(B307&lt;&gt;"", C307&lt;&gt;"", D307&lt;&gt;"", E307&lt;&gt;"", F307&lt;&gt;"", G307&lt;&gt;"", J307&lt;&gt;"", 'CONTENT PILLAR MAPPING'!C210&lt;&gt;"", 'CONTENT PILLAR MAPPING'!E210&lt;&gt;"", 'CONTENT PILLAR MAPPING'!F210&lt;&gt;"", 'CONTENT PILLAR MAPPING'!C213&lt;&gt;"", 'CONTENT PILLAR MAPPING'!C218&lt;&gt;"", 'CONTENT PILLAR MAPPING'!D218&lt;&gt;"", 'CONTENT PILLAR MAPPING'!E218&lt;&gt;"", 'CONTENT PILLAR MAPPING'!D226&lt;&gt;"", 'CONTENT PILLAR MAPPING'!D227&lt;&gt;""),
CONCATENATE(
"Sebagai seorang top konten kreator dengan niche utama '", 'CONTENT PILLAR MAPPING'!C210, "', spesifik kategori '", 'CONTENT PILLAR MAPPING'!E210, "', dan super spesifik '", 'CONTENT PILLAR MAPPING'!F210, "', yang dikenal sebagai '", 'CONTENT PILLAR MAPPING'!C213, "'.", CHAR(10),
"Saya memiliki Tone of Voice: '", 'CONTENT PILLAR MAPPING'!C218, "', Brand Archetype: '", 'CONTENT PILLAR MAPPING'!D218, "', dan Deskripsi Gaya Komunikasi: '", 'CONTENT PILLAR MAPPING'!E218, "'.", CHAR(10),
"Target audiens saya adalah: '", 'CONTENT PILLAR MAPPING'!D226, "', dengan segmentasi audiens: '", 'CONTENT PILLAR MAPPING'!D227, "'.", CHAR(10), CHAR(10),
"Mohon buatkan script konten yang **sangat powerful, menarik, inovatif, dan siap pakai** dengan judul ide '", B307, "'.", CHAR(10),
"Konten ini memiliki pilar '", C307, "', nilai tambah utama '", F307, "', dan akan menggunakan storytelling framework '", G307, "'.", CHAR(10),
"Gambaran singkat ide kontennya adalah: '", J307, "'.", CHAR(10),
"Konten ini akan diunggah di platform '", E307, "' dengan format '", D307,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MAPPING'!C213, "'.** Sesuaikan dengan gaya komunikasi saya, dengan fokus pada nilai tambah '", F307,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MAPPING'!D226, ", khusus ", 'CONTENT PILLAR MAPPING'!D227, ") dan membantu mereka menyelesaikan masalah atau mencapai tujuan mereka.", CHAR(10),
"✔ Membantuku membangun personal branding yang kuat dan sustainable, sesuai dengan Positioning saya sebagai '", 'CONTENT PILLAR MAPPING'!C213, "' dan Brand Archetype '", 'CONTENT PILLAR MAPPING'!D218, "'.", CHAR(10),
"✔ Kemas dalam bentuk tabel agar rapi, mudah di baca dan dipahami, dengan kolom 'Judul Konten', 'Pilar', 'Format', 'Draft Script', 'CTA', 'Saran Visual', dan 'Full Caption'. (Kosongkan kolom Link Prompt jika ada)."
),
"")</f>
        <v/>
      </c>
      <c r="L307" s="91" t="n"/>
      <c r="M307" s="91" t="n"/>
      <c r="N307" s="102" t="n"/>
      <c r="O307" s="102" t="n"/>
      <c r="P307" s="102" t="n"/>
      <c r="Q307" s="102" t="n"/>
      <c r="R307" s="102" t="n"/>
      <c r="S307" s="102" t="n"/>
      <c r="T307" s="102" t="n"/>
      <c r="U307" s="102" t="n"/>
      <c r="V307" s="102" t="n"/>
      <c r="W307" s="102" t="n"/>
      <c r="X307" s="102" t="n"/>
      <c r="Y307" s="102" t="n"/>
      <c r="Z307" s="102" t="n"/>
      <c r="AA307" s="102" t="n"/>
      <c r="AB307" s="102" t="n"/>
      <c r="AC307" s="102" t="n"/>
      <c r="AD307" s="102" t="n"/>
    </row>
    <row r="308" ht="15.75" customHeight="1" s="205">
      <c r="A308" s="102" t="n"/>
      <c r="B308" s="147" t="n"/>
      <c r="C308" s="144" t="n"/>
      <c r="D308" s="144" t="n"/>
      <c r="E308" s="144" t="n"/>
      <c r="F308" s="144" t="n"/>
      <c r="G308" s="144" t="n"/>
      <c r="H308" s="141">
        <f>IF(K308&lt;&gt;"", HYPERLINK("https://chatgpt.com/?prompt=" &amp; SUBSTITUTE(SUBSTITUTE(K308, " ", "+"), "&amp;", "dan") &amp; "&amp;force-refresh=true&amp;timestamp=" &amp; TEXT(NOW(), "yyyymmddhhmmss"), "👉 Klik untuk Generate Script! 🔥"), "")</f>
        <v/>
      </c>
      <c r="I308" s="144" t="n"/>
      <c r="J308" s="148" t="n"/>
      <c r="K308" s="140">
        <f>IF(AND(B308&lt;&gt;"", C308&lt;&gt;"", D308&lt;&gt;"", E308&lt;&gt;"", F308&lt;&gt;"", G308&lt;&gt;"", J308&lt;&gt;"", 'CONTENT PILLAR MAPPING'!C210&lt;&gt;"", 'CONTENT PILLAR MAPPING'!E210&lt;&gt;"", 'CONTENT PILLAR MAPPING'!F210&lt;&gt;"", 'CONTENT PILLAR MAPPING'!C213&lt;&gt;"", 'CONTENT PILLAR MAPPING'!C218&lt;&gt;"", 'CONTENT PILLAR MAPPING'!D218&lt;&gt;"", 'CONTENT PILLAR MAPPING'!E218&lt;&gt;"", 'CONTENT PILLAR MAPPING'!D226&lt;&gt;"", 'CONTENT PILLAR MAPPING'!D227&lt;&gt;""),
CONCATENATE(
"Sebagai seorang top konten kreator dengan niche utama '", 'CONTENT PILLAR MAPPING'!C210, "', spesifik kategori '", 'CONTENT PILLAR MAPPING'!E210, "', dan super spesifik '", 'CONTENT PILLAR MAPPING'!F210, "', yang dikenal sebagai '", 'CONTENT PILLAR MAPPING'!C213, "'.", CHAR(10),
"Saya memiliki Tone of Voice: '", 'CONTENT PILLAR MAPPING'!C218, "', Brand Archetype: '", 'CONTENT PILLAR MAPPING'!D218, "', dan Deskripsi Gaya Komunikasi: '", 'CONTENT PILLAR MAPPING'!E218, "'.", CHAR(10),
"Target audiens saya adalah: '", 'CONTENT PILLAR MAPPING'!D226, "', dengan segmentasi audiens: '", 'CONTENT PILLAR MAPPING'!D227, "'.", CHAR(10), CHAR(10),
"Mohon buatkan script konten yang **sangat powerful, menarik, inovatif, dan siap pakai** dengan judul ide '", B308, "'.", CHAR(10),
"Konten ini memiliki pilar '", C308, "', nilai tambah utama '", F308, "', dan akan menggunakan storytelling framework '", G308, "'.", CHAR(10),
"Gambaran singkat ide kontennya adalah: '", J308, "'.", CHAR(10),
"Konten ini akan diunggah di platform '", E308, "' dengan format '", D308,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MAPPING'!C213, "'.** Sesuaikan dengan gaya komunikasi saya, dengan fokus pada nilai tambah '", F308,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MAPPING'!D226, ", khusus ", 'CONTENT PILLAR MAPPING'!D227, ") dan membantu mereka menyelesaikan masalah atau mencapai tujuan mereka.", CHAR(10),
"✔ Membantuku membangun personal branding yang kuat dan sustainable, sesuai dengan Positioning saya sebagai '", 'CONTENT PILLAR MAPPING'!C213, "' dan Brand Archetype '", 'CONTENT PILLAR MAPPING'!D218, "'.", CHAR(10),
"✔ Kemas dalam bentuk tabel agar rapi, mudah di baca dan dipahami, dengan kolom 'Judul Konten', 'Pilar', 'Format', 'Draft Script', 'CTA', 'Saran Visual', dan 'Full Caption'. (Kosongkan kolom Link Prompt jika ada)."
),
"")</f>
        <v/>
      </c>
      <c r="L308" s="199" t="n"/>
      <c r="M308" s="199" t="n"/>
      <c r="N308" s="102" t="n"/>
      <c r="O308" s="102" t="n"/>
      <c r="P308" s="102" t="n"/>
      <c r="Q308" s="102" t="n"/>
      <c r="R308" s="102" t="n"/>
      <c r="S308" s="102" t="n"/>
      <c r="T308" s="102" t="n"/>
      <c r="U308" s="102" t="n"/>
      <c r="V308" s="102" t="n"/>
      <c r="W308" s="102" t="n"/>
      <c r="X308" s="102" t="n"/>
      <c r="Y308" s="102" t="n"/>
      <c r="Z308" s="102" t="n"/>
      <c r="AA308" s="102" t="n"/>
      <c r="AB308" s="102" t="n"/>
      <c r="AC308" s="102" t="n"/>
      <c r="AD308" s="102" t="n"/>
    </row>
    <row r="309" ht="15.75" customHeight="1" s="205">
      <c r="A309" s="102" t="n"/>
      <c r="B309" s="142" t="n"/>
      <c r="C309" s="143" t="n"/>
      <c r="D309" s="143" t="n"/>
      <c r="E309" s="143" t="n"/>
      <c r="F309" s="143" t="n"/>
      <c r="G309" s="144" t="n"/>
      <c r="H309" s="145">
        <f>IF(K309&lt;&gt;"", HYPERLINK("https://chatgpt.com/?prompt=" &amp; SUBSTITUTE(SUBSTITUTE(K309, " ", "+"), "&amp;", "dan") &amp; "&amp;force-refresh=true&amp;timestamp=" &amp; TEXT(NOW(), "yyyymmddhhmmss"), "👉 Klik untuk Generate Script! 🔥"), "")</f>
        <v/>
      </c>
      <c r="I309" s="143" t="n"/>
      <c r="J309" s="146" t="n"/>
      <c r="K309" s="130">
        <f>IF(AND(B309&lt;&gt;"", C309&lt;&gt;"", D309&lt;&gt;"", E309&lt;&gt;"", F309&lt;&gt;"", G309&lt;&gt;"", J309&lt;&gt;"", 'CONTENT PILLAR MAPPING'!C212&lt;&gt;"", 'CONTENT PILLAR MAPPING'!E212&lt;&gt;"", 'CONTENT PILLAR MAPPING'!F212&lt;&gt;"", 'CONTENT PILLAR MAPPING'!C215&lt;&gt;"", 'CONTENT PILLAR MAPPING'!C220&lt;&gt;"", 'CONTENT PILLAR MAPPING'!D220&lt;&gt;"", 'CONTENT PILLAR MAPPING'!E220&lt;&gt;"", 'CONTENT PILLAR MAPPING'!D228&lt;&gt;"", 'CONTENT PILLAR MAPPING'!D229&lt;&gt;""),
CONCATENATE(
"Sebagai seorang top konten kreator dengan niche utama '", 'CONTENT PILLAR MAPPING'!C212, "', spesifik kategori '", 'CONTENT PILLAR MAPPING'!E212, "', dan super spesifik '", 'CONTENT PILLAR MAPPING'!F212, "', yang dikenal sebagai '", 'CONTENT PILLAR MAPPING'!C215, "'.", CHAR(10),
"Saya memiliki Tone of Voice: '", 'CONTENT PILLAR MAPPING'!C220, "', Brand Archetype: '", 'CONTENT PILLAR MAPPING'!D220, "', dan Deskripsi Gaya Komunikasi: '", 'CONTENT PILLAR MAPPING'!E220, "'.", CHAR(10),
"Target audiens saya adalah: '", 'CONTENT PILLAR MAPPING'!D228, "', dengan segmentasi audiens: '", 'CONTENT PILLAR MAPPING'!D229, "'.", CHAR(10), CHAR(10),
"Mohon buatkan script konten yang **sangat powerful, menarik, inovatif, dan siap pakai** dengan judul ide '", B309, "'.", CHAR(10),
"Konten ini memiliki pilar '", C309, "', nilai tambah utama '", F309, "', dan akan menggunakan storytelling framework '", G309, "'.", CHAR(10),
"Gambaran singkat ide kontennya adalah: '", J309, "'.", CHAR(10),
"Konten ini akan diunggah di platform '", E309, "' dengan format '", D309,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MAPPING'!C215, "'.** Sesuaikan dengan gaya komunikasi saya, dengan fokus pada nilai tambah '", F309,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MAPPING'!D228, ", khusus ", 'CONTENT PILLAR MAPPING'!D229, ") dan membantu mereka menyelesaikan masalah atau mencapai tujuan mereka.", CHAR(10),
"✔ Membantuku membangun personal branding yang kuat dan sustainable, sesuai dengan Positioning saya sebagai '", 'CONTENT PILLAR MAPPING'!C215, "' dan Brand Archetype '", 'CONTENT PILLAR MAPPING'!D220, "'.", CHAR(10),
"✔ Kemas dalam bentuk tabel agar rapi, mudah di baca dan dipahami, dengan kolom 'Judul Konten', 'Pilar', 'Format', 'Draft Script', 'CTA', 'Saran Visual', dan 'Full Caption'. (Kosongkan kolom Link Prompt jika ada)."
),
"")</f>
        <v/>
      </c>
      <c r="L309" s="91" t="n"/>
      <c r="M309" s="91" t="n"/>
      <c r="N309" s="102" t="n"/>
      <c r="O309" s="102" t="n"/>
      <c r="P309" s="102" t="n"/>
      <c r="Q309" s="102" t="n"/>
      <c r="R309" s="102" t="n"/>
      <c r="S309" s="102" t="n"/>
      <c r="T309" s="102" t="n"/>
      <c r="U309" s="102" t="n"/>
      <c r="V309" s="102" t="n"/>
      <c r="W309" s="102" t="n"/>
      <c r="X309" s="102" t="n"/>
      <c r="Y309" s="102" t="n"/>
      <c r="Z309" s="102" t="n"/>
      <c r="AA309" s="102" t="n"/>
      <c r="AB309" s="102" t="n"/>
      <c r="AC309" s="102" t="n"/>
      <c r="AD309" s="102" t="n"/>
    </row>
    <row r="310" ht="15.75" customHeight="1" s="205">
      <c r="A310" s="102" t="n"/>
      <c r="B310" s="147" t="n"/>
      <c r="C310" s="144" t="n"/>
      <c r="D310" s="144" t="n"/>
      <c r="E310" s="144" t="n"/>
      <c r="F310" s="144" t="n"/>
      <c r="G310" s="144" t="n"/>
      <c r="H310" s="141">
        <f>IF(K310&lt;&gt;"", HYPERLINK("https://chatgpt.com/?prompt=" &amp; SUBSTITUTE(SUBSTITUTE(K310, " ", "+"), "&amp;", "dan") &amp; "&amp;force-refresh=true&amp;timestamp=" &amp; TEXT(NOW(), "yyyymmddhhmmss"), "👉 Klik untuk Generate Script! 🔥"), "")</f>
        <v/>
      </c>
      <c r="I310" s="144" t="n"/>
      <c r="J310" s="148" t="n"/>
      <c r="K310" s="140">
        <f>IF(AND(B310&lt;&gt;"", C310&lt;&gt;"", D310&lt;&gt;"", E310&lt;&gt;"", F310&lt;&gt;"", G310&lt;&gt;"", J310&lt;&gt;"", 'CONTENT PILLAR MAPPING'!C212&lt;&gt;"", 'CONTENT PILLAR MAPPING'!E212&lt;&gt;"", 'CONTENT PILLAR MAPPING'!F212&lt;&gt;"", 'CONTENT PILLAR MAPPING'!C215&lt;&gt;"", 'CONTENT PILLAR MAPPING'!C220&lt;&gt;"", 'CONTENT PILLAR MAPPING'!D220&lt;&gt;"", 'CONTENT PILLAR MAPPING'!E220&lt;&gt;"", 'CONTENT PILLAR MAPPING'!D228&lt;&gt;"", 'CONTENT PILLAR MAPPING'!D229&lt;&gt;""),
CONCATENATE(
"Sebagai seorang top konten kreator dengan niche utama '", 'CONTENT PILLAR MAPPING'!C212, "', spesifik kategori '", 'CONTENT PILLAR MAPPING'!E212, "', dan super spesifik '", 'CONTENT PILLAR MAPPING'!F212, "', yang dikenal sebagai '", 'CONTENT PILLAR MAPPING'!C215, "'.", CHAR(10),
"Saya memiliki Tone of Voice: '", 'CONTENT PILLAR MAPPING'!C220, "', Brand Archetype: '", 'CONTENT PILLAR MAPPING'!D220, "', dan Deskripsi Gaya Komunikasi: '", 'CONTENT PILLAR MAPPING'!E220, "'.", CHAR(10),
"Target audiens saya adalah: '", 'CONTENT PILLAR MAPPING'!D228, "', dengan segmentasi audiens: '", 'CONTENT PILLAR MAPPING'!D229, "'.", CHAR(10), CHAR(10),
"Mohon buatkan script konten yang **sangat powerful, menarik, inovatif, dan siap pakai** dengan judul ide '", B310, "'.", CHAR(10),
"Konten ini memiliki pilar '", C310, "', nilai tambah utama '", F310, "', dan akan menggunakan storytelling framework '", G310, "'.", CHAR(10),
"Gambaran singkat ide kontennya adalah: '", J310, "'.", CHAR(10),
"Konten ini akan diunggah di platform '", E310, "' dengan format '", D310,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MAPPING'!C215, "'.** Sesuaikan dengan gaya komunikasi saya, dengan fokus pada nilai tambah '", F310,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MAPPING'!D228, ", khusus ", 'CONTENT PILLAR MAPPING'!D229, ") dan membantu mereka menyelesaikan masalah atau mencapai tujuan mereka.", CHAR(10),
"✔ Membantuku membangun personal branding yang kuat dan sustainable, sesuai dengan Positioning saya sebagai '", 'CONTENT PILLAR MAPPING'!C215, "' dan Brand Archetype '", 'CONTENT PILLAR MAPPING'!D220, "'.", CHAR(10),
"✔ Kemas dalam bentuk tabel agar rapi, mudah di baca dan dipahami, dengan kolom 'Judul Konten', 'Pilar', 'Format', 'Draft Script', 'CTA', 'Saran Visual', dan 'Full Caption'. (Kosongkan kolom Link Prompt jika ada)."
),
"")</f>
        <v/>
      </c>
      <c r="L310" s="199" t="n"/>
      <c r="M310" s="199" t="n"/>
      <c r="N310" s="102" t="n"/>
      <c r="O310" s="102" t="n"/>
      <c r="P310" s="102" t="n"/>
      <c r="Q310" s="102" t="n"/>
      <c r="R310" s="102" t="n"/>
      <c r="S310" s="102" t="n"/>
      <c r="T310" s="102" t="n"/>
      <c r="U310" s="102" t="n"/>
      <c r="V310" s="102" t="n"/>
      <c r="W310" s="102" t="n"/>
      <c r="X310" s="102" t="n"/>
      <c r="Y310" s="102" t="n"/>
      <c r="Z310" s="102" t="n"/>
      <c r="AA310" s="102" t="n"/>
      <c r="AB310" s="102" t="n"/>
      <c r="AC310" s="102" t="n"/>
      <c r="AD310" s="102" t="n"/>
    </row>
    <row r="311" ht="15.75" customHeight="1" s="205">
      <c r="A311" s="102" t="n"/>
      <c r="B311" s="142" t="n"/>
      <c r="C311" s="143" t="n"/>
      <c r="D311" s="143" t="n"/>
      <c r="E311" s="143" t="n"/>
      <c r="F311" s="143" t="n"/>
      <c r="G311" s="144" t="n"/>
      <c r="H311" s="145">
        <f>IF(K311&lt;&gt;"", HYPERLINK("https://chatgpt.com/?prompt=" &amp; SUBSTITUTE(SUBSTITUTE(K311, " ", "+"), "&amp;", "dan") &amp; "&amp;force-refresh=true&amp;timestamp=" &amp; TEXT(NOW(), "yyyymmddhhmmss"), "👉 Klik untuk Generate Script! 🔥"), "")</f>
        <v/>
      </c>
      <c r="I311" s="143" t="n"/>
      <c r="J311" s="146" t="n"/>
      <c r="K311" s="130">
        <f>IF(AND(B311&lt;&gt;"", C311&lt;&gt;"", D311&lt;&gt;"", E311&lt;&gt;"", F311&lt;&gt;"", G311&lt;&gt;"", J311&lt;&gt;"", 'CONTENT PILLAR MAPPING'!C214&lt;&gt;"", 'CONTENT PILLAR MAPPING'!E214&lt;&gt;"", 'CONTENT PILLAR MAPPING'!F214&lt;&gt;"", 'CONTENT PILLAR MAPPING'!C217&lt;&gt;"", 'CONTENT PILLAR MAPPING'!C222&lt;&gt;"", 'CONTENT PILLAR MAPPING'!D222&lt;&gt;"", 'CONTENT PILLAR MAPPING'!E222&lt;&gt;"", 'CONTENT PILLAR MAPPING'!D230&lt;&gt;"", 'CONTENT PILLAR MAPPING'!D231&lt;&gt;""),
CONCATENATE(
"Sebagai seorang top konten kreator dengan niche utama '", 'CONTENT PILLAR MAPPING'!C214, "', spesifik kategori '", 'CONTENT PILLAR MAPPING'!E214, "', dan super spesifik '", 'CONTENT PILLAR MAPPING'!F214, "', yang dikenal sebagai '", 'CONTENT PILLAR MAPPING'!C217, "'.", CHAR(10),
"Saya memiliki Tone of Voice: '", 'CONTENT PILLAR MAPPING'!C222, "', Brand Archetype: '", 'CONTENT PILLAR MAPPING'!D222, "', dan Deskripsi Gaya Komunikasi: '", 'CONTENT PILLAR MAPPING'!E222, "'.", CHAR(10),
"Target audiens saya adalah: '", 'CONTENT PILLAR MAPPING'!D230, "', dengan segmentasi audiens: '", 'CONTENT PILLAR MAPPING'!D231, "'.", CHAR(10), CHAR(10),
"Mohon buatkan script konten yang **sangat powerful, menarik, inovatif, dan siap pakai** dengan judul ide '", B311, "'.", CHAR(10),
"Konten ini memiliki pilar '", C311, "', nilai tambah utama '", F311, "', dan akan menggunakan storytelling framework '", G311, "'.", CHAR(10),
"Gambaran singkat ide kontennya adalah: '", J311, "'.", CHAR(10),
"Konten ini akan diunggah di platform '", E311, "' dengan format '", D311,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MAPPING'!C217, "'.** Sesuaikan dengan gaya komunikasi saya, dengan fokus pada nilai tambah '", F311,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MAPPING'!D230, ", khusus ", 'CONTENT PILLAR MAPPING'!D231, ") dan membantu mereka menyelesaikan masalah atau mencapai tujuan mereka.", CHAR(10),
"✔ Membantuku membangun personal branding yang kuat dan sustainable, sesuai dengan Positioning saya sebagai '", 'CONTENT PILLAR MAPPING'!C217, "' dan Brand Archetype '", 'CONTENT PILLAR MAPPING'!D222, "'.", CHAR(10),
"✔ Kemas dalam bentuk tabel agar rapi, mudah di baca dan dipahami, dengan kolom 'Judul Konten', 'Pilar', 'Format', 'Draft Script', 'CTA', 'Saran Visual', dan 'Full Caption'. (Kosongkan kolom Link Prompt jika ada)."
),
"")</f>
        <v/>
      </c>
      <c r="L311" s="91" t="n"/>
      <c r="M311" s="91" t="n"/>
      <c r="N311" s="102" t="n"/>
      <c r="O311" s="102" t="n"/>
      <c r="P311" s="102" t="n"/>
      <c r="Q311" s="102" t="n"/>
      <c r="R311" s="102" t="n"/>
      <c r="S311" s="102" t="n"/>
      <c r="T311" s="102" t="n"/>
      <c r="U311" s="102" t="n"/>
      <c r="V311" s="102" t="n"/>
      <c r="W311" s="102" t="n"/>
      <c r="X311" s="102" t="n"/>
      <c r="Y311" s="102" t="n"/>
      <c r="Z311" s="102" t="n"/>
      <c r="AA311" s="102" t="n"/>
      <c r="AB311" s="102" t="n"/>
      <c r="AC311" s="102" t="n"/>
      <c r="AD311" s="102" t="n"/>
    </row>
    <row r="312" ht="15.75" customHeight="1" s="205">
      <c r="A312" s="102" t="n"/>
      <c r="B312" s="147" t="n"/>
      <c r="C312" s="144" t="n"/>
      <c r="D312" s="144" t="n"/>
      <c r="E312" s="144" t="n"/>
      <c r="F312" s="144" t="n"/>
      <c r="G312" s="144" t="n"/>
      <c r="H312" s="141">
        <f>IF(K312&lt;&gt;"", HYPERLINK("https://chatgpt.com/?prompt=" &amp; SUBSTITUTE(SUBSTITUTE(K312, " ", "+"), "&amp;", "dan") &amp; "&amp;force-refresh=true&amp;timestamp=" &amp; TEXT(NOW(), "yyyymmddhhmmss"), "👉 Klik untuk Generate Script! 🔥"), "")</f>
        <v/>
      </c>
      <c r="I312" s="144" t="n"/>
      <c r="J312" s="148" t="n"/>
      <c r="K312" s="140">
        <f>IF(AND(B312&lt;&gt;"", C312&lt;&gt;"", D312&lt;&gt;"", E312&lt;&gt;"", F312&lt;&gt;"", G312&lt;&gt;"", J312&lt;&gt;"", 'CONTENT PILLAR MAPPING'!C214&lt;&gt;"", 'CONTENT PILLAR MAPPING'!E214&lt;&gt;"", 'CONTENT PILLAR MAPPING'!F214&lt;&gt;"", 'CONTENT PILLAR MAPPING'!C217&lt;&gt;"", 'CONTENT PILLAR MAPPING'!C222&lt;&gt;"", 'CONTENT PILLAR MAPPING'!D222&lt;&gt;"", 'CONTENT PILLAR MAPPING'!E222&lt;&gt;"", 'CONTENT PILLAR MAPPING'!D230&lt;&gt;"", 'CONTENT PILLAR MAPPING'!D231&lt;&gt;""),
CONCATENATE(
"Sebagai seorang top konten kreator dengan niche utama '", 'CONTENT PILLAR MAPPING'!C214, "', spesifik kategori '", 'CONTENT PILLAR MAPPING'!E214, "', dan super spesifik '", 'CONTENT PILLAR MAPPING'!F214, "', yang dikenal sebagai '", 'CONTENT PILLAR MAPPING'!C217, "'.", CHAR(10),
"Saya memiliki Tone of Voice: '", 'CONTENT PILLAR MAPPING'!C222, "', Brand Archetype: '", 'CONTENT PILLAR MAPPING'!D222, "', dan Deskripsi Gaya Komunikasi: '", 'CONTENT PILLAR MAPPING'!E222, "'.", CHAR(10),
"Target audiens saya adalah: '", 'CONTENT PILLAR MAPPING'!D230, "', dengan segmentasi audiens: '", 'CONTENT PILLAR MAPPING'!D231, "'.", CHAR(10), CHAR(10),
"Mohon buatkan script konten yang **sangat powerful, menarik, inovatif, dan siap pakai** dengan judul ide '", B312, "'.", CHAR(10),
"Konten ini memiliki pilar '", C312, "', nilai tambah utama '", F312, "', dan akan menggunakan storytelling framework '", G312, "'.", CHAR(10),
"Gambaran singkat ide kontennya adalah: '", J312, "'.", CHAR(10),
"Konten ini akan diunggah di platform '", E312, "' dengan format '", D312,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MAPPING'!C217, "'.** Sesuaikan dengan gaya komunikasi saya, dengan fokus pada nilai tambah '", F312,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MAPPING'!D230, ", khusus ", 'CONTENT PILLAR MAPPING'!D231, ") dan membantu mereka menyelesaikan masalah atau mencapai tujuan mereka.", CHAR(10),
"✔ Membantuku membangun personal branding yang kuat dan sustainable, sesuai dengan Positioning saya sebagai '", 'CONTENT PILLAR MAPPING'!C217, "' dan Brand Archetype '", 'CONTENT PILLAR MAPPING'!D222, "'.", CHAR(10),
"✔ Kemas dalam bentuk tabel agar rapi, mudah di baca dan dipahami, dengan kolom 'Judul Konten', 'Pilar', 'Format', 'Draft Script', 'CTA', 'Saran Visual', dan 'Full Caption'. (Kosongkan kolom Link Prompt jika ada)."
),
"")</f>
        <v/>
      </c>
      <c r="L312" s="199" t="n"/>
      <c r="M312" s="199" t="n"/>
      <c r="N312" s="102" t="n"/>
      <c r="O312" s="102" t="n"/>
      <c r="P312" s="102" t="n"/>
      <c r="Q312" s="102" t="n"/>
      <c r="R312" s="102" t="n"/>
      <c r="S312" s="102" t="n"/>
      <c r="T312" s="102" t="n"/>
      <c r="U312" s="102" t="n"/>
      <c r="V312" s="102" t="n"/>
      <c r="W312" s="102" t="n"/>
      <c r="X312" s="102" t="n"/>
      <c r="Y312" s="102" t="n"/>
      <c r="Z312" s="102" t="n"/>
      <c r="AA312" s="102" t="n"/>
      <c r="AB312" s="102" t="n"/>
      <c r="AC312" s="102" t="n"/>
      <c r="AD312" s="102" t="n"/>
    </row>
    <row r="313" ht="15.75" customHeight="1" s="205">
      <c r="A313" s="102" t="n"/>
      <c r="B313" s="142" t="n"/>
      <c r="C313" s="143" t="n"/>
      <c r="D313" s="143" t="n"/>
      <c r="E313" s="143" t="n"/>
      <c r="F313" s="143" t="n"/>
      <c r="G313" s="144" t="n"/>
      <c r="H313" s="145">
        <f>IF(K313&lt;&gt;"", HYPERLINK("https://chatgpt.com/?prompt=" &amp; SUBSTITUTE(SUBSTITUTE(K313, " ", "+"), "&amp;", "dan") &amp; "&amp;force-refresh=true&amp;timestamp=" &amp; TEXT(NOW(), "yyyymmddhhmmss"), "👉 Klik untuk Generate Script! 🔥"), "")</f>
        <v/>
      </c>
      <c r="I313" s="143" t="n"/>
      <c r="J313" s="146" t="n"/>
      <c r="K313" s="130">
        <f>IF(AND(B313&lt;&gt;"", C313&lt;&gt;"", D313&lt;&gt;"", E313&lt;&gt;"", F313&lt;&gt;"", G313&lt;&gt;"", J313&lt;&gt;"", 'CONTENT PILLAR MAPPING'!C216&lt;&gt;"", 'CONTENT PILLAR MAPPING'!E216&lt;&gt;"", 'CONTENT PILLAR MAPPING'!F216&lt;&gt;"", 'CONTENT PILLAR MAPPING'!C219&lt;&gt;"", 'CONTENT PILLAR MAPPING'!C224&lt;&gt;"", 'CONTENT PILLAR MAPPING'!D224&lt;&gt;"", 'CONTENT PILLAR MAPPING'!E224&lt;&gt;"", 'CONTENT PILLAR MAPPING'!D232&lt;&gt;"", 'CONTENT PILLAR MAPPING'!D233&lt;&gt;""),
CONCATENATE(
"Sebagai seorang top konten kreator dengan niche utama '", 'CONTENT PILLAR MAPPING'!C216, "', spesifik kategori '", 'CONTENT PILLAR MAPPING'!E216, "', dan super spesifik '", 'CONTENT PILLAR MAPPING'!F216, "', yang dikenal sebagai '", 'CONTENT PILLAR MAPPING'!C219, "'.", CHAR(10),
"Saya memiliki Tone of Voice: '", 'CONTENT PILLAR MAPPING'!C224, "', Brand Archetype: '", 'CONTENT PILLAR MAPPING'!D224, "', dan Deskripsi Gaya Komunikasi: '", 'CONTENT PILLAR MAPPING'!E224, "'.", CHAR(10),
"Target audiens saya adalah: '", 'CONTENT PILLAR MAPPING'!D232, "', dengan segmentasi audiens: '", 'CONTENT PILLAR MAPPING'!D233, "'.", CHAR(10), CHAR(10),
"Mohon buatkan script konten yang **sangat powerful, menarik, inovatif, dan siap pakai** dengan judul ide '", B313, "'.", CHAR(10),
"Konten ini memiliki pilar '", C313, "', nilai tambah utama '", F313, "', dan akan menggunakan storytelling framework '", G313, "'.", CHAR(10),
"Gambaran singkat ide kontennya adalah: '", J313, "'.", CHAR(10),
"Konten ini akan diunggah di platform '", E313, "' dengan format '", D313,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MAPPING'!C219, "'.** Sesuaikan dengan gaya komunikasi saya, dengan fokus pada nilai tambah '", F313,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MAPPING'!D232, ", khusus ", 'CONTENT PILLAR MAPPING'!D233, ") dan membantu mereka menyelesaikan masalah atau mencapai tujuan mereka.", CHAR(10),
"✔ Membantuku membangun personal branding yang kuat dan sustainable, sesuai dengan Positioning saya sebagai '", 'CONTENT PILLAR MAPPING'!C219, "' dan Brand Archetype '", 'CONTENT PILLAR MAPPING'!D224, "'.", CHAR(10),
"✔ Kemas dalam bentuk tabel agar rapi, mudah di baca dan dipahami, dengan kolom 'Judul Konten', 'Pilar', 'Format', 'Draft Script', 'CTA', 'Saran Visual', dan 'Full Caption'. (Kosongkan kolom Link Prompt jika ada)."
),
"")</f>
        <v/>
      </c>
      <c r="L313" s="91" t="n"/>
      <c r="M313" s="91" t="n"/>
      <c r="N313" s="102" t="n"/>
      <c r="O313" s="102" t="n"/>
      <c r="P313" s="102" t="n"/>
      <c r="Q313" s="102" t="n"/>
      <c r="R313" s="102" t="n"/>
      <c r="S313" s="102" t="n"/>
      <c r="T313" s="102" t="n"/>
      <c r="U313" s="102" t="n"/>
      <c r="V313" s="102" t="n"/>
      <c r="W313" s="102" t="n"/>
      <c r="X313" s="102" t="n"/>
      <c r="Y313" s="102" t="n"/>
      <c r="Z313" s="102" t="n"/>
      <c r="AA313" s="102" t="n"/>
      <c r="AB313" s="102" t="n"/>
      <c r="AC313" s="102" t="n"/>
      <c r="AD313" s="102" t="n"/>
    </row>
    <row r="314" ht="15.75" customHeight="1" s="205">
      <c r="A314" s="102" t="n"/>
      <c r="B314" s="147" t="n"/>
      <c r="C314" s="144" t="n"/>
      <c r="D314" s="144" t="n"/>
      <c r="E314" s="144" t="n"/>
      <c r="F314" s="144" t="n"/>
      <c r="G314" s="144" t="n"/>
      <c r="H314" s="141">
        <f>IF(K314&lt;&gt;"", HYPERLINK("https://chatgpt.com/?prompt=" &amp; SUBSTITUTE(SUBSTITUTE(K314, " ", "+"), "&amp;", "dan") &amp; "&amp;force-refresh=true&amp;timestamp=" &amp; TEXT(NOW(), "yyyymmddhhmmss"), "👉 Klik untuk Generate Script! 🔥"), "")</f>
        <v/>
      </c>
      <c r="I314" s="144" t="n"/>
      <c r="J314" s="148" t="n"/>
      <c r="K314" s="140">
        <f>IF(AND(B314&lt;&gt;"", C314&lt;&gt;"", D314&lt;&gt;"", E314&lt;&gt;"", F314&lt;&gt;"", G314&lt;&gt;"", J314&lt;&gt;"", 'CONTENT PILLAR MAPPING'!C216&lt;&gt;"", 'CONTENT PILLAR MAPPING'!E216&lt;&gt;"", 'CONTENT PILLAR MAPPING'!F216&lt;&gt;"", 'CONTENT PILLAR MAPPING'!C219&lt;&gt;"", 'CONTENT PILLAR MAPPING'!C224&lt;&gt;"", 'CONTENT PILLAR MAPPING'!D224&lt;&gt;"", 'CONTENT PILLAR MAPPING'!E224&lt;&gt;"", 'CONTENT PILLAR MAPPING'!D232&lt;&gt;"", 'CONTENT PILLAR MAPPING'!D233&lt;&gt;""),
CONCATENATE(
"Sebagai seorang top konten kreator dengan niche utama '", 'CONTENT PILLAR MAPPING'!C216, "', spesifik kategori '", 'CONTENT PILLAR MAPPING'!E216, "', dan super spesifik '", 'CONTENT PILLAR MAPPING'!F216, "', yang dikenal sebagai '", 'CONTENT PILLAR MAPPING'!C219, "'.", CHAR(10),
"Saya memiliki Tone of Voice: '", 'CONTENT PILLAR MAPPING'!C224, "', Brand Archetype: '", 'CONTENT PILLAR MAPPING'!D224, "', dan Deskripsi Gaya Komunikasi: '", 'CONTENT PILLAR MAPPING'!E224, "'.", CHAR(10),
"Target audiens saya adalah: '", 'CONTENT PILLAR MAPPING'!D232, "', dengan segmentasi audiens: '", 'CONTENT PILLAR MAPPING'!D233, "'.", CHAR(10), CHAR(10),
"Mohon buatkan script konten yang **sangat powerful, menarik, inovatif, dan siap pakai** dengan judul ide '", B314, "'.", CHAR(10),
"Konten ini memiliki pilar '", C314, "', nilai tambah utama '", F314, "', dan akan menggunakan storytelling framework '", G314, "'.", CHAR(10),
"Gambaran singkat ide kontennya adalah: '", J314, "'.", CHAR(10),
"Konten ini akan diunggah di platform '", E314, "' dengan format '", D314,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MAPPING'!C219, "'.** Sesuaikan dengan gaya komunikasi saya, dengan fokus pada nilai tambah '", F314,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MAPPING'!D232, ", khusus ", 'CONTENT PILLAR MAPPING'!D233, ") dan membantu mereka menyelesaikan masalah atau mencapai tujuan mereka.", CHAR(10),
"✔ Membantuku membangun personal branding yang kuat dan sustainable, sesuai dengan Positioning saya sebagai '", 'CONTENT PILLAR MAPPING'!C219, "' dan Brand Archetype '", 'CONTENT PILLAR MAPPING'!D224, "'.", CHAR(10),
"✔ Kemas dalam bentuk tabel agar rapi, mudah di baca dan dipahami, dengan kolom 'Judul Konten', 'Pilar', 'Format', 'Draft Script', 'CTA', 'Saran Visual', dan 'Full Caption'. (Kosongkan kolom Link Prompt jika ada)."
),
"")</f>
        <v/>
      </c>
      <c r="L314" s="199" t="n"/>
      <c r="M314" s="199" t="n"/>
      <c r="N314" s="102" t="n"/>
      <c r="O314" s="102" t="n"/>
      <c r="P314" s="102" t="n"/>
      <c r="Q314" s="102" t="n"/>
      <c r="R314" s="102" t="n"/>
      <c r="S314" s="102" t="n"/>
      <c r="T314" s="102" t="n"/>
      <c r="U314" s="102" t="n"/>
      <c r="V314" s="102" t="n"/>
      <c r="W314" s="102" t="n"/>
      <c r="X314" s="102" t="n"/>
      <c r="Y314" s="102" t="n"/>
      <c r="Z314" s="102" t="n"/>
      <c r="AA314" s="102" t="n"/>
      <c r="AB314" s="102" t="n"/>
      <c r="AC314" s="102" t="n"/>
      <c r="AD314" s="102" t="n"/>
    </row>
    <row r="315" ht="15.75" customHeight="1" s="205">
      <c r="A315" s="102" t="n"/>
      <c r="B315" s="142" t="n"/>
      <c r="C315" s="143" t="n"/>
      <c r="D315" s="143" t="n"/>
      <c r="E315" s="143" t="n"/>
      <c r="F315" s="143" t="n"/>
      <c r="G315" s="144" t="n"/>
      <c r="H315" s="145">
        <f>IF(K315&lt;&gt;"", HYPERLINK("https://chatgpt.com/?prompt=" &amp; SUBSTITUTE(SUBSTITUTE(K315, " ", "+"), "&amp;", "dan") &amp; "&amp;force-refresh=true&amp;timestamp=" &amp; TEXT(NOW(), "yyyymmddhhmmss"), "👉 Klik untuk Generate Script! 🔥"), "")</f>
        <v/>
      </c>
      <c r="I315" s="143" t="n"/>
      <c r="J315" s="146" t="n"/>
      <c r="K315" s="130">
        <f>IF(AND(B315&lt;&gt;"", C315&lt;&gt;"", D315&lt;&gt;"", E315&lt;&gt;"", F315&lt;&gt;"", G315&lt;&gt;"", J315&lt;&gt;"", 'CONTENT PILLAR MAPPING'!C218&lt;&gt;"", 'CONTENT PILLAR MAPPING'!E218&lt;&gt;"", 'CONTENT PILLAR MAPPING'!F218&lt;&gt;"", 'CONTENT PILLAR MAPPING'!C221&lt;&gt;"", 'CONTENT PILLAR MAPPING'!C226&lt;&gt;"", 'CONTENT PILLAR MAPPING'!D226&lt;&gt;"", 'CONTENT PILLAR MAPPING'!E226&lt;&gt;"", 'CONTENT PILLAR MAPPING'!D234&lt;&gt;"", 'CONTENT PILLAR MAPPING'!D235&lt;&gt;""),
CONCATENATE(
"Sebagai seorang top konten kreator dengan niche utama '", 'CONTENT PILLAR MAPPING'!C218, "', spesifik kategori '", 'CONTENT PILLAR MAPPING'!E218, "', dan super spesifik '", 'CONTENT PILLAR MAPPING'!F218, "', yang dikenal sebagai '", 'CONTENT PILLAR MAPPING'!C221, "'.", CHAR(10),
"Saya memiliki Tone of Voice: '", 'CONTENT PILLAR MAPPING'!C226, "', Brand Archetype: '", 'CONTENT PILLAR MAPPING'!D226, "', dan Deskripsi Gaya Komunikasi: '", 'CONTENT PILLAR MAPPING'!E226, "'.", CHAR(10),
"Target audiens saya adalah: '", 'CONTENT PILLAR MAPPING'!D234, "', dengan segmentasi audiens: '", 'CONTENT PILLAR MAPPING'!D235, "'.", CHAR(10), CHAR(10),
"Mohon buatkan script konten yang **sangat powerful, menarik, inovatif, dan siap pakai** dengan judul ide '", B315, "'.", CHAR(10),
"Konten ini memiliki pilar '", C315, "', nilai tambah utama '", F315, "', dan akan menggunakan storytelling framework '", G315, "'.", CHAR(10),
"Gambaran singkat ide kontennya adalah: '", J315, "'.", CHAR(10),
"Konten ini akan diunggah di platform '", E315, "' dengan format '", D315,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MAPPING'!C221, "'.** Sesuaikan dengan gaya komunikasi saya, dengan fokus pada nilai tambah '", F315,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MAPPING'!D234, ", khusus ", 'CONTENT PILLAR MAPPING'!D235, ") dan membantu mereka menyelesaikan masalah atau mencapai tujuan mereka.", CHAR(10),
"✔ Membantuku membangun personal branding yang kuat dan sustainable, sesuai dengan Positioning saya sebagai '", 'CONTENT PILLAR MAPPING'!C221, "' dan Brand Archetype '", 'CONTENT PILLAR MAPPING'!D226, "'.", CHAR(10),
"✔ Kemas dalam bentuk tabel agar rapi, mudah di baca dan dipahami, dengan kolom 'Judul Konten', 'Pilar', 'Format', 'Draft Script', 'CTA', 'Saran Visual', dan 'Full Caption'. (Kosongkan kolom Link Prompt jika ada)."
),
"")</f>
        <v/>
      </c>
      <c r="L315" s="91" t="n"/>
      <c r="M315" s="91" t="n"/>
      <c r="N315" s="102" t="n"/>
      <c r="O315" s="102" t="n"/>
      <c r="P315" s="102" t="n"/>
      <c r="Q315" s="102" t="n"/>
      <c r="R315" s="102" t="n"/>
      <c r="S315" s="102" t="n"/>
      <c r="T315" s="102" t="n"/>
      <c r="U315" s="102" t="n"/>
      <c r="V315" s="102" t="n"/>
      <c r="W315" s="102" t="n"/>
      <c r="X315" s="102" t="n"/>
      <c r="Y315" s="102" t="n"/>
      <c r="Z315" s="102" t="n"/>
      <c r="AA315" s="102" t="n"/>
      <c r="AB315" s="102" t="n"/>
      <c r="AC315" s="102" t="n"/>
      <c r="AD315" s="102" t="n"/>
    </row>
    <row r="316" ht="15.75" customHeight="1" s="205">
      <c r="A316" s="102" t="n"/>
      <c r="B316" s="147" t="n"/>
      <c r="C316" s="144" t="n"/>
      <c r="D316" s="144" t="n"/>
      <c r="E316" s="144" t="n"/>
      <c r="F316" s="144" t="n"/>
      <c r="G316" s="144" t="n"/>
      <c r="H316" s="141">
        <f>IF(K316&lt;&gt;"", HYPERLINK("https://chatgpt.com/?prompt=" &amp; SUBSTITUTE(SUBSTITUTE(K316, " ", "+"), "&amp;", "dan") &amp; "&amp;force-refresh=true&amp;timestamp=" &amp; TEXT(NOW(), "yyyymmddhhmmss"), "👉 Klik untuk Generate Script! 🔥"), "")</f>
        <v/>
      </c>
      <c r="I316" s="144" t="n"/>
      <c r="J316" s="148" t="n"/>
      <c r="K316" s="140">
        <f>IF(AND(B316&lt;&gt;"", C316&lt;&gt;"", D316&lt;&gt;"", E316&lt;&gt;"", F316&lt;&gt;"", G316&lt;&gt;"", J316&lt;&gt;"", 'CONTENT PILLAR MAPPING'!C218&lt;&gt;"", 'CONTENT PILLAR MAPPING'!E218&lt;&gt;"", 'CONTENT PILLAR MAPPING'!F218&lt;&gt;"", 'CONTENT PILLAR MAPPING'!C221&lt;&gt;"", 'CONTENT PILLAR MAPPING'!C226&lt;&gt;"", 'CONTENT PILLAR MAPPING'!D226&lt;&gt;"", 'CONTENT PILLAR MAPPING'!E226&lt;&gt;"", 'CONTENT PILLAR MAPPING'!D234&lt;&gt;"", 'CONTENT PILLAR MAPPING'!D235&lt;&gt;""),
CONCATENATE(
"Sebagai seorang top konten kreator dengan niche utama '", 'CONTENT PILLAR MAPPING'!C218, "', spesifik kategori '", 'CONTENT PILLAR MAPPING'!E218, "', dan super spesifik '", 'CONTENT PILLAR MAPPING'!F218, "', yang dikenal sebagai '", 'CONTENT PILLAR MAPPING'!C221, "'.", CHAR(10),
"Saya memiliki Tone of Voice: '", 'CONTENT PILLAR MAPPING'!C226, "', Brand Archetype: '", 'CONTENT PILLAR MAPPING'!D226, "', dan Deskripsi Gaya Komunikasi: '", 'CONTENT PILLAR MAPPING'!E226, "'.", CHAR(10),
"Target audiens saya adalah: '", 'CONTENT PILLAR MAPPING'!D234, "', dengan segmentasi audiens: '", 'CONTENT PILLAR MAPPING'!D235, "'.", CHAR(10), CHAR(10),
"Mohon buatkan script konten yang **sangat powerful, menarik, inovatif, dan siap pakai** dengan judul ide '", B316, "'.", CHAR(10),
"Konten ini memiliki pilar '", C316, "', nilai tambah utama '", F316, "', dan akan menggunakan storytelling framework '", G316, "'.", CHAR(10),
"Gambaran singkat ide kontennya adalah: '", J316, "'.", CHAR(10),
"Konten ini akan diunggah di platform '", E316, "' dengan format '", D316,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MAPPING'!C221, "'.** Sesuaikan dengan gaya komunikasi saya, dengan fokus pada nilai tambah '", F316,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MAPPING'!D234, ", khusus ", 'CONTENT PILLAR MAPPING'!D235, ") dan membantu mereka menyelesaikan masalah atau mencapai tujuan mereka.", CHAR(10),
"✔ Membantuku membangun personal branding yang kuat dan sustainable, sesuai dengan Positioning saya sebagai '", 'CONTENT PILLAR MAPPING'!C221, "' dan Brand Archetype '", 'CONTENT PILLAR MAPPING'!D226, "'.", CHAR(10),
"✔ Kemas dalam bentuk tabel agar rapi, mudah di baca dan dipahami, dengan kolom 'Judul Konten', 'Pilar', 'Format', 'Draft Script', 'CTA', 'Saran Visual', dan 'Full Caption'. (Kosongkan kolom Link Prompt jika ada)."
),
"")</f>
        <v/>
      </c>
      <c r="L316" s="199" t="n"/>
      <c r="M316" s="199" t="n"/>
      <c r="N316" s="102" t="n"/>
      <c r="O316" s="102" t="n"/>
      <c r="P316" s="102" t="n"/>
      <c r="Q316" s="102" t="n"/>
      <c r="R316" s="102" t="n"/>
      <c r="S316" s="102" t="n"/>
      <c r="T316" s="102" t="n"/>
      <c r="U316" s="102" t="n"/>
      <c r="V316" s="102" t="n"/>
      <c r="W316" s="102" t="n"/>
      <c r="X316" s="102" t="n"/>
      <c r="Y316" s="102" t="n"/>
      <c r="Z316" s="102" t="n"/>
      <c r="AA316" s="102" t="n"/>
      <c r="AB316" s="102" t="n"/>
      <c r="AC316" s="102" t="n"/>
      <c r="AD316" s="102" t="n"/>
    </row>
    <row r="317" ht="15.75" customHeight="1" s="205">
      <c r="A317" s="102" t="n"/>
      <c r="B317" s="142" t="n"/>
      <c r="C317" s="143" t="n"/>
      <c r="D317" s="143" t="n"/>
      <c r="E317" s="143" t="n"/>
      <c r="F317" s="143" t="n"/>
      <c r="G317" s="144" t="n"/>
      <c r="H317" s="145">
        <f>IF(K317&lt;&gt;"", HYPERLINK("https://chatgpt.com/?prompt=" &amp; SUBSTITUTE(SUBSTITUTE(K317, " ", "+"), "&amp;", "dan") &amp; "&amp;force-refresh=true&amp;timestamp=" &amp; TEXT(NOW(), "yyyymmddhhmmss"), "👉 Klik untuk Generate Script! 🔥"), "")</f>
        <v/>
      </c>
      <c r="I317" s="143" t="n"/>
      <c r="J317" s="146" t="n"/>
      <c r="K317" s="130">
        <f>IF(AND(B317&lt;&gt;"", C317&lt;&gt;"", D317&lt;&gt;"", E317&lt;&gt;"", F317&lt;&gt;"", G317&lt;&gt;"", J317&lt;&gt;"", 'CONTENT PILLAR MAPPING'!C220&lt;&gt;"", 'CONTENT PILLAR MAPPING'!E220&lt;&gt;"", 'CONTENT PILLAR MAPPING'!F220&lt;&gt;"", 'CONTENT PILLAR MAPPING'!C223&lt;&gt;"", 'CONTENT PILLAR MAPPING'!C228&lt;&gt;"", 'CONTENT PILLAR MAPPING'!D228&lt;&gt;"", 'CONTENT PILLAR MAPPING'!E228&lt;&gt;"", 'CONTENT PILLAR MAPPING'!D236&lt;&gt;"", 'CONTENT PILLAR MAPPING'!D237&lt;&gt;""),
CONCATENATE(
"Sebagai seorang top konten kreator dengan niche utama '", 'CONTENT PILLAR MAPPING'!C220, "', spesifik kategori '", 'CONTENT PILLAR MAPPING'!E220, "', dan super spesifik '", 'CONTENT PILLAR MAPPING'!F220, "', yang dikenal sebagai '", 'CONTENT PILLAR MAPPING'!C223, "'.", CHAR(10),
"Saya memiliki Tone of Voice: '", 'CONTENT PILLAR MAPPING'!C228, "', Brand Archetype: '", 'CONTENT PILLAR MAPPING'!D228, "', dan Deskripsi Gaya Komunikasi: '", 'CONTENT PILLAR MAPPING'!E228, "'.", CHAR(10),
"Target audiens saya adalah: '", 'CONTENT PILLAR MAPPING'!D236, "', dengan segmentasi audiens: '", 'CONTENT PILLAR MAPPING'!D237, "'.", CHAR(10), CHAR(10),
"Mohon buatkan script konten yang **sangat powerful, menarik, inovatif, dan siap pakai** dengan judul ide '", B317, "'.", CHAR(10),
"Konten ini memiliki pilar '", C317, "', nilai tambah utama '", F317, "', dan akan menggunakan storytelling framework '", G317, "'.", CHAR(10),
"Gambaran singkat ide kontennya adalah: '", J317, "'.", CHAR(10),
"Konten ini akan diunggah di platform '", E317, "' dengan format '", D317,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MAPPING'!C223, "'.** Sesuaikan dengan gaya komunikasi saya, dengan fokus pada nilai tambah '", F317,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MAPPING'!D236, ", khusus ", 'CONTENT PILLAR MAPPING'!D237, ") dan membantu mereka menyelesaikan masalah atau mencapai tujuan mereka.", CHAR(10),
"✔ Membantuku membangun personal branding yang kuat dan sustainable, sesuai dengan Positioning saya sebagai '", 'CONTENT PILLAR MAPPING'!C223, "' dan Brand Archetype '", 'CONTENT PILLAR MAPPING'!D228, "'.", CHAR(10),
"✔ Kemas dalam bentuk tabel agar rapi, mudah di baca dan dipahami, dengan kolom 'Judul Konten', 'Pilar', 'Format', 'Draft Script', 'CTA', 'Saran Visual', dan 'Full Caption'. (Kosongkan kolom Link Prompt jika ada)."
),
"")</f>
        <v/>
      </c>
      <c r="L317" s="91" t="n"/>
      <c r="M317" s="91" t="n"/>
      <c r="N317" s="102" t="n"/>
      <c r="O317" s="102" t="n"/>
      <c r="P317" s="102" t="n"/>
      <c r="Q317" s="102" t="n"/>
      <c r="R317" s="102" t="n"/>
      <c r="S317" s="102" t="n"/>
      <c r="T317" s="102" t="n"/>
      <c r="U317" s="102" t="n"/>
      <c r="V317" s="102" t="n"/>
      <c r="W317" s="102" t="n"/>
      <c r="X317" s="102" t="n"/>
      <c r="Y317" s="102" t="n"/>
      <c r="Z317" s="102" t="n"/>
      <c r="AA317" s="102" t="n"/>
      <c r="AB317" s="102" t="n"/>
      <c r="AC317" s="102" t="n"/>
      <c r="AD317" s="102" t="n"/>
    </row>
    <row r="318" ht="15.75" customHeight="1" s="205">
      <c r="A318" s="102" t="n"/>
      <c r="B318" s="147" t="n"/>
      <c r="C318" s="144" t="n"/>
      <c r="D318" s="144" t="n"/>
      <c r="E318" s="144" t="n"/>
      <c r="F318" s="144" t="n"/>
      <c r="G318" s="144" t="n"/>
      <c r="H318" s="141">
        <f>IF(K318&lt;&gt;"", HYPERLINK("https://chatgpt.com/?prompt=" &amp; SUBSTITUTE(SUBSTITUTE(K318, " ", "+"), "&amp;", "dan") &amp; "&amp;force-refresh=true&amp;timestamp=" &amp; TEXT(NOW(), "yyyymmddhhmmss"), "👉 Klik untuk Generate Script! 🔥"), "")</f>
        <v/>
      </c>
      <c r="I318" s="144" t="n"/>
      <c r="J318" s="148" t="n"/>
      <c r="K318" s="140">
        <f>IF(AND(B318&lt;&gt;"", C318&lt;&gt;"", D318&lt;&gt;"", E318&lt;&gt;"", F318&lt;&gt;"", G318&lt;&gt;"", J318&lt;&gt;"", 'CONTENT PILLAR MAPPING'!C220&lt;&gt;"", 'CONTENT PILLAR MAPPING'!E220&lt;&gt;"", 'CONTENT PILLAR MAPPING'!F220&lt;&gt;"", 'CONTENT PILLAR MAPPING'!C223&lt;&gt;"", 'CONTENT PILLAR MAPPING'!C228&lt;&gt;"", 'CONTENT PILLAR MAPPING'!D228&lt;&gt;"", 'CONTENT PILLAR MAPPING'!E228&lt;&gt;"", 'CONTENT PILLAR MAPPING'!D236&lt;&gt;"", 'CONTENT PILLAR MAPPING'!D237&lt;&gt;""),
CONCATENATE(
"Sebagai seorang top konten kreator dengan niche utama '", 'CONTENT PILLAR MAPPING'!C220, "', spesifik kategori '", 'CONTENT PILLAR MAPPING'!E220, "', dan super spesifik '", 'CONTENT PILLAR MAPPING'!F220, "', yang dikenal sebagai '", 'CONTENT PILLAR MAPPING'!C223, "'.", CHAR(10),
"Saya memiliki Tone of Voice: '", 'CONTENT PILLAR MAPPING'!C228, "', Brand Archetype: '", 'CONTENT PILLAR MAPPING'!D228, "', dan Deskripsi Gaya Komunikasi: '", 'CONTENT PILLAR MAPPING'!E228, "'.", CHAR(10),
"Target audiens saya adalah: '", 'CONTENT PILLAR MAPPING'!D236, "', dengan segmentasi audiens: '", 'CONTENT PILLAR MAPPING'!D237, "'.", CHAR(10), CHAR(10),
"Mohon buatkan script konten yang **sangat powerful, menarik, inovatif, dan siap pakai** dengan judul ide '", B318, "'.", CHAR(10),
"Konten ini memiliki pilar '", C318, "', nilai tambah utama '", F318, "', dan akan menggunakan storytelling framework '", G318, "'.", CHAR(10),
"Gambaran singkat ide kontennya adalah: '", J318, "'.", CHAR(10),
"Konten ini akan diunggah di platform '", E318, "' dengan format '", D318,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MAPPING'!C223, "'.** Sesuaikan dengan gaya komunikasi saya, dengan fokus pada nilai tambah '", F318,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MAPPING'!D236, ", khusus ", 'CONTENT PILLAR MAPPING'!D237, ") dan membantu mereka menyelesaikan masalah atau mencapai tujuan mereka.", CHAR(10),
"✔ Membantuku membangun personal branding yang kuat dan sustainable, sesuai dengan Positioning saya sebagai '", 'CONTENT PILLAR MAPPING'!C223, "' dan Brand Archetype '", 'CONTENT PILLAR MAPPING'!D228, "'.", CHAR(10),
"✔ Kemas dalam bentuk tabel agar rapi, mudah di baca dan dipahami, dengan kolom 'Judul Konten', 'Pilar', 'Format', 'Draft Script', 'CTA', 'Saran Visual', dan 'Full Caption'. (Kosongkan kolom Link Prompt jika ada)."
),
"")</f>
        <v/>
      </c>
      <c r="L318" s="199" t="n"/>
      <c r="M318" s="199" t="n"/>
      <c r="N318" s="102" t="n"/>
      <c r="O318" s="102" t="n"/>
      <c r="P318" s="102" t="n"/>
      <c r="Q318" s="102" t="n"/>
      <c r="R318" s="102" t="n"/>
      <c r="S318" s="102" t="n"/>
      <c r="T318" s="102" t="n"/>
      <c r="U318" s="102" t="n"/>
      <c r="V318" s="102" t="n"/>
      <c r="W318" s="102" t="n"/>
      <c r="X318" s="102" t="n"/>
      <c r="Y318" s="102" t="n"/>
      <c r="Z318" s="102" t="n"/>
      <c r="AA318" s="102" t="n"/>
      <c r="AB318" s="102" t="n"/>
      <c r="AC318" s="102" t="n"/>
      <c r="AD318" s="102" t="n"/>
    </row>
    <row r="319" ht="15.75" customHeight="1" s="205">
      <c r="A319" s="102" t="n"/>
      <c r="B319" s="142" t="n"/>
      <c r="C319" s="143" t="n"/>
      <c r="D319" s="143" t="n"/>
      <c r="E319" s="143" t="n"/>
      <c r="F319" s="143" t="n"/>
      <c r="G319" s="144" t="n"/>
      <c r="H319" s="145">
        <f>IF(K319&lt;&gt;"", HYPERLINK("https://chatgpt.com/?prompt=" &amp; SUBSTITUTE(SUBSTITUTE(K319, " ", "+"), "&amp;", "dan") &amp; "&amp;force-refresh=true&amp;timestamp=" &amp; TEXT(NOW(), "yyyymmddhhmmss"), "👉 Klik untuk Generate Script! 🔥"), "")</f>
        <v/>
      </c>
      <c r="I319" s="143" t="n"/>
      <c r="J319" s="146" t="n"/>
      <c r="K319" s="130">
        <f>IF(AND(B319&lt;&gt;"", C319&lt;&gt;"", D319&lt;&gt;"", E319&lt;&gt;"", F319&lt;&gt;"", G319&lt;&gt;"", J319&lt;&gt;"", 'CONTENT PILLAR MAPPING'!C222&lt;&gt;"", 'CONTENT PILLAR MAPPING'!E222&lt;&gt;"", 'CONTENT PILLAR MAPPING'!F222&lt;&gt;"", 'CONTENT PILLAR MAPPING'!C225&lt;&gt;"", 'CONTENT PILLAR MAPPING'!C230&lt;&gt;"", 'CONTENT PILLAR MAPPING'!D230&lt;&gt;"", 'CONTENT PILLAR MAPPING'!E230&lt;&gt;"", 'CONTENT PILLAR MAPPING'!D238&lt;&gt;"", 'CONTENT PILLAR MAPPING'!D239&lt;&gt;""),
CONCATENATE(
"Sebagai seorang top konten kreator dengan niche utama '", 'CONTENT PILLAR MAPPING'!C222, "', spesifik kategori '", 'CONTENT PILLAR MAPPING'!E222, "', dan super spesifik '", 'CONTENT PILLAR MAPPING'!F222, "', yang dikenal sebagai '", 'CONTENT PILLAR MAPPING'!C225, "'.", CHAR(10),
"Saya memiliki Tone of Voice: '", 'CONTENT PILLAR MAPPING'!C230, "', Brand Archetype: '", 'CONTENT PILLAR MAPPING'!D230, "', dan Deskripsi Gaya Komunikasi: '", 'CONTENT PILLAR MAPPING'!E230, "'.", CHAR(10),
"Target audiens saya adalah: '", 'CONTENT PILLAR MAPPING'!D238, "', dengan segmentasi audiens: '", 'CONTENT PILLAR MAPPING'!D239, "'.", CHAR(10), CHAR(10),
"Mohon buatkan script konten yang **sangat powerful, menarik, inovatif, dan siap pakai** dengan judul ide '", B319, "'.", CHAR(10),
"Konten ini memiliki pilar '", C319, "', nilai tambah utama '", F319, "', dan akan menggunakan storytelling framework '", G319, "'.", CHAR(10),
"Gambaran singkat ide kontennya adalah: '", J319, "'.", CHAR(10),
"Konten ini akan diunggah di platform '", E319, "' dengan format '", D319,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MAPPING'!C225, "'.** Sesuaikan dengan gaya komunikasi saya, dengan fokus pada nilai tambah '", F319,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MAPPING'!D238, ", khusus ", 'CONTENT PILLAR MAPPING'!D239, ") dan membantu mereka menyelesaikan masalah atau mencapai tujuan mereka.", CHAR(10),
"✔ Membantuku membangun personal branding yang kuat dan sustainable, sesuai dengan Positioning saya sebagai '", 'CONTENT PILLAR MAPPING'!C225, "' dan Brand Archetype '", 'CONTENT PILLAR MAPPING'!D230, "'.", CHAR(10),
"✔ Kemas dalam bentuk tabel agar rapi, mudah di baca dan dipahami, dengan kolom 'Judul Konten', 'Pilar', 'Format', 'Draft Script', 'CTA', 'Saran Visual', dan 'Full Caption'. (Kosongkan kolom Link Prompt jika ada)."
),
"")</f>
        <v/>
      </c>
      <c r="L319" s="91" t="n"/>
      <c r="M319" s="91" t="n"/>
      <c r="N319" s="102" t="n"/>
      <c r="O319" s="102" t="n"/>
      <c r="P319" s="102" t="n"/>
      <c r="Q319" s="102" t="n"/>
      <c r="R319" s="102" t="n"/>
      <c r="S319" s="102" t="n"/>
      <c r="T319" s="102" t="n"/>
      <c r="U319" s="102" t="n"/>
      <c r="V319" s="102" t="n"/>
      <c r="W319" s="102" t="n"/>
      <c r="X319" s="102" t="n"/>
      <c r="Y319" s="102" t="n"/>
      <c r="Z319" s="102" t="n"/>
      <c r="AA319" s="102" t="n"/>
      <c r="AB319" s="102" t="n"/>
      <c r="AC319" s="102" t="n"/>
      <c r="AD319" s="102" t="n"/>
    </row>
    <row r="320" ht="15.75" customHeight="1" s="205">
      <c r="A320" s="102" t="n"/>
      <c r="B320" s="147" t="n"/>
      <c r="C320" s="144" t="n"/>
      <c r="D320" s="144" t="n"/>
      <c r="E320" s="144" t="n"/>
      <c r="F320" s="144" t="n"/>
      <c r="G320" s="144" t="n"/>
      <c r="H320" s="141">
        <f>IF(K320&lt;&gt;"", HYPERLINK("https://chatgpt.com/?prompt=" &amp; SUBSTITUTE(SUBSTITUTE(K320, " ", "+"), "&amp;", "dan") &amp; "&amp;force-refresh=true&amp;timestamp=" &amp; TEXT(NOW(), "yyyymmddhhmmss"), "👉 Klik untuk Generate Script! 🔥"), "")</f>
        <v/>
      </c>
      <c r="I320" s="144" t="n"/>
      <c r="J320" s="148" t="n"/>
      <c r="K320" s="140">
        <f>IF(AND(B320&lt;&gt;"", C320&lt;&gt;"", D320&lt;&gt;"", E320&lt;&gt;"", F320&lt;&gt;"", G320&lt;&gt;"", J320&lt;&gt;"", 'CONTENT PILLAR MAPPING'!C222&lt;&gt;"", 'CONTENT PILLAR MAPPING'!E222&lt;&gt;"", 'CONTENT PILLAR MAPPING'!F222&lt;&gt;"", 'CONTENT PILLAR MAPPING'!C225&lt;&gt;"", 'CONTENT PILLAR MAPPING'!C230&lt;&gt;"", 'CONTENT PILLAR MAPPING'!D230&lt;&gt;"", 'CONTENT PILLAR MAPPING'!E230&lt;&gt;"", 'CONTENT PILLAR MAPPING'!D238&lt;&gt;"", 'CONTENT PILLAR MAPPING'!D239&lt;&gt;""),
CONCATENATE(
"Sebagai seorang top konten kreator dengan niche utama '", 'CONTENT PILLAR MAPPING'!C222, "', spesifik kategori '", 'CONTENT PILLAR MAPPING'!E222, "', dan super spesifik '", 'CONTENT PILLAR MAPPING'!F222, "', yang dikenal sebagai '", 'CONTENT PILLAR MAPPING'!C225, "'.", CHAR(10),
"Saya memiliki Tone of Voice: '", 'CONTENT PILLAR MAPPING'!C230, "', Brand Archetype: '", 'CONTENT PILLAR MAPPING'!D230, "', dan Deskripsi Gaya Komunikasi: '", 'CONTENT PILLAR MAPPING'!E230, "'.", CHAR(10),
"Target audiens saya adalah: '", 'CONTENT PILLAR MAPPING'!D238, "', dengan segmentasi audiens: '", 'CONTENT PILLAR MAPPING'!D239, "'.", CHAR(10), CHAR(10),
"Mohon buatkan script konten yang **sangat powerful, menarik, inovatif, dan siap pakai** dengan judul ide '", B320, "'.", CHAR(10),
"Konten ini memiliki pilar '", C320, "', nilai tambah utama '", F320, "', dan akan menggunakan storytelling framework '", G320, "'.", CHAR(10),
"Gambaran singkat ide kontennya adalah: '", J320, "'.", CHAR(10),
"Konten ini akan diunggah di platform '", E320, "' dengan format '", D320,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MAPPING'!C225, "'.** Sesuaikan dengan gaya komunikasi saya, dengan fokus pada nilai tambah '", F320,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MAPPING'!D238, ", khusus ", 'CONTENT PILLAR MAPPING'!D239, ") dan membantu mereka menyelesaikan masalah atau mencapai tujuan mereka.", CHAR(10),
"✔ Membantuku membangun personal branding yang kuat dan sustainable, sesuai dengan Positioning saya sebagai '", 'CONTENT PILLAR MAPPING'!C225, "' dan Brand Archetype '", 'CONTENT PILLAR MAPPING'!D230, "'.", CHAR(10),
"✔ Kemas dalam bentuk tabel agar rapi, mudah di baca dan dipahami, dengan kolom 'Judul Konten', 'Pilar', 'Format', 'Draft Script', 'CTA', 'Saran Visual', dan 'Full Caption'. (Kosongkan kolom Link Prompt jika ada)."
),
"")</f>
        <v/>
      </c>
      <c r="L320" s="199" t="n"/>
      <c r="M320" s="199" t="n"/>
      <c r="N320" s="102" t="n"/>
      <c r="O320" s="102" t="n"/>
      <c r="P320" s="102" t="n"/>
      <c r="Q320" s="102" t="n"/>
      <c r="R320" s="102" t="n"/>
      <c r="S320" s="102" t="n"/>
      <c r="T320" s="102" t="n"/>
      <c r="U320" s="102" t="n"/>
      <c r="V320" s="102" t="n"/>
      <c r="W320" s="102" t="n"/>
      <c r="X320" s="102" t="n"/>
      <c r="Y320" s="102" t="n"/>
      <c r="Z320" s="102" t="n"/>
      <c r="AA320" s="102" t="n"/>
      <c r="AB320" s="102" t="n"/>
      <c r="AC320" s="102" t="n"/>
      <c r="AD320" s="102" t="n"/>
    </row>
    <row r="321" ht="15.75" customHeight="1" s="205">
      <c r="A321" s="102" t="n"/>
      <c r="B321" s="142" t="n"/>
      <c r="C321" s="143" t="n"/>
      <c r="D321" s="143" t="n"/>
      <c r="E321" s="143" t="n"/>
      <c r="F321" s="143" t="n"/>
      <c r="G321" s="144" t="n"/>
      <c r="H321" s="145">
        <f>IF(K321&lt;&gt;"", HYPERLINK("https://chatgpt.com/?prompt=" &amp; SUBSTITUTE(SUBSTITUTE(K321, " ", "+"), "&amp;", "dan") &amp; "&amp;force-refresh=true&amp;timestamp=" &amp; TEXT(NOW(), "yyyymmddhhmmss"), "👉 Klik untuk Generate Script! 🔥"), "")</f>
        <v/>
      </c>
      <c r="I321" s="143" t="n"/>
      <c r="J321" s="146" t="n"/>
      <c r="K321" s="130">
        <f>IF(AND(B321&lt;&gt;"", C321&lt;&gt;"", D321&lt;&gt;"", E321&lt;&gt;"", F321&lt;&gt;"", G321&lt;&gt;"", J321&lt;&gt;"", 'CONTENT PILLAR MAPPING'!C224&lt;&gt;"", 'CONTENT PILLAR MAPPING'!E224&lt;&gt;"", 'CONTENT PILLAR MAPPING'!F224&lt;&gt;"", 'CONTENT PILLAR MAPPING'!C227&lt;&gt;"", 'CONTENT PILLAR MAPPING'!C232&lt;&gt;"", 'CONTENT PILLAR MAPPING'!D232&lt;&gt;"", 'CONTENT PILLAR MAPPING'!E232&lt;&gt;"", 'CONTENT PILLAR MAPPING'!D240&lt;&gt;"", 'CONTENT PILLAR MAPPING'!D241&lt;&gt;""),
CONCATENATE(
"Sebagai seorang top konten kreator dengan niche utama '", 'CONTENT PILLAR MAPPING'!C224, "', spesifik kategori '", 'CONTENT PILLAR MAPPING'!E224, "', dan super spesifik '", 'CONTENT PILLAR MAPPING'!F224, "', yang dikenal sebagai '", 'CONTENT PILLAR MAPPING'!C227, "'.", CHAR(10),
"Saya memiliki Tone of Voice: '", 'CONTENT PILLAR MAPPING'!C232, "', Brand Archetype: '", 'CONTENT PILLAR MAPPING'!D232, "', dan Deskripsi Gaya Komunikasi: '", 'CONTENT PILLAR MAPPING'!E232, "'.", CHAR(10),
"Target audiens saya adalah: '", 'CONTENT PILLAR MAPPING'!D240, "', dengan segmentasi audiens: '", 'CONTENT PILLAR MAPPING'!D241, "'.", CHAR(10), CHAR(10),
"Mohon buatkan script konten yang **sangat powerful, menarik, inovatif, dan siap pakai** dengan judul ide '", B321, "'.", CHAR(10),
"Konten ini memiliki pilar '", C321, "', nilai tambah utama '", F321, "', dan akan menggunakan storytelling framework '", G321, "'.", CHAR(10),
"Gambaran singkat ide kontennya adalah: '", J321, "'.", CHAR(10),
"Konten ini akan diunggah di platform '", E321, "' dengan format '", D321,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MAPPING'!C227, "'.** Sesuaikan dengan gaya komunikasi saya, dengan fokus pada nilai tambah '", F321,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MAPPING'!D240, ", khusus ", 'CONTENT PILLAR MAPPING'!D241, ") dan membantu mereka menyelesaikan masalah atau mencapai tujuan mereka.", CHAR(10),
"✔ Membantuku membangun personal branding yang kuat dan sustainable, sesuai dengan Positioning saya sebagai '", 'CONTENT PILLAR MAPPING'!C227, "' dan Brand Archetype '", 'CONTENT PILLAR MAPPING'!D232, "'.", CHAR(10),
"✔ Kemas dalam bentuk tabel agar rapi, mudah di baca dan dipahami, dengan kolom 'Judul Konten', 'Pilar', 'Format', 'Draft Script', 'CTA', 'Saran Visual', dan 'Full Caption'. (Kosongkan kolom Link Prompt jika ada)."
),
"")</f>
        <v/>
      </c>
      <c r="L321" s="91" t="n"/>
      <c r="M321" s="91" t="n"/>
      <c r="N321" s="102" t="n"/>
      <c r="O321" s="102" t="n"/>
      <c r="P321" s="102" t="n"/>
      <c r="Q321" s="102" t="n"/>
      <c r="R321" s="102" t="n"/>
      <c r="S321" s="102" t="n"/>
      <c r="T321" s="102" t="n"/>
      <c r="U321" s="102" t="n"/>
      <c r="V321" s="102" t="n"/>
      <c r="W321" s="102" t="n"/>
      <c r="X321" s="102" t="n"/>
      <c r="Y321" s="102" t="n"/>
      <c r="Z321" s="102" t="n"/>
      <c r="AA321" s="102" t="n"/>
      <c r="AB321" s="102" t="n"/>
      <c r="AC321" s="102" t="n"/>
      <c r="AD321" s="102" t="n"/>
    </row>
    <row r="322" ht="15.75" customHeight="1" s="205">
      <c r="A322" s="102" t="n"/>
      <c r="B322" s="147" t="n"/>
      <c r="C322" s="144" t="n"/>
      <c r="D322" s="144" t="n"/>
      <c r="E322" s="144" t="n"/>
      <c r="F322" s="144" t="n"/>
      <c r="G322" s="144" t="n"/>
      <c r="H322" s="141">
        <f>IF(K322&lt;&gt;"", HYPERLINK("https://chatgpt.com/?prompt=" &amp; SUBSTITUTE(SUBSTITUTE(K322, " ", "+"), "&amp;", "dan") &amp; "&amp;force-refresh=true&amp;timestamp=" &amp; TEXT(NOW(), "yyyymmddhhmmss"), "👉 Klik untuk Generate Script! 🔥"), "")</f>
        <v/>
      </c>
      <c r="I322" s="144" t="n"/>
      <c r="J322" s="148" t="n"/>
      <c r="K322" s="140">
        <f>IF(AND(B322&lt;&gt;"", C322&lt;&gt;"", D322&lt;&gt;"", E322&lt;&gt;"", F322&lt;&gt;"", G322&lt;&gt;"", J322&lt;&gt;"", 'CONTENT PILLAR MAPPING'!C224&lt;&gt;"", 'CONTENT PILLAR MAPPING'!E224&lt;&gt;"", 'CONTENT PILLAR MAPPING'!F224&lt;&gt;"", 'CONTENT PILLAR MAPPING'!C227&lt;&gt;"", 'CONTENT PILLAR MAPPING'!C232&lt;&gt;"", 'CONTENT PILLAR MAPPING'!D232&lt;&gt;"", 'CONTENT PILLAR MAPPING'!E232&lt;&gt;"", 'CONTENT PILLAR MAPPING'!D240&lt;&gt;"", 'CONTENT PILLAR MAPPING'!D241&lt;&gt;""),
CONCATENATE(
"Sebagai seorang top konten kreator dengan niche utama '", 'CONTENT PILLAR MAPPING'!C224, "', spesifik kategori '", 'CONTENT PILLAR MAPPING'!E224, "', dan super spesifik '", 'CONTENT PILLAR MAPPING'!F224, "', yang dikenal sebagai '", 'CONTENT PILLAR MAPPING'!C227, "'.", CHAR(10),
"Saya memiliki Tone of Voice: '", 'CONTENT PILLAR MAPPING'!C232, "', Brand Archetype: '", 'CONTENT PILLAR MAPPING'!D232, "', dan Deskripsi Gaya Komunikasi: '", 'CONTENT PILLAR MAPPING'!E232, "'.", CHAR(10),
"Target audiens saya adalah: '", 'CONTENT PILLAR MAPPING'!D240, "', dengan segmentasi audiens: '", 'CONTENT PILLAR MAPPING'!D241, "'.", CHAR(10), CHAR(10),
"Mohon buatkan script konten yang **sangat powerful, menarik, inovatif, dan siap pakai** dengan judul ide '", B322, "'.", CHAR(10),
"Konten ini memiliki pilar '", C322, "', nilai tambah utama '", F322, "', dan akan menggunakan storytelling framework '", G322, "'.", CHAR(10),
"Gambaran singkat ide kontennya adalah: '", J322, "'.", CHAR(10),
"Konten ini akan diunggah di platform '", E322, "' dengan format '", D322,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MAPPING'!C227, "'.** Sesuaikan dengan gaya komunikasi saya, dengan fokus pada nilai tambah '", F322,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MAPPING'!D240, ", khusus ", 'CONTENT PILLAR MAPPING'!D241, ") dan membantu mereka menyelesaikan masalah atau mencapai tujuan mereka.", CHAR(10),
"✔ Membantuku membangun personal branding yang kuat dan sustainable, sesuai dengan Positioning saya sebagai '", 'CONTENT PILLAR MAPPING'!C227, "' dan Brand Archetype '", 'CONTENT PILLAR MAPPING'!D232, "'.", CHAR(10),
"✔ Kemas dalam bentuk tabel agar rapi, mudah di baca dan dipahami, dengan kolom 'Judul Konten', 'Pilar', 'Format', 'Draft Script', 'CTA', 'Saran Visual', dan 'Full Caption'. (Kosongkan kolom Link Prompt jika ada)."
),
"")</f>
        <v/>
      </c>
      <c r="L322" s="199" t="n"/>
      <c r="M322" s="199" t="n"/>
      <c r="N322" s="102" t="n"/>
      <c r="O322" s="102" t="n"/>
      <c r="P322" s="102" t="n"/>
      <c r="Q322" s="102" t="n"/>
      <c r="R322" s="102" t="n"/>
      <c r="S322" s="102" t="n"/>
      <c r="T322" s="102" t="n"/>
      <c r="U322" s="102" t="n"/>
      <c r="V322" s="102" t="n"/>
      <c r="W322" s="102" t="n"/>
      <c r="X322" s="102" t="n"/>
      <c r="Y322" s="102" t="n"/>
      <c r="Z322" s="102" t="n"/>
      <c r="AA322" s="102" t="n"/>
      <c r="AB322" s="102" t="n"/>
      <c r="AC322" s="102" t="n"/>
      <c r="AD322" s="102" t="n"/>
    </row>
    <row r="323" ht="15.75" customHeight="1" s="205">
      <c r="A323" s="102" t="n"/>
      <c r="B323" s="142" t="n"/>
      <c r="C323" s="143" t="n"/>
      <c r="D323" s="143" t="n"/>
      <c r="E323" s="143" t="n"/>
      <c r="F323" s="143" t="n"/>
      <c r="G323" s="144" t="n"/>
      <c r="H323" s="145">
        <f>IF(K323&lt;&gt;"", HYPERLINK("https://chatgpt.com/?prompt=" &amp; SUBSTITUTE(SUBSTITUTE(K323, " ", "+"), "&amp;", "dan") &amp; "&amp;force-refresh=true&amp;timestamp=" &amp; TEXT(NOW(), "yyyymmddhhmmss"), "👉 Klik untuk Generate Script! 🔥"), "")</f>
        <v/>
      </c>
      <c r="I323" s="143" t="n"/>
      <c r="J323" s="146" t="n"/>
      <c r="K323" s="130">
        <f>IF(AND(B323&lt;&gt;"", C323&lt;&gt;"", D323&lt;&gt;"", E323&lt;&gt;"", F323&lt;&gt;"", G323&lt;&gt;"", J323&lt;&gt;"", 'CONTENT PILLAR MAPPING'!C226&lt;&gt;"", 'CONTENT PILLAR MAPPING'!E226&lt;&gt;"", 'CONTENT PILLAR MAPPING'!F226&lt;&gt;"", 'CONTENT PILLAR MAPPING'!C229&lt;&gt;"", 'CONTENT PILLAR MAPPING'!C234&lt;&gt;"", 'CONTENT PILLAR MAPPING'!D234&lt;&gt;"", 'CONTENT PILLAR MAPPING'!E234&lt;&gt;"", 'CONTENT PILLAR MAPPING'!D242&lt;&gt;"", 'CONTENT PILLAR MAPPING'!D243&lt;&gt;""),
CONCATENATE(
"Sebagai seorang top konten kreator dengan niche utama '", 'CONTENT PILLAR MAPPING'!C226, "', spesifik kategori '", 'CONTENT PILLAR MAPPING'!E226, "', dan super spesifik '", 'CONTENT PILLAR MAPPING'!F226, "', yang dikenal sebagai '", 'CONTENT PILLAR MAPPING'!C229, "'.", CHAR(10),
"Saya memiliki Tone of Voice: '", 'CONTENT PILLAR MAPPING'!C234, "', Brand Archetype: '", 'CONTENT PILLAR MAPPING'!D234, "', dan Deskripsi Gaya Komunikasi: '", 'CONTENT PILLAR MAPPING'!E234, "'.", CHAR(10),
"Target audiens saya adalah: '", 'CONTENT PILLAR MAPPING'!D242, "', dengan segmentasi audiens: '", 'CONTENT PILLAR MAPPING'!D243, "'.", CHAR(10), CHAR(10),
"Mohon buatkan script konten yang **sangat powerful, menarik, inovatif, dan siap pakai** dengan judul ide '", B323, "'.", CHAR(10),
"Konten ini memiliki pilar '", C323, "', nilai tambah utama '", F323, "', dan akan menggunakan storytelling framework '", G323, "'.", CHAR(10),
"Gambaran singkat ide kontennya adalah: '", J323, "'.", CHAR(10),
"Konten ini akan diunggah di platform '", E323, "' dengan format '", D323,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MAPPING'!C229, "'.** Sesuaikan dengan gaya komunikasi saya, dengan fokus pada nilai tambah '", F323,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MAPPING'!D242, ", khusus ", 'CONTENT PILLAR MAPPING'!D243, ") dan membantu mereka menyelesaikan masalah atau mencapai tujuan mereka.", CHAR(10),
"✔ Membantuku membangun personal branding yang kuat dan sustainable, sesuai dengan Positioning saya sebagai '", 'CONTENT PILLAR MAPPING'!C229, "' dan Brand Archetype '", 'CONTENT PILLAR MAPPING'!D234, "'.", CHAR(10),
"✔ Kemas dalam bentuk tabel agar rapi, mudah di baca dan dipahami, dengan kolom 'Judul Konten', 'Pilar', 'Format', 'Draft Script', 'CTA', 'Saran Visual', dan 'Full Caption'. (Kosongkan kolom Link Prompt jika ada)."
),
"")</f>
        <v/>
      </c>
      <c r="L323" s="91" t="n"/>
      <c r="M323" s="91" t="n"/>
      <c r="N323" s="102" t="n"/>
      <c r="O323" s="102" t="n"/>
      <c r="P323" s="102" t="n"/>
      <c r="Q323" s="102" t="n"/>
      <c r="R323" s="102" t="n"/>
      <c r="S323" s="102" t="n"/>
      <c r="T323" s="102" t="n"/>
      <c r="U323" s="102" t="n"/>
      <c r="V323" s="102" t="n"/>
      <c r="W323" s="102" t="n"/>
      <c r="X323" s="102" t="n"/>
      <c r="Y323" s="102" t="n"/>
      <c r="Z323" s="102" t="n"/>
      <c r="AA323" s="102" t="n"/>
      <c r="AB323" s="102" t="n"/>
      <c r="AC323" s="102" t="n"/>
      <c r="AD323" s="102" t="n"/>
    </row>
    <row r="324" ht="15.75" customHeight="1" s="205">
      <c r="A324" s="102" t="n"/>
      <c r="B324" s="147" t="n"/>
      <c r="C324" s="144" t="n"/>
      <c r="D324" s="144" t="n"/>
      <c r="E324" s="144" t="n"/>
      <c r="F324" s="144" t="n"/>
      <c r="G324" s="144" t="n"/>
      <c r="H324" s="141">
        <f>IF(K324&lt;&gt;"", HYPERLINK("https://chatgpt.com/?prompt=" &amp; SUBSTITUTE(SUBSTITUTE(K324, " ", "+"), "&amp;", "dan") &amp; "&amp;force-refresh=true&amp;timestamp=" &amp; TEXT(NOW(), "yyyymmddhhmmss"), "👉 Klik untuk Generate Script! 🔥"), "")</f>
        <v/>
      </c>
      <c r="I324" s="144" t="n"/>
      <c r="J324" s="148" t="n"/>
      <c r="K324" s="140">
        <f>IF(AND(B324&lt;&gt;"", C324&lt;&gt;"", D324&lt;&gt;"", E324&lt;&gt;"", F324&lt;&gt;"", G324&lt;&gt;"", J324&lt;&gt;"", 'CONTENT PILLAR MAPPING'!C226&lt;&gt;"", 'CONTENT PILLAR MAPPING'!E226&lt;&gt;"", 'CONTENT PILLAR MAPPING'!F226&lt;&gt;"", 'CONTENT PILLAR MAPPING'!C229&lt;&gt;"", 'CONTENT PILLAR MAPPING'!C234&lt;&gt;"", 'CONTENT PILLAR MAPPING'!D234&lt;&gt;"", 'CONTENT PILLAR MAPPING'!E234&lt;&gt;"", 'CONTENT PILLAR MAPPING'!D242&lt;&gt;"", 'CONTENT PILLAR MAPPING'!D243&lt;&gt;""),
CONCATENATE(
"Sebagai seorang top konten kreator dengan niche utama '", 'CONTENT PILLAR MAPPING'!C226, "', spesifik kategori '", 'CONTENT PILLAR MAPPING'!E226, "', dan super spesifik '", 'CONTENT PILLAR MAPPING'!F226, "', yang dikenal sebagai '", 'CONTENT PILLAR MAPPING'!C229, "'.", CHAR(10),
"Saya memiliki Tone of Voice: '", 'CONTENT PILLAR MAPPING'!C234, "', Brand Archetype: '", 'CONTENT PILLAR MAPPING'!D234, "', dan Deskripsi Gaya Komunikasi: '", 'CONTENT PILLAR MAPPING'!E234, "'.", CHAR(10),
"Target audiens saya adalah: '", 'CONTENT PILLAR MAPPING'!D242, "', dengan segmentasi audiens: '", 'CONTENT PILLAR MAPPING'!D243, "'.", CHAR(10), CHAR(10),
"Mohon buatkan script konten yang **sangat powerful, menarik, inovatif, dan siap pakai** dengan judul ide '", B324, "'.", CHAR(10),
"Konten ini memiliki pilar '", C324, "', nilai tambah utama '", F324, "', dan akan menggunakan storytelling framework '", G324, "'.", CHAR(10),
"Gambaran singkat ide kontennya adalah: '", J324, "'.", CHAR(10),
"Konten ini akan diunggah di platform '", E324, "' dengan format '", D324,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MAPPING'!C229, "'.** Sesuaikan dengan gaya komunikasi saya, dengan fokus pada nilai tambah '", F324,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MAPPING'!D242, ", khusus ", 'CONTENT PILLAR MAPPING'!D243, ") dan membantu mereka menyelesaikan masalah atau mencapai tujuan mereka.", CHAR(10),
"✔ Membantuku membangun personal branding yang kuat dan sustainable, sesuai dengan Positioning saya sebagai '", 'CONTENT PILLAR MAPPING'!C229, "' dan Brand Archetype '", 'CONTENT PILLAR MAPPING'!D234, "'.", CHAR(10),
"✔ Kemas dalam bentuk tabel agar rapi, mudah di baca dan dipahami, dengan kolom 'Judul Konten', 'Pilar', 'Format', 'Draft Script', 'CTA', 'Saran Visual', dan 'Full Caption'. (Kosongkan kolom Link Prompt jika ada)."
),
"")</f>
        <v/>
      </c>
      <c r="L324" s="199" t="n"/>
      <c r="M324" s="199" t="n"/>
      <c r="N324" s="102" t="n"/>
      <c r="O324" s="102" t="n"/>
      <c r="P324" s="102" t="n"/>
      <c r="Q324" s="102" t="n"/>
      <c r="R324" s="102" t="n"/>
      <c r="S324" s="102" t="n"/>
      <c r="T324" s="102" t="n"/>
      <c r="U324" s="102" t="n"/>
      <c r="V324" s="102" t="n"/>
      <c r="W324" s="102" t="n"/>
      <c r="X324" s="102" t="n"/>
      <c r="Y324" s="102" t="n"/>
      <c r="Z324" s="102" t="n"/>
      <c r="AA324" s="102" t="n"/>
      <c r="AB324" s="102" t="n"/>
      <c r="AC324" s="102" t="n"/>
      <c r="AD324" s="102" t="n"/>
    </row>
    <row r="325" ht="15.75" customHeight="1" s="205">
      <c r="A325" s="102" t="n"/>
      <c r="B325" s="142" t="n"/>
      <c r="C325" s="143" t="n"/>
      <c r="D325" s="143" t="n"/>
      <c r="E325" s="143" t="n"/>
      <c r="F325" s="143" t="n"/>
      <c r="G325" s="144" t="n"/>
      <c r="H325" s="145">
        <f>IF(K325&lt;&gt;"", HYPERLINK("https://chatgpt.com/?prompt=" &amp; SUBSTITUTE(SUBSTITUTE(K325, " ", "+"), "&amp;", "dan") &amp; "&amp;force-refresh=true&amp;timestamp=" &amp; TEXT(NOW(), "yyyymmddhhmmss"), "👉 Klik untuk Generate Script! 🔥"), "")</f>
        <v/>
      </c>
      <c r="I325" s="143" t="n"/>
      <c r="J325" s="146" t="n"/>
      <c r="K325" s="130">
        <f>IF(AND(B325&lt;&gt;"", C325&lt;&gt;"", D325&lt;&gt;"", E325&lt;&gt;"", F325&lt;&gt;"", G325&lt;&gt;"", J325&lt;&gt;"", 'CONTENT PILLAR MAPPING'!C228&lt;&gt;"", 'CONTENT PILLAR MAPPING'!E228&lt;&gt;"", 'CONTENT PILLAR MAPPING'!F228&lt;&gt;"", 'CONTENT PILLAR MAPPING'!C231&lt;&gt;"", 'CONTENT PILLAR MAPPING'!C236&lt;&gt;"", 'CONTENT PILLAR MAPPING'!D236&lt;&gt;"", 'CONTENT PILLAR MAPPING'!E236&lt;&gt;"", 'CONTENT PILLAR MAPPING'!D244&lt;&gt;"", 'CONTENT PILLAR MAPPING'!D245&lt;&gt;""),
CONCATENATE(
"Sebagai seorang top konten kreator dengan niche utama '", 'CONTENT PILLAR MAPPING'!C228, "', spesifik kategori '", 'CONTENT PILLAR MAPPING'!E228, "', dan super spesifik '", 'CONTENT PILLAR MAPPING'!F228, "', yang dikenal sebagai '", 'CONTENT PILLAR MAPPING'!C231, "'.", CHAR(10),
"Saya memiliki Tone of Voice: '", 'CONTENT PILLAR MAPPING'!C236, "', Brand Archetype: '", 'CONTENT PILLAR MAPPING'!D236, "', dan Deskripsi Gaya Komunikasi: '", 'CONTENT PILLAR MAPPING'!E236, "'.", CHAR(10),
"Target audiens saya adalah: '", 'CONTENT PILLAR MAPPING'!D244, "', dengan segmentasi audiens: '", 'CONTENT PILLAR MAPPING'!D245, "'.", CHAR(10), CHAR(10),
"Mohon buatkan script konten yang **sangat powerful, menarik, inovatif, dan siap pakai** dengan judul ide '", B325, "'.", CHAR(10),
"Konten ini memiliki pilar '", C325, "', nilai tambah utama '", F325, "', dan akan menggunakan storytelling framework '", G325, "'.", CHAR(10),
"Gambaran singkat ide kontennya adalah: '", J325, "'.", CHAR(10),
"Konten ini akan diunggah di platform '", E325, "' dengan format '", D325,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MAPPING'!C231, "'.** Sesuaikan dengan gaya komunikasi saya, dengan fokus pada nilai tambah '", F325,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MAPPING'!D244, ", khusus ", 'CONTENT PILLAR MAPPING'!D245, ") dan membantu mereka menyelesaikan masalah atau mencapai tujuan mereka.", CHAR(10),
"✔ Membantuku membangun personal branding yang kuat dan sustainable, sesuai dengan Positioning saya sebagai '", 'CONTENT PILLAR MAPPING'!C231, "' dan Brand Archetype '", 'CONTENT PILLAR MAPPING'!D236, "'.", CHAR(10),
"✔ Kemas dalam bentuk tabel agar rapi, mudah di baca dan dipahami, dengan kolom 'Judul Konten', 'Pilar', 'Format', 'Draft Script', 'CTA', 'Saran Visual', dan 'Full Caption'. (Kosongkan kolom Link Prompt jika ada)."
),
"")</f>
        <v/>
      </c>
      <c r="L325" s="91" t="n"/>
      <c r="M325" s="91" t="n"/>
      <c r="N325" s="102" t="n"/>
      <c r="O325" s="102" t="n"/>
      <c r="P325" s="102" t="n"/>
      <c r="Q325" s="102" t="n"/>
      <c r="R325" s="102" t="n"/>
      <c r="S325" s="102" t="n"/>
      <c r="T325" s="102" t="n"/>
      <c r="U325" s="102" t="n"/>
      <c r="V325" s="102" t="n"/>
      <c r="W325" s="102" t="n"/>
      <c r="X325" s="102" t="n"/>
      <c r="Y325" s="102" t="n"/>
      <c r="Z325" s="102" t="n"/>
      <c r="AA325" s="102" t="n"/>
      <c r="AB325" s="102" t="n"/>
      <c r="AC325" s="102" t="n"/>
      <c r="AD325" s="102" t="n"/>
    </row>
    <row r="326" ht="15.75" customHeight="1" s="205">
      <c r="A326" s="102" t="n"/>
      <c r="B326" s="147" t="n"/>
      <c r="C326" s="144" t="n"/>
      <c r="D326" s="144" t="n"/>
      <c r="E326" s="144" t="n"/>
      <c r="F326" s="144" t="n"/>
      <c r="G326" s="144" t="n"/>
      <c r="H326" s="141">
        <f>IF(K326&lt;&gt;"", HYPERLINK("https://chatgpt.com/?prompt=" &amp; SUBSTITUTE(SUBSTITUTE(K326, " ", "+"), "&amp;", "dan") &amp; "&amp;force-refresh=true&amp;timestamp=" &amp; TEXT(NOW(), "yyyymmddhhmmss"), "👉 Klik untuk Generate Script! 🔥"), "")</f>
        <v/>
      </c>
      <c r="I326" s="144" t="n"/>
      <c r="J326" s="148" t="n"/>
      <c r="K326" s="140">
        <f>IF(AND(B326&lt;&gt;"", C326&lt;&gt;"", D326&lt;&gt;"", E326&lt;&gt;"", F326&lt;&gt;"", G326&lt;&gt;"", J326&lt;&gt;"", 'CONTENT PILLAR MAPPING'!C228&lt;&gt;"", 'CONTENT PILLAR MAPPING'!E228&lt;&gt;"", 'CONTENT PILLAR MAPPING'!F228&lt;&gt;"", 'CONTENT PILLAR MAPPING'!C231&lt;&gt;"", 'CONTENT PILLAR MAPPING'!C236&lt;&gt;"", 'CONTENT PILLAR MAPPING'!D236&lt;&gt;"", 'CONTENT PILLAR MAPPING'!E236&lt;&gt;"", 'CONTENT PILLAR MAPPING'!D244&lt;&gt;"", 'CONTENT PILLAR MAPPING'!D245&lt;&gt;""),
CONCATENATE(
"Sebagai seorang top konten kreator dengan niche utama '", 'CONTENT PILLAR MAPPING'!C228, "', spesifik kategori '", 'CONTENT PILLAR MAPPING'!E228, "', dan super spesifik '", 'CONTENT PILLAR MAPPING'!F228, "', yang dikenal sebagai '", 'CONTENT PILLAR MAPPING'!C231, "'.", CHAR(10),
"Saya memiliki Tone of Voice: '", 'CONTENT PILLAR MAPPING'!C236, "', Brand Archetype: '", 'CONTENT PILLAR MAPPING'!D236, "', dan Deskripsi Gaya Komunikasi: '", 'CONTENT PILLAR MAPPING'!E236, "'.", CHAR(10),
"Target audiens saya adalah: '", 'CONTENT PILLAR MAPPING'!D244, "', dengan segmentasi audiens: '", 'CONTENT PILLAR MAPPING'!D245, "'.", CHAR(10), CHAR(10),
"Mohon buatkan script konten yang **sangat powerful, menarik, inovatif, dan siap pakai** dengan judul ide '", B326, "'.", CHAR(10),
"Konten ini memiliki pilar '", C326, "', nilai tambah utama '", F326, "', dan akan menggunakan storytelling framework '", G326, "'.", CHAR(10),
"Gambaran singkat ide kontennya adalah: '", J326, "'.", CHAR(10),
"Konten ini akan diunggah di platform '", E326, "' dengan format '", D326,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MAPPING'!C231, "'.** Sesuaikan dengan gaya komunikasi saya, dengan fokus pada nilai tambah '", F326,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MAPPING'!D244, ", khusus ", 'CONTENT PILLAR MAPPING'!D245, ") dan membantu mereka menyelesaikan masalah atau mencapai tujuan mereka.", CHAR(10),
"✔ Membantuku membangun personal branding yang kuat dan sustainable, sesuai dengan Positioning saya sebagai '", 'CONTENT PILLAR MAPPING'!C231, "' dan Brand Archetype '", 'CONTENT PILLAR MAPPING'!D236, "'.", CHAR(10),
"✔ Kemas dalam bentuk tabel agar rapi, mudah di baca dan dipahami, dengan kolom 'Judul Konten', 'Pilar', 'Format', 'Draft Script', 'CTA', 'Saran Visual', dan 'Full Caption'. (Kosongkan kolom Link Prompt jika ada)."
),
"")</f>
        <v/>
      </c>
      <c r="L326" s="199" t="n"/>
      <c r="M326" s="199" t="n"/>
      <c r="N326" s="102" t="n"/>
      <c r="O326" s="102" t="n"/>
      <c r="P326" s="102" t="n"/>
      <c r="Q326" s="102" t="n"/>
      <c r="R326" s="102" t="n"/>
      <c r="S326" s="102" t="n"/>
      <c r="T326" s="102" t="n"/>
      <c r="U326" s="102" t="n"/>
      <c r="V326" s="102" t="n"/>
      <c r="W326" s="102" t="n"/>
      <c r="X326" s="102" t="n"/>
      <c r="Y326" s="102" t="n"/>
      <c r="Z326" s="102" t="n"/>
      <c r="AA326" s="102" t="n"/>
      <c r="AB326" s="102" t="n"/>
      <c r="AC326" s="102" t="n"/>
      <c r="AD326" s="102" t="n"/>
    </row>
    <row r="327" ht="15.75" customHeight="1" s="205">
      <c r="A327" s="102" t="n"/>
      <c r="B327" s="142" t="n"/>
      <c r="C327" s="143" t="n"/>
      <c r="D327" s="143" t="n"/>
      <c r="E327" s="143" t="n"/>
      <c r="F327" s="143" t="n"/>
      <c r="G327" s="144" t="n"/>
      <c r="H327" s="145">
        <f>IF(K327&lt;&gt;"", HYPERLINK("https://chatgpt.com/?prompt=" &amp; SUBSTITUTE(SUBSTITUTE(K327, " ", "+"), "&amp;", "dan") &amp; "&amp;force-refresh=true&amp;timestamp=" &amp; TEXT(NOW(), "yyyymmddhhmmss"), "👉 Klik untuk Generate Script! 🔥"), "")</f>
        <v/>
      </c>
      <c r="I327" s="143" t="n"/>
      <c r="J327" s="146" t="n"/>
      <c r="K327" s="130">
        <f>IF(AND(B327&lt;&gt;"", C327&lt;&gt;"", D327&lt;&gt;"", E327&lt;&gt;"", F327&lt;&gt;"", G327&lt;&gt;"", J327&lt;&gt;"", 'CONTENT PILLAR MAPPING'!C230&lt;&gt;"", 'CONTENT PILLAR MAPPING'!E230&lt;&gt;"", 'CONTENT PILLAR MAPPING'!F230&lt;&gt;"", 'CONTENT PILLAR MAPPING'!C233&lt;&gt;"", 'CONTENT PILLAR MAPPING'!C238&lt;&gt;"", 'CONTENT PILLAR MAPPING'!D238&lt;&gt;"", 'CONTENT PILLAR MAPPING'!E238&lt;&gt;"", 'CONTENT PILLAR MAPPING'!D246&lt;&gt;"", 'CONTENT PILLAR MAPPING'!D247&lt;&gt;""),
CONCATENATE(
"Sebagai seorang top konten kreator dengan niche utama '", 'CONTENT PILLAR MAPPING'!C230, "', spesifik kategori '", 'CONTENT PILLAR MAPPING'!E230, "', dan super spesifik '", 'CONTENT PILLAR MAPPING'!F230, "', yang dikenal sebagai '", 'CONTENT PILLAR MAPPING'!C233, "'.", CHAR(10),
"Saya memiliki Tone of Voice: '", 'CONTENT PILLAR MAPPING'!C238, "', Brand Archetype: '", 'CONTENT PILLAR MAPPING'!D238, "', dan Deskripsi Gaya Komunikasi: '", 'CONTENT PILLAR MAPPING'!E238, "'.", CHAR(10),
"Target audiens saya adalah: '", 'CONTENT PILLAR MAPPING'!D246, "', dengan segmentasi audiens: '", 'CONTENT PILLAR MAPPING'!D247, "'.", CHAR(10), CHAR(10),
"Mohon buatkan script konten yang **sangat powerful, menarik, inovatif, dan siap pakai** dengan judul ide '", B327, "'.", CHAR(10),
"Konten ini memiliki pilar '", C327, "', nilai tambah utama '", F327, "', dan akan menggunakan storytelling framework '", G327, "'.", CHAR(10),
"Gambaran singkat ide kontennya adalah: '", J327, "'.", CHAR(10),
"Konten ini akan diunggah di platform '", E327, "' dengan format '", D327,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MAPPING'!C233, "'.** Sesuaikan dengan gaya komunikasi saya, dengan fokus pada nilai tambah '", F327,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MAPPING'!D246, ", khusus ", 'CONTENT PILLAR MAPPING'!D247, ") dan membantu mereka menyelesaikan masalah atau mencapai tujuan mereka.", CHAR(10),
"✔ Membantuku membangun personal branding yang kuat dan sustainable, sesuai dengan Positioning saya sebagai '", 'CONTENT PILLAR MAPPING'!C233, "' dan Brand Archetype '", 'CONTENT PILLAR MAPPING'!D238, "'.", CHAR(10),
"✔ Kemas dalam bentuk tabel agar rapi, mudah di baca dan dipahami, dengan kolom 'Judul Konten', 'Pilar', 'Format', 'Draft Script', 'CTA', 'Saran Visual', dan 'Full Caption'. (Kosongkan kolom Link Prompt jika ada)."
),
"")</f>
        <v/>
      </c>
      <c r="L327" s="91" t="n"/>
      <c r="M327" s="91" t="n"/>
      <c r="N327" s="102" t="n"/>
      <c r="O327" s="102" t="n"/>
      <c r="P327" s="102" t="n"/>
      <c r="Q327" s="102" t="n"/>
      <c r="R327" s="102" t="n"/>
      <c r="S327" s="102" t="n"/>
      <c r="T327" s="102" t="n"/>
      <c r="U327" s="102" t="n"/>
      <c r="V327" s="102" t="n"/>
      <c r="W327" s="102" t="n"/>
      <c r="X327" s="102" t="n"/>
      <c r="Y327" s="102" t="n"/>
      <c r="Z327" s="102" t="n"/>
      <c r="AA327" s="102" t="n"/>
      <c r="AB327" s="102" t="n"/>
      <c r="AC327" s="102" t="n"/>
      <c r="AD327" s="102" t="n"/>
    </row>
    <row r="328" ht="15.75" customHeight="1" s="205">
      <c r="A328" s="102" t="n"/>
      <c r="B328" s="147" t="n"/>
      <c r="C328" s="144" t="n"/>
      <c r="D328" s="144" t="n"/>
      <c r="E328" s="144" t="n"/>
      <c r="F328" s="144" t="n"/>
      <c r="G328" s="144" t="n"/>
      <c r="H328" s="141">
        <f>IF(K328&lt;&gt;"", HYPERLINK("https://chatgpt.com/?prompt=" &amp; SUBSTITUTE(SUBSTITUTE(K328, " ", "+"), "&amp;", "dan") &amp; "&amp;force-refresh=true&amp;timestamp=" &amp; TEXT(NOW(), "yyyymmddhhmmss"), "👉 Klik untuk Generate Script! 🔥"), "")</f>
        <v/>
      </c>
      <c r="I328" s="144" t="n"/>
      <c r="J328" s="148" t="n"/>
      <c r="K328" s="140">
        <f>IF(AND(B328&lt;&gt;"", C328&lt;&gt;"", D328&lt;&gt;"", E328&lt;&gt;"", F328&lt;&gt;"", G328&lt;&gt;"", J328&lt;&gt;"", 'CONTENT PILLAR MAPPING'!C230&lt;&gt;"", 'CONTENT PILLAR MAPPING'!E230&lt;&gt;"", 'CONTENT PILLAR MAPPING'!F230&lt;&gt;"", 'CONTENT PILLAR MAPPING'!C233&lt;&gt;"", 'CONTENT PILLAR MAPPING'!C238&lt;&gt;"", 'CONTENT PILLAR MAPPING'!D238&lt;&gt;"", 'CONTENT PILLAR MAPPING'!E238&lt;&gt;"", 'CONTENT PILLAR MAPPING'!D246&lt;&gt;"", 'CONTENT PILLAR MAPPING'!D247&lt;&gt;""),
CONCATENATE(
"Sebagai seorang top konten kreator dengan niche utama '", 'CONTENT PILLAR MAPPING'!C230, "', spesifik kategori '", 'CONTENT PILLAR MAPPING'!E230, "', dan super spesifik '", 'CONTENT PILLAR MAPPING'!F230, "', yang dikenal sebagai '", 'CONTENT PILLAR MAPPING'!C233, "'.", CHAR(10),
"Saya memiliki Tone of Voice: '", 'CONTENT PILLAR MAPPING'!C238, "', Brand Archetype: '", 'CONTENT PILLAR MAPPING'!D238, "', dan Deskripsi Gaya Komunikasi: '", 'CONTENT PILLAR MAPPING'!E238, "'.", CHAR(10),
"Target audiens saya adalah: '", 'CONTENT PILLAR MAPPING'!D246, "', dengan segmentasi audiens: '", 'CONTENT PILLAR MAPPING'!D247, "'.", CHAR(10), CHAR(10),
"Mohon buatkan script konten yang **sangat powerful, menarik, inovatif, dan siap pakai** dengan judul ide '", B328, "'.", CHAR(10),
"Konten ini memiliki pilar '", C328, "', nilai tambah utama '", F328, "', dan akan menggunakan storytelling framework '", G328, "'.", CHAR(10),
"Gambaran singkat ide kontennya adalah: '", J328, "'.", CHAR(10),
"Konten ini akan diunggah di platform '", E328, "' dengan format '", D328,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MAPPING'!C233, "'.** Sesuaikan dengan gaya komunikasi saya, dengan fokus pada nilai tambah '", F328,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MAPPING'!D246, ", khusus ", 'CONTENT PILLAR MAPPING'!D247, ") dan membantu mereka menyelesaikan masalah atau mencapai tujuan mereka.", CHAR(10),
"✔ Membantuku membangun personal branding yang kuat dan sustainable, sesuai dengan Positioning saya sebagai '", 'CONTENT PILLAR MAPPING'!C233, "' dan Brand Archetype '", 'CONTENT PILLAR MAPPING'!D238, "'.", CHAR(10),
"✔ Kemas dalam bentuk tabel agar rapi, mudah di baca dan dipahami, dengan kolom 'Judul Konten', 'Pilar', 'Format', 'Draft Script', 'CTA', 'Saran Visual', dan 'Full Caption'. (Kosongkan kolom Link Prompt jika ada)."
),
"")</f>
        <v/>
      </c>
      <c r="L328" s="199" t="n"/>
      <c r="M328" s="199" t="n"/>
      <c r="N328" s="102" t="n"/>
      <c r="O328" s="102" t="n"/>
      <c r="P328" s="102" t="n"/>
      <c r="Q328" s="102" t="n"/>
      <c r="R328" s="102" t="n"/>
      <c r="S328" s="102" t="n"/>
      <c r="T328" s="102" t="n"/>
      <c r="U328" s="102" t="n"/>
      <c r="V328" s="102" t="n"/>
      <c r="W328" s="102" t="n"/>
      <c r="X328" s="102" t="n"/>
      <c r="Y328" s="102" t="n"/>
      <c r="Z328" s="102" t="n"/>
      <c r="AA328" s="102" t="n"/>
      <c r="AB328" s="102" t="n"/>
      <c r="AC328" s="102" t="n"/>
      <c r="AD328" s="102" t="n"/>
    </row>
    <row r="329" ht="15.75" customHeight="1" s="205">
      <c r="A329" s="102" t="n"/>
      <c r="B329" s="142" t="n"/>
      <c r="C329" s="143" t="n"/>
      <c r="D329" s="143" t="n"/>
      <c r="E329" s="143" t="n"/>
      <c r="F329" s="143" t="n"/>
      <c r="G329" s="144" t="n"/>
      <c r="H329" s="145">
        <f>IF(K329&lt;&gt;"", HYPERLINK("https://chatgpt.com/?prompt=" &amp; SUBSTITUTE(SUBSTITUTE(K329, " ", "+"), "&amp;", "dan") &amp; "&amp;force-refresh=true&amp;timestamp=" &amp; TEXT(NOW(), "yyyymmddhhmmss"), "👉 Klik untuk Generate Script! 🔥"), "")</f>
        <v/>
      </c>
      <c r="I329" s="143" t="n"/>
      <c r="J329" s="146" t="n"/>
      <c r="K329" s="130">
        <f>IF(AND(B329&lt;&gt;"", C329&lt;&gt;"", D329&lt;&gt;"", E329&lt;&gt;"", F329&lt;&gt;"", G329&lt;&gt;"", J329&lt;&gt;"", 'CONTENT PILLAR MAPPING'!C232&lt;&gt;"", 'CONTENT PILLAR MAPPING'!E232&lt;&gt;"", 'CONTENT PILLAR MAPPING'!F232&lt;&gt;"", 'CONTENT PILLAR MAPPING'!C235&lt;&gt;"", 'CONTENT PILLAR MAPPING'!C240&lt;&gt;"", 'CONTENT PILLAR MAPPING'!D240&lt;&gt;"", 'CONTENT PILLAR MAPPING'!E240&lt;&gt;"", 'CONTENT PILLAR MAPPING'!D248&lt;&gt;"", 'CONTENT PILLAR MAPPING'!D249&lt;&gt;""),
CONCATENATE(
"Sebagai seorang top konten kreator dengan niche utama '", 'CONTENT PILLAR MAPPING'!C232, "', spesifik kategori '", 'CONTENT PILLAR MAPPING'!E232, "', dan super spesifik '", 'CONTENT PILLAR MAPPING'!F232, "', yang dikenal sebagai '", 'CONTENT PILLAR MAPPING'!C235, "'.", CHAR(10),
"Saya memiliki Tone of Voice: '", 'CONTENT PILLAR MAPPING'!C240, "', Brand Archetype: '", 'CONTENT PILLAR MAPPING'!D240, "', dan Deskripsi Gaya Komunikasi: '", 'CONTENT PILLAR MAPPING'!E240, "'.", CHAR(10),
"Target audiens saya adalah: '", 'CONTENT PILLAR MAPPING'!D248, "', dengan segmentasi audiens: '", 'CONTENT PILLAR MAPPING'!D249, "'.", CHAR(10), CHAR(10),
"Mohon buatkan script konten yang **sangat powerful, menarik, inovatif, dan siap pakai** dengan judul ide '", B329, "'.", CHAR(10),
"Konten ini memiliki pilar '", C329, "', nilai tambah utama '", F329, "', dan akan menggunakan storytelling framework '", G329, "'.", CHAR(10),
"Gambaran singkat ide kontennya adalah: '", J329, "'.", CHAR(10),
"Konten ini akan diunggah di platform '", E329, "' dengan format '", D329,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MAPPING'!C235, "'.** Sesuaikan dengan gaya komunikasi saya, dengan fokus pada nilai tambah '", F329,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MAPPING'!D248, ", khusus ", 'CONTENT PILLAR MAPPING'!D249, ") dan membantu mereka menyelesaikan masalah atau mencapai tujuan mereka.", CHAR(10),
"✔ Membantuku membangun personal branding yang kuat dan sustainable, sesuai dengan Positioning saya sebagai '", 'CONTENT PILLAR MAPPING'!C235, "' dan Brand Archetype '", 'CONTENT PILLAR MAPPING'!D240, "'.", CHAR(10),
"✔ Kemas dalam bentuk tabel agar rapi, mudah di baca dan dipahami, dengan kolom 'Judul Konten', 'Pilar', 'Format', 'Draft Script', 'CTA', 'Saran Visual', dan 'Full Caption'. (Kosongkan kolom Link Prompt jika ada)."
),
"")</f>
        <v/>
      </c>
      <c r="L329" s="91" t="n"/>
      <c r="M329" s="91" t="n"/>
      <c r="N329" s="102" t="n"/>
      <c r="O329" s="102" t="n"/>
      <c r="P329" s="102" t="n"/>
      <c r="Q329" s="102" t="n"/>
      <c r="R329" s="102" t="n"/>
      <c r="S329" s="102" t="n"/>
      <c r="T329" s="102" t="n"/>
      <c r="U329" s="102" t="n"/>
      <c r="V329" s="102" t="n"/>
      <c r="W329" s="102" t="n"/>
      <c r="X329" s="102" t="n"/>
      <c r="Y329" s="102" t="n"/>
      <c r="Z329" s="102" t="n"/>
      <c r="AA329" s="102" t="n"/>
      <c r="AB329" s="102" t="n"/>
      <c r="AC329" s="102" t="n"/>
      <c r="AD329" s="102" t="n"/>
    </row>
    <row r="330" ht="15.75" customHeight="1" s="205">
      <c r="A330" s="102" t="n"/>
      <c r="B330" s="147" t="n"/>
      <c r="C330" s="144" t="n"/>
      <c r="D330" s="144" t="n"/>
      <c r="E330" s="144" t="n"/>
      <c r="F330" s="144" t="n"/>
      <c r="G330" s="144" t="n"/>
      <c r="H330" s="141">
        <f>IF(K330&lt;&gt;"", HYPERLINK("https://chatgpt.com/?prompt=" &amp; SUBSTITUTE(SUBSTITUTE(K330, " ", "+"), "&amp;", "dan") &amp; "&amp;force-refresh=true&amp;timestamp=" &amp; TEXT(NOW(), "yyyymmddhhmmss"), "👉 Klik untuk Generate Script! 🔥"), "")</f>
        <v/>
      </c>
      <c r="I330" s="144" t="n"/>
      <c r="J330" s="148" t="n"/>
      <c r="K330" s="140">
        <f>IF(AND(B330&lt;&gt;"", C330&lt;&gt;"", D330&lt;&gt;"", E330&lt;&gt;"", F330&lt;&gt;"", G330&lt;&gt;"", J330&lt;&gt;"", 'CONTENT PILLAR MAPPING'!C232&lt;&gt;"", 'CONTENT PILLAR MAPPING'!E232&lt;&gt;"", 'CONTENT PILLAR MAPPING'!F232&lt;&gt;"", 'CONTENT PILLAR MAPPING'!C235&lt;&gt;"", 'CONTENT PILLAR MAPPING'!C240&lt;&gt;"", 'CONTENT PILLAR MAPPING'!D240&lt;&gt;"", 'CONTENT PILLAR MAPPING'!E240&lt;&gt;"", 'CONTENT PILLAR MAPPING'!D248&lt;&gt;"", 'CONTENT PILLAR MAPPING'!D249&lt;&gt;""),
CONCATENATE(
"Sebagai seorang top konten kreator dengan niche utama '", 'CONTENT PILLAR MAPPING'!C232, "', spesifik kategori '", 'CONTENT PILLAR MAPPING'!E232, "', dan super spesifik '", 'CONTENT PILLAR MAPPING'!F232, "', yang dikenal sebagai '", 'CONTENT PILLAR MAPPING'!C235, "'.", CHAR(10),
"Saya memiliki Tone of Voice: '", 'CONTENT PILLAR MAPPING'!C240, "', Brand Archetype: '", 'CONTENT PILLAR MAPPING'!D240, "', dan Deskripsi Gaya Komunikasi: '", 'CONTENT PILLAR MAPPING'!E240, "'.", CHAR(10),
"Target audiens saya adalah: '", 'CONTENT PILLAR MAPPING'!D248, "', dengan segmentasi audiens: '", 'CONTENT PILLAR MAPPING'!D249, "'.", CHAR(10), CHAR(10),
"Mohon buatkan script konten yang **sangat powerful, menarik, inovatif, dan siap pakai** dengan judul ide '", B330, "'.", CHAR(10),
"Konten ini memiliki pilar '", C330, "', nilai tambah utama '", F330, "', dan akan menggunakan storytelling framework '", G330, "'.", CHAR(10),
"Gambaran singkat ide kontennya adalah: '", J330, "'.", CHAR(10),
"Konten ini akan diunggah di platform '", E330, "' dengan format '", D330,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MAPPING'!C235, "'.** Sesuaikan dengan gaya komunikasi saya, dengan fokus pada nilai tambah '", F330,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MAPPING'!D248, ", khusus ", 'CONTENT PILLAR MAPPING'!D249, ") dan membantu mereka menyelesaikan masalah atau mencapai tujuan mereka.", CHAR(10),
"✔ Membantuku membangun personal branding yang kuat dan sustainable, sesuai dengan Positioning saya sebagai '", 'CONTENT PILLAR MAPPING'!C235, "' dan Brand Archetype '", 'CONTENT PILLAR MAPPING'!D240, "'.", CHAR(10),
"✔ Kemas dalam bentuk tabel agar rapi, mudah di baca dan dipahami, dengan kolom 'Judul Konten', 'Pilar', 'Format', 'Draft Script', 'CTA', 'Saran Visual', dan 'Full Caption'. (Kosongkan kolom Link Prompt jika ada)."
),
"")</f>
        <v/>
      </c>
      <c r="L330" s="199" t="n"/>
      <c r="M330" s="199" t="n"/>
      <c r="N330" s="102" t="n"/>
      <c r="O330" s="102" t="n"/>
      <c r="P330" s="102" t="n"/>
      <c r="Q330" s="102" t="n"/>
      <c r="R330" s="102" t="n"/>
      <c r="S330" s="102" t="n"/>
      <c r="T330" s="102" t="n"/>
      <c r="U330" s="102" t="n"/>
      <c r="V330" s="102" t="n"/>
      <c r="W330" s="102" t="n"/>
      <c r="X330" s="102" t="n"/>
      <c r="Y330" s="102" t="n"/>
      <c r="Z330" s="102" t="n"/>
      <c r="AA330" s="102" t="n"/>
      <c r="AB330" s="102" t="n"/>
      <c r="AC330" s="102" t="n"/>
      <c r="AD330" s="102" t="n"/>
    </row>
    <row r="331" ht="15.75" customHeight="1" s="205">
      <c r="A331" s="102" t="n"/>
      <c r="B331" s="142" t="n"/>
      <c r="C331" s="143" t="n"/>
      <c r="D331" s="143" t="n"/>
      <c r="E331" s="143" t="n"/>
      <c r="F331" s="143" t="n"/>
      <c r="G331" s="144" t="n"/>
      <c r="H331" s="145">
        <f>IF(K331&lt;&gt;"", HYPERLINK("https://chatgpt.com/?prompt=" &amp; SUBSTITUTE(SUBSTITUTE(K331, " ", "+"), "&amp;", "dan") &amp; "&amp;force-refresh=true&amp;timestamp=" &amp; TEXT(NOW(), "yyyymmddhhmmss"), "👉 Klik untuk Generate Script! 🔥"), "")</f>
        <v/>
      </c>
      <c r="I331" s="143" t="n"/>
      <c r="J331" s="146" t="n"/>
      <c r="K331" s="130">
        <f>IF(AND(B331&lt;&gt;"", C331&lt;&gt;"", D331&lt;&gt;"", E331&lt;&gt;"", F331&lt;&gt;"", G331&lt;&gt;"", J331&lt;&gt;"", 'CONTENT PILLAR MAPPING'!C234&lt;&gt;"", 'CONTENT PILLAR MAPPING'!E234&lt;&gt;"", 'CONTENT PILLAR MAPPING'!F234&lt;&gt;"", 'CONTENT PILLAR MAPPING'!C237&lt;&gt;"", 'CONTENT PILLAR MAPPING'!C242&lt;&gt;"", 'CONTENT PILLAR MAPPING'!D242&lt;&gt;"", 'CONTENT PILLAR MAPPING'!E242&lt;&gt;"", 'CONTENT PILLAR MAPPING'!D250&lt;&gt;"", 'CONTENT PILLAR MAPPING'!D251&lt;&gt;""),
CONCATENATE(
"Sebagai seorang top konten kreator dengan niche utama '", 'CONTENT PILLAR MAPPING'!C234, "', spesifik kategori '", 'CONTENT PILLAR MAPPING'!E234, "', dan super spesifik '", 'CONTENT PILLAR MAPPING'!F234, "', yang dikenal sebagai '", 'CONTENT PILLAR MAPPING'!C237, "'.", CHAR(10),
"Saya memiliki Tone of Voice: '", 'CONTENT PILLAR MAPPING'!C242, "', Brand Archetype: '", 'CONTENT PILLAR MAPPING'!D242, "', dan Deskripsi Gaya Komunikasi: '", 'CONTENT PILLAR MAPPING'!E242, "'.", CHAR(10),
"Target audiens saya adalah: '", 'CONTENT PILLAR MAPPING'!D250, "', dengan segmentasi audiens: '", 'CONTENT PILLAR MAPPING'!D251, "'.", CHAR(10), CHAR(10),
"Mohon buatkan script konten yang **sangat powerful, menarik, inovatif, dan siap pakai** dengan judul ide '", B331, "'.", CHAR(10),
"Konten ini memiliki pilar '", C331, "', nilai tambah utama '", F331, "', dan akan menggunakan storytelling framework '", G331, "'.", CHAR(10),
"Gambaran singkat ide kontennya adalah: '", J331, "'.", CHAR(10),
"Konten ini akan diunggah di platform '", E331, "' dengan format '", D331,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MAPPING'!C237, "'.** Sesuaikan dengan gaya komunikasi saya, dengan fokus pada nilai tambah '", F331,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MAPPING'!D250, ", khusus ", 'CONTENT PILLAR MAPPING'!D251, ") dan membantu mereka menyelesaikan masalah atau mencapai tujuan mereka.", CHAR(10),
"✔ Membantuku membangun personal branding yang kuat dan sustainable, sesuai dengan Positioning saya sebagai '", 'CONTENT PILLAR MAPPING'!C237, "' dan Brand Archetype '", 'CONTENT PILLAR MAPPING'!D242, "'.", CHAR(10),
"✔ Kemas dalam bentuk tabel agar rapi, mudah di baca dan dipahami, dengan kolom 'Judul Konten', 'Pilar', 'Format', 'Draft Script', 'CTA', 'Saran Visual', dan 'Full Caption'. (Kosongkan kolom Link Prompt jika ada)."
),
"")</f>
        <v/>
      </c>
      <c r="L331" s="91" t="n"/>
      <c r="M331" s="91" t="n"/>
      <c r="N331" s="102" t="n"/>
      <c r="O331" s="102" t="n"/>
      <c r="P331" s="102" t="n"/>
      <c r="Q331" s="102" t="n"/>
      <c r="R331" s="102" t="n"/>
      <c r="S331" s="102" t="n"/>
      <c r="T331" s="102" t="n"/>
      <c r="U331" s="102" t="n"/>
      <c r="V331" s="102" t="n"/>
      <c r="W331" s="102" t="n"/>
      <c r="X331" s="102" t="n"/>
      <c r="Y331" s="102" t="n"/>
      <c r="Z331" s="102" t="n"/>
      <c r="AA331" s="102" t="n"/>
      <c r="AB331" s="102" t="n"/>
      <c r="AC331" s="102" t="n"/>
      <c r="AD331" s="102" t="n"/>
    </row>
    <row r="332" ht="15.75" customHeight="1" s="205">
      <c r="A332" s="102" t="n"/>
      <c r="B332" s="147" t="n"/>
      <c r="C332" s="144" t="n"/>
      <c r="D332" s="144" t="n"/>
      <c r="E332" s="144" t="n"/>
      <c r="F332" s="144" t="n"/>
      <c r="G332" s="144" t="n"/>
      <c r="H332" s="141">
        <f>IF(K332&lt;&gt;"", HYPERLINK("https://chatgpt.com/?prompt=" &amp; SUBSTITUTE(SUBSTITUTE(K332, " ", "+"), "&amp;", "dan") &amp; "&amp;force-refresh=true&amp;timestamp=" &amp; TEXT(NOW(), "yyyymmddhhmmss"), "👉 Klik untuk Generate Script! 🔥"), "")</f>
        <v/>
      </c>
      <c r="I332" s="144" t="n"/>
      <c r="J332" s="148" t="n"/>
      <c r="K332" s="140">
        <f>IF(AND(B332&lt;&gt;"", C332&lt;&gt;"", D332&lt;&gt;"", E332&lt;&gt;"", F332&lt;&gt;"", G332&lt;&gt;"", J332&lt;&gt;"", 'CONTENT PILLAR MAPPING'!C234&lt;&gt;"", 'CONTENT PILLAR MAPPING'!E234&lt;&gt;"", 'CONTENT PILLAR MAPPING'!F234&lt;&gt;"", 'CONTENT PILLAR MAPPING'!C237&lt;&gt;"", 'CONTENT PILLAR MAPPING'!C242&lt;&gt;"", 'CONTENT PILLAR MAPPING'!D242&lt;&gt;"", 'CONTENT PILLAR MAPPING'!E242&lt;&gt;"", 'CONTENT PILLAR MAPPING'!D250&lt;&gt;"", 'CONTENT PILLAR MAPPING'!D251&lt;&gt;""),
CONCATENATE(
"Sebagai seorang top konten kreator dengan niche utama '", 'CONTENT PILLAR MAPPING'!C234, "', spesifik kategori '", 'CONTENT PILLAR MAPPING'!E234, "', dan super spesifik '", 'CONTENT PILLAR MAPPING'!F234, "', yang dikenal sebagai '", 'CONTENT PILLAR MAPPING'!C237, "'.", CHAR(10),
"Saya memiliki Tone of Voice: '", 'CONTENT PILLAR MAPPING'!C242, "', Brand Archetype: '", 'CONTENT PILLAR MAPPING'!D242, "', dan Deskripsi Gaya Komunikasi: '", 'CONTENT PILLAR MAPPING'!E242, "'.", CHAR(10),
"Target audiens saya adalah: '", 'CONTENT PILLAR MAPPING'!D250, "', dengan segmentasi audiens: '", 'CONTENT PILLAR MAPPING'!D251, "'.", CHAR(10), CHAR(10),
"Mohon buatkan script konten yang **sangat powerful, menarik, inovatif, dan siap pakai** dengan judul ide '", B332, "'.", CHAR(10),
"Konten ini memiliki pilar '", C332, "', nilai tambah utama '", F332, "', dan akan menggunakan storytelling framework '", G332, "'.", CHAR(10),
"Gambaran singkat ide kontennya adalah: '", J332, "'.", CHAR(10),
"Konten ini akan diunggah di platform '", E332, "' dengan format '", D332,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MAPPING'!C237, "'.** Sesuaikan dengan gaya komunikasi saya, dengan fokus pada nilai tambah '", F332,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MAPPING'!D250, ", khusus ", 'CONTENT PILLAR MAPPING'!D251, ") dan membantu mereka menyelesaikan masalah atau mencapai tujuan mereka.", CHAR(10),
"✔ Membantuku membangun personal branding yang kuat dan sustainable, sesuai dengan Positioning saya sebagai '", 'CONTENT PILLAR MAPPING'!C237, "' dan Brand Archetype '", 'CONTENT PILLAR MAPPING'!D242, "'.", CHAR(10),
"✔ Kemas dalam bentuk tabel agar rapi, mudah di baca dan dipahami, dengan kolom 'Judul Konten', 'Pilar', 'Format', 'Draft Script', 'CTA', 'Saran Visual', dan 'Full Caption'. (Kosongkan kolom Link Prompt jika ada)."
),
"")</f>
        <v/>
      </c>
      <c r="L332" s="199" t="n"/>
      <c r="M332" s="199" t="n"/>
      <c r="N332" s="102" t="n"/>
      <c r="O332" s="102" t="n"/>
      <c r="P332" s="102" t="n"/>
      <c r="Q332" s="102" t="n"/>
      <c r="R332" s="102" t="n"/>
      <c r="S332" s="102" t="n"/>
      <c r="T332" s="102" t="n"/>
      <c r="U332" s="102" t="n"/>
      <c r="V332" s="102" t="n"/>
      <c r="W332" s="102" t="n"/>
      <c r="X332" s="102" t="n"/>
      <c r="Y332" s="102" t="n"/>
      <c r="Z332" s="102" t="n"/>
      <c r="AA332" s="102" t="n"/>
      <c r="AB332" s="102" t="n"/>
      <c r="AC332" s="102" t="n"/>
      <c r="AD332" s="102" t="n"/>
    </row>
    <row r="333" ht="15.75" customHeight="1" s="205">
      <c r="A333" s="102" t="n"/>
      <c r="B333" s="142" t="n"/>
      <c r="C333" s="143" t="n"/>
      <c r="D333" s="143" t="n"/>
      <c r="E333" s="143" t="n"/>
      <c r="F333" s="143" t="n"/>
      <c r="G333" s="144" t="n"/>
      <c r="H333" s="145">
        <f>IF(K333&lt;&gt;"", HYPERLINK("https://chatgpt.com/?prompt=" &amp; SUBSTITUTE(SUBSTITUTE(K333, " ", "+"), "&amp;", "dan") &amp; "&amp;force-refresh=true&amp;timestamp=" &amp; TEXT(NOW(), "yyyymmddhhmmss"), "👉 Klik untuk Generate Script! 🔥"), "")</f>
        <v/>
      </c>
      <c r="I333" s="143" t="n"/>
      <c r="J333" s="146" t="n"/>
      <c r="K333" s="130">
        <f>IF(AND(B333&lt;&gt;"", C333&lt;&gt;"", D333&lt;&gt;"", E333&lt;&gt;"", F333&lt;&gt;"", G333&lt;&gt;"", J333&lt;&gt;"", 'CONTENT PILLAR MAPPING'!C236&lt;&gt;"", 'CONTENT PILLAR MAPPING'!E236&lt;&gt;"", 'CONTENT PILLAR MAPPING'!F236&lt;&gt;"", 'CONTENT PILLAR MAPPING'!C239&lt;&gt;"", 'CONTENT PILLAR MAPPING'!C244&lt;&gt;"", 'CONTENT PILLAR MAPPING'!D244&lt;&gt;"", 'CONTENT PILLAR MAPPING'!E244&lt;&gt;"", 'CONTENT PILLAR MAPPING'!D252&lt;&gt;"", 'CONTENT PILLAR MAPPING'!D253&lt;&gt;""),
CONCATENATE(
"Sebagai seorang top konten kreator dengan niche utama '", 'CONTENT PILLAR MAPPING'!C236, "', spesifik kategori '", 'CONTENT PILLAR MAPPING'!E236, "', dan super spesifik '", 'CONTENT PILLAR MAPPING'!F236, "', yang dikenal sebagai '", 'CONTENT PILLAR MAPPING'!C239, "'.", CHAR(10),
"Saya memiliki Tone of Voice: '", 'CONTENT PILLAR MAPPING'!C244, "', Brand Archetype: '", 'CONTENT PILLAR MAPPING'!D244, "', dan Deskripsi Gaya Komunikasi: '", 'CONTENT PILLAR MAPPING'!E244, "'.", CHAR(10),
"Target audiens saya adalah: '", 'CONTENT PILLAR MAPPING'!D252, "', dengan segmentasi audiens: '", 'CONTENT PILLAR MAPPING'!D253, "'.", CHAR(10), CHAR(10),
"Mohon buatkan script konten yang **sangat powerful, menarik, inovatif, dan siap pakai** dengan judul ide '", B333, "'.", CHAR(10),
"Konten ini memiliki pilar '", C333, "', nilai tambah utama '", F333, "', dan akan menggunakan storytelling framework '", G333, "'.", CHAR(10),
"Gambaran singkat ide kontennya adalah: '", J333, "'.", CHAR(10),
"Konten ini akan diunggah di platform '", E333, "' dengan format '", D333,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MAPPING'!C239, "'.** Sesuaikan dengan gaya komunikasi saya, dengan fokus pada nilai tambah '", F333,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MAPPING'!D252, ", khusus ", 'CONTENT PILLAR MAPPING'!D253, ") dan membantu mereka menyelesaikan masalah atau mencapai tujuan mereka.", CHAR(10),
"✔ Membantuku membangun personal branding yang kuat dan sustainable, sesuai dengan Positioning saya sebagai '", 'CONTENT PILLAR MAPPING'!C239, "' dan Brand Archetype '", 'CONTENT PILLAR MAPPING'!D244, "'.", CHAR(10),
"✔ Kemas dalam bentuk tabel agar rapi, mudah di baca dan dipahami, dengan kolom 'Judul Konten', 'Pilar', 'Format', 'Draft Script', 'CTA', 'Saran Visual', dan 'Full Caption'. (Kosongkan kolom Link Prompt jika ada)."
),
"")</f>
        <v/>
      </c>
      <c r="L333" s="91" t="n"/>
      <c r="M333" s="91" t="n"/>
      <c r="N333" s="102" t="n"/>
      <c r="O333" s="102" t="n"/>
      <c r="P333" s="102" t="n"/>
      <c r="Q333" s="102" t="n"/>
      <c r="R333" s="102" t="n"/>
      <c r="S333" s="102" t="n"/>
      <c r="T333" s="102" t="n"/>
      <c r="U333" s="102" t="n"/>
      <c r="V333" s="102" t="n"/>
      <c r="W333" s="102" t="n"/>
      <c r="X333" s="102" t="n"/>
      <c r="Y333" s="102" t="n"/>
      <c r="Z333" s="102" t="n"/>
      <c r="AA333" s="102" t="n"/>
      <c r="AB333" s="102" t="n"/>
      <c r="AC333" s="102" t="n"/>
      <c r="AD333" s="102" t="n"/>
    </row>
    <row r="334" ht="15.75" customHeight="1" s="205">
      <c r="A334" s="102" t="n"/>
      <c r="B334" s="147" t="n"/>
      <c r="C334" s="144" t="n"/>
      <c r="D334" s="144" t="n"/>
      <c r="E334" s="144" t="n"/>
      <c r="F334" s="144" t="n"/>
      <c r="G334" s="144" t="n"/>
      <c r="H334" s="141">
        <f>IF(K334&lt;&gt;"", HYPERLINK("https://chatgpt.com/?prompt=" &amp; SUBSTITUTE(SUBSTITUTE(K334, " ", "+"), "&amp;", "dan") &amp; "&amp;force-refresh=true&amp;timestamp=" &amp; TEXT(NOW(), "yyyymmddhhmmss"), "👉 Klik untuk Generate Script! 🔥"), "")</f>
        <v/>
      </c>
      <c r="I334" s="144" t="n"/>
      <c r="J334" s="148" t="n"/>
      <c r="K334" s="140">
        <f>IF(AND(B334&lt;&gt;"", C334&lt;&gt;"", D334&lt;&gt;"", E334&lt;&gt;"", F334&lt;&gt;"", G334&lt;&gt;"", J334&lt;&gt;"", 'CONTENT PILLAR MAPPING'!C236&lt;&gt;"", 'CONTENT PILLAR MAPPING'!E236&lt;&gt;"", 'CONTENT PILLAR MAPPING'!F236&lt;&gt;"", 'CONTENT PILLAR MAPPING'!C239&lt;&gt;"", 'CONTENT PILLAR MAPPING'!C244&lt;&gt;"", 'CONTENT PILLAR MAPPING'!D244&lt;&gt;"", 'CONTENT PILLAR MAPPING'!E244&lt;&gt;"", 'CONTENT PILLAR MAPPING'!D252&lt;&gt;"", 'CONTENT PILLAR MAPPING'!D253&lt;&gt;""),
CONCATENATE(
"Sebagai seorang top konten kreator dengan niche utama '", 'CONTENT PILLAR MAPPING'!C236, "', spesifik kategori '", 'CONTENT PILLAR MAPPING'!E236, "', dan super spesifik '", 'CONTENT PILLAR MAPPING'!F236, "', yang dikenal sebagai '", 'CONTENT PILLAR MAPPING'!C239, "'.", CHAR(10),
"Saya memiliki Tone of Voice: '", 'CONTENT PILLAR MAPPING'!C244, "', Brand Archetype: '", 'CONTENT PILLAR MAPPING'!D244, "', dan Deskripsi Gaya Komunikasi: '", 'CONTENT PILLAR MAPPING'!E244, "'.", CHAR(10),
"Target audiens saya adalah: '", 'CONTENT PILLAR MAPPING'!D252, "', dengan segmentasi audiens: '", 'CONTENT PILLAR MAPPING'!D253, "'.", CHAR(10), CHAR(10),
"Mohon buatkan script konten yang **sangat powerful, menarik, inovatif, dan siap pakai** dengan judul ide '", B334, "'.", CHAR(10),
"Konten ini memiliki pilar '", C334, "', nilai tambah utama '", F334, "', dan akan menggunakan storytelling framework '", G334, "'.", CHAR(10),
"Gambaran singkat ide kontennya adalah: '", J334, "'.", CHAR(10),
"Konten ini akan diunggah di platform '", E334, "' dengan format '", D334,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MAPPING'!C239, "'.** Sesuaikan dengan gaya komunikasi saya, dengan fokus pada nilai tambah '", F334,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MAPPING'!D252, ", khusus ", 'CONTENT PILLAR MAPPING'!D253, ") dan membantu mereka menyelesaikan masalah atau mencapai tujuan mereka.", CHAR(10),
"✔ Membantuku membangun personal branding yang kuat dan sustainable, sesuai dengan Positioning saya sebagai '", 'CONTENT PILLAR MAPPING'!C239, "' dan Brand Archetype '", 'CONTENT PILLAR MAPPING'!D244, "'.", CHAR(10),
"✔ Kemas dalam bentuk tabel agar rapi, mudah di baca dan dipahami, dengan kolom 'Judul Konten', 'Pilar', 'Format', 'Draft Script', 'CTA', 'Saran Visual', dan 'Full Caption'. (Kosongkan kolom Link Prompt jika ada)."
),
"")</f>
        <v/>
      </c>
      <c r="L334" s="199" t="n"/>
      <c r="M334" s="199" t="n"/>
      <c r="N334" s="102" t="n"/>
      <c r="O334" s="102" t="n"/>
      <c r="P334" s="102" t="n"/>
      <c r="Q334" s="102" t="n"/>
      <c r="R334" s="102" t="n"/>
      <c r="S334" s="102" t="n"/>
      <c r="T334" s="102" t="n"/>
      <c r="U334" s="102" t="n"/>
      <c r="V334" s="102" t="n"/>
      <c r="W334" s="102" t="n"/>
      <c r="X334" s="102" t="n"/>
      <c r="Y334" s="102" t="n"/>
      <c r="Z334" s="102" t="n"/>
      <c r="AA334" s="102" t="n"/>
      <c r="AB334" s="102" t="n"/>
      <c r="AC334" s="102" t="n"/>
      <c r="AD334" s="102" t="n"/>
    </row>
    <row r="335" ht="15.75" customHeight="1" s="205">
      <c r="A335" s="102" t="n"/>
      <c r="B335" s="142" t="n"/>
      <c r="C335" s="143" t="n"/>
      <c r="D335" s="143" t="n"/>
      <c r="E335" s="143" t="n"/>
      <c r="F335" s="143" t="n"/>
      <c r="G335" s="144" t="n"/>
      <c r="H335" s="145">
        <f>IF(K335&lt;&gt;"", HYPERLINK("https://chatgpt.com/?prompt=" &amp; SUBSTITUTE(SUBSTITUTE(K335, " ", "+"), "&amp;", "dan") &amp; "&amp;force-refresh=true&amp;timestamp=" &amp; TEXT(NOW(), "yyyymmddhhmmss"), "👉 Klik untuk Generate Script! 🔥"), "")</f>
        <v/>
      </c>
      <c r="I335" s="143" t="n"/>
      <c r="J335" s="146" t="n"/>
      <c r="K335" s="130">
        <f>IF(AND(B335&lt;&gt;"", C335&lt;&gt;"", D335&lt;&gt;"", E335&lt;&gt;"", F335&lt;&gt;"", G335&lt;&gt;"", J335&lt;&gt;"", 'CONTENT PILLAR MAPPING'!C238&lt;&gt;"", 'CONTENT PILLAR MAPPING'!E238&lt;&gt;"", 'CONTENT PILLAR MAPPING'!F238&lt;&gt;"", 'CONTENT PILLAR MAPPING'!C241&lt;&gt;"", 'CONTENT PILLAR MAPPING'!C246&lt;&gt;"", 'CONTENT PILLAR MAPPING'!D246&lt;&gt;"", 'CONTENT PILLAR MAPPING'!E246&lt;&gt;"", 'CONTENT PILLAR MAPPING'!D254&lt;&gt;"", 'CONTENT PILLAR MAPPING'!D255&lt;&gt;""),
CONCATENATE(
"Sebagai seorang top konten kreator dengan niche utama '", 'CONTENT PILLAR MAPPING'!C238, "', spesifik kategori '", 'CONTENT PILLAR MAPPING'!E238, "', dan super spesifik '", 'CONTENT PILLAR MAPPING'!F238, "', yang dikenal sebagai '", 'CONTENT PILLAR MAPPING'!C241, "'.", CHAR(10),
"Saya memiliki Tone of Voice: '", 'CONTENT PILLAR MAPPING'!C246, "', Brand Archetype: '", 'CONTENT PILLAR MAPPING'!D246, "', dan Deskripsi Gaya Komunikasi: '", 'CONTENT PILLAR MAPPING'!E246, "'.", CHAR(10),
"Target audiens saya adalah: '", 'CONTENT PILLAR MAPPING'!D254, "', dengan segmentasi audiens: '", 'CONTENT PILLAR MAPPING'!D255, "'.", CHAR(10), CHAR(10),
"Mohon buatkan script konten yang **sangat powerful, menarik, inovatif, dan siap pakai** dengan judul ide '", B335, "'.", CHAR(10),
"Konten ini memiliki pilar '", C335, "', nilai tambah utama '", F335, "', dan akan menggunakan storytelling framework '", G335, "'.", CHAR(10),
"Gambaran singkat ide kontennya adalah: '", J335, "'.", CHAR(10),
"Konten ini akan diunggah di platform '", E335, "' dengan format '", D335,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MAPPING'!C241, "'.** Sesuaikan dengan gaya komunikasi saya, dengan fokus pada nilai tambah '", F335,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MAPPING'!D254, ", khusus ", 'CONTENT PILLAR MAPPING'!D255, ") dan membantu mereka menyelesaikan masalah atau mencapai tujuan mereka.", CHAR(10),
"✔ Membantuku membangun personal branding yang kuat dan sustainable, sesuai dengan Positioning saya sebagai '", 'CONTENT PILLAR MAPPING'!C241, "' dan Brand Archetype '", 'CONTENT PILLAR MAPPING'!D246, "'.", CHAR(10),
"✔ Kemas dalam bentuk tabel agar rapi, mudah di baca dan dipahami, dengan kolom 'Judul Konten', 'Pilar', 'Format', 'Draft Script', 'CTA', 'Saran Visual', dan 'Full Caption'. (Kosongkan kolom Link Prompt jika ada)."
),
"")</f>
        <v/>
      </c>
      <c r="L335" s="91" t="n"/>
      <c r="M335" s="91" t="n"/>
      <c r="N335" s="102" t="n"/>
      <c r="O335" s="102" t="n"/>
      <c r="P335" s="102" t="n"/>
      <c r="Q335" s="102" t="n"/>
      <c r="R335" s="102" t="n"/>
      <c r="S335" s="102" t="n"/>
      <c r="T335" s="102" t="n"/>
      <c r="U335" s="102" t="n"/>
      <c r="V335" s="102" t="n"/>
      <c r="W335" s="102" t="n"/>
      <c r="X335" s="102" t="n"/>
      <c r="Y335" s="102" t="n"/>
      <c r="Z335" s="102" t="n"/>
      <c r="AA335" s="102" t="n"/>
      <c r="AB335" s="102" t="n"/>
      <c r="AC335" s="102" t="n"/>
      <c r="AD335" s="102" t="n"/>
    </row>
    <row r="336" ht="15.75" customHeight="1" s="205">
      <c r="A336" s="102" t="n"/>
      <c r="B336" s="147" t="n"/>
      <c r="C336" s="144" t="n"/>
      <c r="D336" s="144" t="n"/>
      <c r="E336" s="144" t="n"/>
      <c r="F336" s="144" t="n"/>
      <c r="G336" s="144" t="n"/>
      <c r="H336" s="141">
        <f>IF(K336&lt;&gt;"", HYPERLINK("https://chatgpt.com/?prompt=" &amp; SUBSTITUTE(SUBSTITUTE(K336, " ", "+"), "&amp;", "dan") &amp; "&amp;force-refresh=true&amp;timestamp=" &amp; TEXT(NOW(), "yyyymmddhhmmss"), "👉 Klik untuk Generate Script! 🔥"), "")</f>
        <v/>
      </c>
      <c r="I336" s="144" t="n"/>
      <c r="J336" s="148" t="n"/>
      <c r="K336" s="140">
        <f>IF(AND(B336&lt;&gt;"", C336&lt;&gt;"", D336&lt;&gt;"", E336&lt;&gt;"", F336&lt;&gt;"", G336&lt;&gt;"", J336&lt;&gt;"", 'CONTENT PILLAR MAPPING'!C238&lt;&gt;"", 'CONTENT PILLAR MAPPING'!E238&lt;&gt;"", 'CONTENT PILLAR MAPPING'!F238&lt;&gt;"", 'CONTENT PILLAR MAPPING'!C241&lt;&gt;"", 'CONTENT PILLAR MAPPING'!C246&lt;&gt;"", 'CONTENT PILLAR MAPPING'!D246&lt;&gt;"", 'CONTENT PILLAR MAPPING'!E246&lt;&gt;"", 'CONTENT PILLAR MAPPING'!D254&lt;&gt;"", 'CONTENT PILLAR MAPPING'!D255&lt;&gt;""),
CONCATENATE(
"Sebagai seorang top konten kreator dengan niche utama '", 'CONTENT PILLAR MAPPING'!C238, "', spesifik kategori '", 'CONTENT PILLAR MAPPING'!E238, "', dan super spesifik '", 'CONTENT PILLAR MAPPING'!F238, "', yang dikenal sebagai '", 'CONTENT PILLAR MAPPING'!C241, "'.", CHAR(10),
"Saya memiliki Tone of Voice: '", 'CONTENT PILLAR MAPPING'!C246, "', Brand Archetype: '", 'CONTENT PILLAR MAPPING'!D246, "', dan Deskripsi Gaya Komunikasi: '", 'CONTENT PILLAR MAPPING'!E246, "'.", CHAR(10),
"Target audiens saya adalah: '", 'CONTENT PILLAR MAPPING'!D254, "', dengan segmentasi audiens: '", 'CONTENT PILLAR MAPPING'!D255, "'.", CHAR(10), CHAR(10),
"Mohon buatkan script konten yang **sangat powerful, menarik, inovatif, dan siap pakai** dengan judul ide '", B336, "'.", CHAR(10),
"Konten ini memiliki pilar '", C336, "', nilai tambah utama '", F336, "', dan akan menggunakan storytelling framework '", G336, "'.", CHAR(10),
"Gambaran singkat ide kontennya adalah: '", J336, "'.", CHAR(10),
"Konten ini akan diunggah di platform '", E336, "' dengan format '", D336,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MAPPING'!C241, "'.** Sesuaikan dengan gaya komunikasi saya, dengan fokus pada nilai tambah '", F336,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MAPPING'!D254, ", khusus ", 'CONTENT PILLAR MAPPING'!D255, ") dan membantu mereka menyelesaikan masalah atau mencapai tujuan mereka.", CHAR(10),
"✔ Membantuku membangun personal branding yang kuat dan sustainable, sesuai dengan Positioning saya sebagai '", 'CONTENT PILLAR MAPPING'!C241, "' dan Brand Archetype '", 'CONTENT PILLAR MAPPING'!D246, "'.", CHAR(10),
"✔ Kemas dalam bentuk tabel agar rapi, mudah di baca dan dipahami, dengan kolom 'Judul Konten', 'Pilar', 'Format', 'Draft Script', 'CTA', 'Saran Visual', dan 'Full Caption'. (Kosongkan kolom Link Prompt jika ada)."
),
"")</f>
        <v/>
      </c>
      <c r="L336" s="199" t="n"/>
      <c r="M336" s="199" t="n"/>
      <c r="N336" s="102" t="n"/>
      <c r="O336" s="102" t="n"/>
      <c r="P336" s="102" t="n"/>
      <c r="Q336" s="102" t="n"/>
      <c r="R336" s="102" t="n"/>
      <c r="S336" s="102" t="n"/>
      <c r="T336" s="102" t="n"/>
      <c r="U336" s="102" t="n"/>
      <c r="V336" s="102" t="n"/>
      <c r="W336" s="102" t="n"/>
      <c r="X336" s="102" t="n"/>
      <c r="Y336" s="102" t="n"/>
      <c r="Z336" s="102" t="n"/>
      <c r="AA336" s="102" t="n"/>
      <c r="AB336" s="102" t="n"/>
      <c r="AC336" s="102" t="n"/>
      <c r="AD336" s="102" t="n"/>
    </row>
    <row r="337" ht="15.75" customHeight="1" s="205">
      <c r="A337" s="102" t="n"/>
      <c r="B337" s="142" t="n"/>
      <c r="C337" s="143" t="n"/>
      <c r="D337" s="143" t="n"/>
      <c r="E337" s="143" t="n"/>
      <c r="F337" s="143" t="n"/>
      <c r="G337" s="144" t="n"/>
      <c r="H337" s="145">
        <f>IF(K337&lt;&gt;"", HYPERLINK("https://chatgpt.com/?prompt=" &amp; SUBSTITUTE(SUBSTITUTE(K337, " ", "+"), "&amp;", "dan") &amp; "&amp;force-refresh=true&amp;timestamp=" &amp; TEXT(NOW(), "yyyymmddhhmmss"), "👉 Klik untuk Generate Script! 🔥"), "")</f>
        <v/>
      </c>
      <c r="I337" s="143" t="n"/>
      <c r="J337" s="146" t="n"/>
      <c r="K337" s="130">
        <f>IF(AND(B337&lt;&gt;"", C337&lt;&gt;"", D337&lt;&gt;"", E337&lt;&gt;"", F337&lt;&gt;"", G337&lt;&gt;"", J337&lt;&gt;"", 'CONTENT PILLAR MAPPING'!C240&lt;&gt;"", 'CONTENT PILLAR MAPPING'!E240&lt;&gt;"", 'CONTENT PILLAR MAPPING'!F240&lt;&gt;"", 'CONTENT PILLAR MAPPING'!C243&lt;&gt;"", 'CONTENT PILLAR MAPPING'!C248&lt;&gt;"", 'CONTENT PILLAR MAPPING'!D248&lt;&gt;"", 'CONTENT PILLAR MAPPING'!E248&lt;&gt;"", 'CONTENT PILLAR MAPPING'!D256&lt;&gt;"", 'CONTENT PILLAR MAPPING'!D257&lt;&gt;""),
CONCATENATE(
"Sebagai seorang top konten kreator dengan niche utama '", 'CONTENT PILLAR MAPPING'!C240, "', spesifik kategori '", 'CONTENT PILLAR MAPPING'!E240, "', dan super spesifik '", 'CONTENT PILLAR MAPPING'!F240, "', yang dikenal sebagai '", 'CONTENT PILLAR MAPPING'!C243, "'.", CHAR(10),
"Saya memiliki Tone of Voice: '", 'CONTENT PILLAR MAPPING'!C248, "', Brand Archetype: '", 'CONTENT PILLAR MAPPING'!D248, "', dan Deskripsi Gaya Komunikasi: '", 'CONTENT PILLAR MAPPING'!E248, "'.", CHAR(10),
"Target audiens saya adalah: '", 'CONTENT PILLAR MAPPING'!D256, "', dengan segmentasi audiens: '", 'CONTENT PILLAR MAPPING'!D257, "'.", CHAR(10), CHAR(10),
"Mohon buatkan script konten yang **sangat powerful, menarik, inovatif, dan siap pakai** dengan judul ide '", B337, "'.", CHAR(10),
"Konten ini memiliki pilar '", C337, "', nilai tambah utama '", F337, "', dan akan menggunakan storytelling framework '", G337, "'.", CHAR(10),
"Gambaran singkat ide kontennya adalah: '", J337, "'.", CHAR(10),
"Konten ini akan diunggah di platform '", E337, "' dengan format '", D337,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MAPPING'!C243, "'.** Sesuaikan dengan gaya komunikasi saya, dengan fokus pada nilai tambah '", F337,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MAPPING'!D256, ", khusus ", 'CONTENT PILLAR MAPPING'!D257, ") dan membantu mereka menyelesaikan masalah atau mencapai tujuan mereka.", CHAR(10),
"✔ Membantuku membangun personal branding yang kuat dan sustainable, sesuai dengan Positioning saya sebagai '", 'CONTENT PILLAR MAPPING'!C243, "' dan Brand Archetype '", 'CONTENT PILLAR MAPPING'!D248, "'.", CHAR(10),
"✔ Kemas dalam bentuk tabel agar rapi, mudah di baca dan dipahami, dengan kolom 'Judul Konten', 'Pilar', 'Format', 'Draft Script', 'CTA', 'Saran Visual', dan 'Full Caption'. (Kosongkan kolom Link Prompt jika ada)."
),
"")</f>
        <v/>
      </c>
      <c r="L337" s="91" t="n"/>
      <c r="M337" s="91" t="n"/>
      <c r="N337" s="102" t="n"/>
      <c r="O337" s="102" t="n"/>
      <c r="P337" s="102" t="n"/>
      <c r="Q337" s="102" t="n"/>
      <c r="R337" s="102" t="n"/>
      <c r="S337" s="102" t="n"/>
      <c r="T337" s="102" t="n"/>
      <c r="U337" s="102" t="n"/>
      <c r="V337" s="102" t="n"/>
      <c r="W337" s="102" t="n"/>
      <c r="X337" s="102" t="n"/>
      <c r="Y337" s="102" t="n"/>
      <c r="Z337" s="102" t="n"/>
      <c r="AA337" s="102" t="n"/>
      <c r="AB337" s="102" t="n"/>
      <c r="AC337" s="102" t="n"/>
      <c r="AD337" s="102" t="n"/>
    </row>
    <row r="338" ht="15.75" customHeight="1" s="205">
      <c r="A338" s="102" t="n"/>
      <c r="B338" s="147" t="n"/>
      <c r="C338" s="144" t="n"/>
      <c r="D338" s="144" t="n"/>
      <c r="E338" s="144" t="n"/>
      <c r="F338" s="144" t="n"/>
      <c r="G338" s="144" t="n"/>
      <c r="H338" s="141">
        <f>IF(K338&lt;&gt;"", HYPERLINK("https://chatgpt.com/?prompt=" &amp; SUBSTITUTE(SUBSTITUTE(K338, " ", "+"), "&amp;", "dan") &amp; "&amp;force-refresh=true&amp;timestamp=" &amp; TEXT(NOW(), "yyyymmddhhmmss"), "👉 Klik untuk Generate Script! 🔥"), "")</f>
        <v/>
      </c>
      <c r="I338" s="144" t="n"/>
      <c r="J338" s="148" t="n"/>
      <c r="K338" s="140">
        <f>IF(AND(B338&lt;&gt;"", C338&lt;&gt;"", D338&lt;&gt;"", E338&lt;&gt;"", F338&lt;&gt;"", G338&lt;&gt;"", J338&lt;&gt;"", 'CONTENT PILLAR MAPPING'!C240&lt;&gt;"", 'CONTENT PILLAR MAPPING'!E240&lt;&gt;"", 'CONTENT PILLAR MAPPING'!F240&lt;&gt;"", 'CONTENT PILLAR MAPPING'!C243&lt;&gt;"", 'CONTENT PILLAR MAPPING'!C248&lt;&gt;"", 'CONTENT PILLAR MAPPING'!D248&lt;&gt;"", 'CONTENT PILLAR MAPPING'!E248&lt;&gt;"", 'CONTENT PILLAR MAPPING'!D256&lt;&gt;"", 'CONTENT PILLAR MAPPING'!D257&lt;&gt;""),
CONCATENATE(
"Sebagai seorang top konten kreator dengan niche utama '", 'CONTENT PILLAR MAPPING'!C240, "', spesifik kategori '", 'CONTENT PILLAR MAPPING'!E240, "', dan super spesifik '", 'CONTENT PILLAR MAPPING'!F240, "', yang dikenal sebagai '", 'CONTENT PILLAR MAPPING'!C243, "'.", CHAR(10),
"Saya memiliki Tone of Voice: '", 'CONTENT PILLAR MAPPING'!C248, "', Brand Archetype: '", 'CONTENT PILLAR MAPPING'!D248, "', dan Deskripsi Gaya Komunikasi: '", 'CONTENT PILLAR MAPPING'!E248, "'.", CHAR(10),
"Target audiens saya adalah: '", 'CONTENT PILLAR MAPPING'!D256, "', dengan segmentasi audiens: '", 'CONTENT PILLAR MAPPING'!D257, "'.", CHAR(10), CHAR(10),
"Mohon buatkan script konten yang **sangat powerful, menarik, inovatif, dan siap pakai** dengan judul ide '", B338, "'.", CHAR(10),
"Konten ini memiliki pilar '", C338, "', nilai tambah utama '", F338, "', dan akan menggunakan storytelling framework '", G338, "'.", CHAR(10),
"Gambaran singkat ide kontennya adalah: '", J338, "'.", CHAR(10),
"Konten ini akan diunggah di platform '", E338, "' dengan format '", D338,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MAPPING'!C243, "'.** Sesuaikan dengan gaya komunikasi saya, dengan fokus pada nilai tambah '", F338,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MAPPING'!D256, ", khusus ", 'CONTENT PILLAR MAPPING'!D257, ") dan membantu mereka menyelesaikan masalah atau mencapai tujuan mereka.", CHAR(10),
"✔ Membantuku membangun personal branding yang kuat dan sustainable, sesuai dengan Positioning saya sebagai '", 'CONTENT PILLAR MAPPING'!C243, "' dan Brand Archetype '", 'CONTENT PILLAR MAPPING'!D248, "'.", CHAR(10),
"✔ Kemas dalam bentuk tabel agar rapi, mudah di baca dan dipahami, dengan kolom 'Judul Konten', 'Pilar', 'Format', 'Draft Script', 'CTA', 'Saran Visual', dan 'Full Caption'. (Kosongkan kolom Link Prompt jika ada)."
),
"")</f>
        <v/>
      </c>
      <c r="L338" s="199" t="n"/>
      <c r="M338" s="199" t="n"/>
      <c r="N338" s="102" t="n"/>
      <c r="O338" s="102" t="n"/>
      <c r="P338" s="102" t="n"/>
      <c r="Q338" s="102" t="n"/>
      <c r="R338" s="102" t="n"/>
      <c r="S338" s="102" t="n"/>
      <c r="T338" s="102" t="n"/>
      <c r="U338" s="102" t="n"/>
      <c r="V338" s="102" t="n"/>
      <c r="W338" s="102" t="n"/>
      <c r="X338" s="102" t="n"/>
      <c r="Y338" s="102" t="n"/>
      <c r="Z338" s="102" t="n"/>
      <c r="AA338" s="102" t="n"/>
      <c r="AB338" s="102" t="n"/>
      <c r="AC338" s="102" t="n"/>
      <c r="AD338" s="102" t="n"/>
    </row>
    <row r="339" ht="15.75" customHeight="1" s="205">
      <c r="A339" s="102" t="n"/>
      <c r="B339" s="142" t="n"/>
      <c r="C339" s="143" t="n"/>
      <c r="D339" s="143" t="n"/>
      <c r="E339" s="143" t="n"/>
      <c r="F339" s="143" t="n"/>
      <c r="G339" s="144" t="n"/>
      <c r="H339" s="145">
        <f>IF(K339&lt;&gt;"", HYPERLINK("https://chatgpt.com/?prompt=" &amp; SUBSTITUTE(SUBSTITUTE(K339, " ", "+"), "&amp;", "dan") &amp; "&amp;force-refresh=true&amp;timestamp=" &amp; TEXT(NOW(), "yyyymmddhhmmss"), "👉 Klik untuk Generate Script! 🔥"), "")</f>
        <v/>
      </c>
      <c r="I339" s="143" t="n"/>
      <c r="J339" s="146" t="n"/>
      <c r="K339" s="130">
        <f>IF(AND(B339&lt;&gt;"", C339&lt;&gt;"", D339&lt;&gt;"", E339&lt;&gt;"", F339&lt;&gt;"", G339&lt;&gt;"", J339&lt;&gt;"", 'CONTENT PILLAR MAPPING'!C242&lt;&gt;"", 'CONTENT PILLAR MAPPING'!E242&lt;&gt;"", 'CONTENT PILLAR MAPPING'!F242&lt;&gt;"", 'CONTENT PILLAR MAPPING'!C245&lt;&gt;"", 'CONTENT PILLAR MAPPING'!C250&lt;&gt;"", 'CONTENT PILLAR MAPPING'!D250&lt;&gt;"", 'CONTENT PILLAR MAPPING'!E250&lt;&gt;"", 'CONTENT PILLAR MAPPING'!D258&lt;&gt;"", 'CONTENT PILLAR MAPPING'!D259&lt;&gt;""),
CONCATENATE(
"Sebagai seorang top konten kreator dengan niche utama '", 'CONTENT PILLAR MAPPING'!C242, "', spesifik kategori '", 'CONTENT PILLAR MAPPING'!E242, "', dan super spesifik '", 'CONTENT PILLAR MAPPING'!F242, "', yang dikenal sebagai '", 'CONTENT PILLAR MAPPING'!C245, "'.", CHAR(10),
"Saya memiliki Tone of Voice: '", 'CONTENT PILLAR MAPPING'!C250, "', Brand Archetype: '", 'CONTENT PILLAR MAPPING'!D250, "', dan Deskripsi Gaya Komunikasi: '", 'CONTENT PILLAR MAPPING'!E250, "'.", CHAR(10),
"Target audiens saya adalah: '", 'CONTENT PILLAR MAPPING'!D258, "', dengan segmentasi audiens: '", 'CONTENT PILLAR MAPPING'!D259, "'.", CHAR(10), CHAR(10),
"Mohon buatkan script konten yang **sangat powerful, menarik, inovatif, dan siap pakai** dengan judul ide '", B339, "'.", CHAR(10),
"Konten ini memiliki pilar '", C339, "', nilai tambah utama '", F339, "', dan akan menggunakan storytelling framework '", G339, "'.", CHAR(10),
"Gambaran singkat ide kontennya adalah: '", J339, "'.", CHAR(10),
"Konten ini akan diunggah di platform '", E339, "' dengan format '", D339,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MAPPING'!C245, "'.** Sesuaikan dengan gaya komunikasi saya, dengan fokus pada nilai tambah '", F339,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MAPPING'!D258, ", khusus ", 'CONTENT PILLAR MAPPING'!D259, ") dan membantu mereka menyelesaikan masalah atau mencapai tujuan mereka.", CHAR(10),
"✔ Membantuku membangun personal branding yang kuat dan sustainable, sesuai dengan Positioning saya sebagai '", 'CONTENT PILLAR MAPPING'!C245, "' dan Brand Archetype '", 'CONTENT PILLAR MAPPING'!D250, "'.", CHAR(10),
"✔ Kemas dalam bentuk tabel agar rapi, mudah di baca dan dipahami, dengan kolom 'Judul Konten', 'Pilar', 'Format', 'Draft Script', 'CTA', 'Saran Visual', dan 'Full Caption'. (Kosongkan kolom Link Prompt jika ada)."
),
"")</f>
        <v/>
      </c>
      <c r="L339" s="91" t="n"/>
      <c r="M339" s="91" t="n"/>
      <c r="N339" s="102" t="n"/>
      <c r="O339" s="102" t="n"/>
      <c r="P339" s="102" t="n"/>
      <c r="Q339" s="102" t="n"/>
      <c r="R339" s="102" t="n"/>
      <c r="S339" s="102" t="n"/>
      <c r="T339" s="102" t="n"/>
      <c r="U339" s="102" t="n"/>
      <c r="V339" s="102" t="n"/>
      <c r="W339" s="102" t="n"/>
      <c r="X339" s="102" t="n"/>
      <c r="Y339" s="102" t="n"/>
      <c r="Z339" s="102" t="n"/>
      <c r="AA339" s="102" t="n"/>
      <c r="AB339" s="102" t="n"/>
      <c r="AC339" s="102" t="n"/>
      <c r="AD339" s="102" t="n"/>
    </row>
    <row r="340" ht="15.75" customHeight="1" s="205">
      <c r="A340" s="102" t="n"/>
      <c r="B340" s="147" t="n"/>
      <c r="C340" s="144" t="n"/>
      <c r="D340" s="144" t="n"/>
      <c r="E340" s="144" t="n"/>
      <c r="F340" s="144" t="n"/>
      <c r="G340" s="144" t="n"/>
      <c r="H340" s="141">
        <f>IF(K340&lt;&gt;"", HYPERLINK("https://chatgpt.com/?prompt=" &amp; SUBSTITUTE(SUBSTITUTE(K340, " ", "+"), "&amp;", "dan") &amp; "&amp;force-refresh=true&amp;timestamp=" &amp; TEXT(NOW(), "yyyymmddhhmmss"), "👉 Klik untuk Generate Script! 🔥"), "")</f>
        <v/>
      </c>
      <c r="I340" s="144" t="n"/>
      <c r="J340" s="148" t="n"/>
      <c r="K340" s="140">
        <f>IF(AND(B340&lt;&gt;"", C340&lt;&gt;"", D340&lt;&gt;"", E340&lt;&gt;"", F340&lt;&gt;"", G340&lt;&gt;"", J340&lt;&gt;"", 'CONTENT PILLAR MAPPING'!C242&lt;&gt;"", 'CONTENT PILLAR MAPPING'!E242&lt;&gt;"", 'CONTENT PILLAR MAPPING'!F242&lt;&gt;"", 'CONTENT PILLAR MAPPING'!C245&lt;&gt;"", 'CONTENT PILLAR MAPPING'!C250&lt;&gt;"", 'CONTENT PILLAR MAPPING'!D250&lt;&gt;"", 'CONTENT PILLAR MAPPING'!E250&lt;&gt;"", 'CONTENT PILLAR MAPPING'!D258&lt;&gt;"", 'CONTENT PILLAR MAPPING'!D259&lt;&gt;""),
CONCATENATE(
"Sebagai seorang top konten kreator dengan niche utama '", 'CONTENT PILLAR MAPPING'!C242, "', spesifik kategori '", 'CONTENT PILLAR MAPPING'!E242, "', dan super spesifik '", 'CONTENT PILLAR MAPPING'!F242, "', yang dikenal sebagai '", 'CONTENT PILLAR MAPPING'!C245, "'.", CHAR(10),
"Saya memiliki Tone of Voice: '", 'CONTENT PILLAR MAPPING'!C250, "', Brand Archetype: '", 'CONTENT PILLAR MAPPING'!D250, "', dan Deskripsi Gaya Komunikasi: '", 'CONTENT PILLAR MAPPING'!E250, "'.", CHAR(10),
"Target audiens saya adalah: '", 'CONTENT PILLAR MAPPING'!D258, "', dengan segmentasi audiens: '", 'CONTENT PILLAR MAPPING'!D259, "'.", CHAR(10), CHAR(10),
"Mohon buatkan script konten yang **sangat powerful, menarik, inovatif, dan siap pakai** dengan judul ide '", B340, "'.", CHAR(10),
"Konten ini memiliki pilar '", C340, "', nilai tambah utama '", F340, "', dan akan menggunakan storytelling framework '", G340, "'.", CHAR(10),
"Gambaran singkat ide kontennya adalah: '", J340, "'.", CHAR(10),
"Konten ini akan diunggah di platform '", E340, "' dengan format '", D340,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MAPPING'!C245, "'.** Sesuaikan dengan gaya komunikasi saya, dengan fokus pada nilai tambah '", F340,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MAPPING'!D258, ", khusus ", 'CONTENT PILLAR MAPPING'!D259, ") dan membantu mereka menyelesaikan masalah atau mencapai tujuan mereka.", CHAR(10),
"✔ Membantuku membangun personal branding yang kuat dan sustainable, sesuai dengan Positioning saya sebagai '", 'CONTENT PILLAR MAPPING'!C245, "' dan Brand Archetype '", 'CONTENT PILLAR MAPPING'!D250, "'.", CHAR(10),
"✔ Kemas dalam bentuk tabel agar rapi, mudah di baca dan dipahami, dengan kolom 'Judul Konten', 'Pilar', 'Format', 'Draft Script', 'CTA', 'Saran Visual', dan 'Full Caption'. (Kosongkan kolom Link Prompt jika ada)."
),
"")</f>
        <v/>
      </c>
      <c r="L340" s="199" t="n"/>
      <c r="M340" s="199" t="n"/>
      <c r="N340" s="102" t="n"/>
      <c r="O340" s="102" t="n"/>
      <c r="P340" s="102" t="n"/>
      <c r="Q340" s="102" t="n"/>
      <c r="R340" s="102" t="n"/>
      <c r="S340" s="102" t="n"/>
      <c r="T340" s="102" t="n"/>
      <c r="U340" s="102" t="n"/>
      <c r="V340" s="102" t="n"/>
      <c r="W340" s="102" t="n"/>
      <c r="X340" s="102" t="n"/>
      <c r="Y340" s="102" t="n"/>
      <c r="Z340" s="102" t="n"/>
      <c r="AA340" s="102" t="n"/>
      <c r="AB340" s="102" t="n"/>
      <c r="AC340" s="102" t="n"/>
      <c r="AD340" s="102" t="n"/>
    </row>
    <row r="341" ht="15.75" customHeight="1" s="205">
      <c r="A341" s="102" t="n"/>
      <c r="B341" s="142" t="n"/>
      <c r="C341" s="143" t="n"/>
      <c r="D341" s="143" t="n"/>
      <c r="E341" s="143" t="n"/>
      <c r="F341" s="143" t="n"/>
      <c r="G341" s="144" t="n"/>
      <c r="H341" s="145">
        <f>IF(K341&lt;&gt;"", HYPERLINK("https://chatgpt.com/?prompt=" &amp; SUBSTITUTE(SUBSTITUTE(K341, " ", "+"), "&amp;", "dan") &amp; "&amp;force-refresh=true&amp;timestamp=" &amp; TEXT(NOW(), "yyyymmddhhmmss"), "👉 Klik untuk Generate Script! 🔥"), "")</f>
        <v/>
      </c>
      <c r="I341" s="143" t="n"/>
      <c r="J341" s="146" t="n"/>
      <c r="K341" s="130">
        <f>IF(AND(B341&lt;&gt;"", C341&lt;&gt;"", D341&lt;&gt;"", E341&lt;&gt;"", F341&lt;&gt;"", G341&lt;&gt;"", J341&lt;&gt;"", 'CONTENT PILLAR MAPPING'!C244&lt;&gt;"", 'CONTENT PILLAR MAPPING'!E244&lt;&gt;"", 'CONTENT PILLAR MAPPING'!F244&lt;&gt;"", 'CONTENT PILLAR MAPPING'!C247&lt;&gt;"", 'CONTENT PILLAR MAPPING'!C252&lt;&gt;"", 'CONTENT PILLAR MAPPING'!D252&lt;&gt;"", 'CONTENT PILLAR MAPPING'!E252&lt;&gt;"", 'CONTENT PILLAR MAPPING'!D260&lt;&gt;"", 'CONTENT PILLAR MAPPING'!D261&lt;&gt;""),
CONCATENATE(
"Sebagai seorang top konten kreator dengan niche utama '", 'CONTENT PILLAR MAPPING'!C244, "', spesifik kategori '", 'CONTENT PILLAR MAPPING'!E244, "', dan super spesifik '", 'CONTENT PILLAR MAPPING'!F244, "', yang dikenal sebagai '", 'CONTENT PILLAR MAPPING'!C247, "'.", CHAR(10),
"Saya memiliki Tone of Voice: '", 'CONTENT PILLAR MAPPING'!C252, "', Brand Archetype: '", 'CONTENT PILLAR MAPPING'!D252, "', dan Deskripsi Gaya Komunikasi: '", 'CONTENT PILLAR MAPPING'!E252, "'.", CHAR(10),
"Target audiens saya adalah: '", 'CONTENT PILLAR MAPPING'!D260, "', dengan segmentasi audiens: '", 'CONTENT PILLAR MAPPING'!D261, "'.", CHAR(10), CHAR(10),
"Mohon buatkan script konten yang **sangat powerful, menarik, inovatif, dan siap pakai** dengan judul ide '", B341, "'.", CHAR(10),
"Konten ini memiliki pilar '", C341, "', nilai tambah utama '", F341, "', dan akan menggunakan storytelling framework '", G341, "'.", CHAR(10),
"Gambaran singkat ide kontennya adalah: '", J341, "'.", CHAR(10),
"Konten ini akan diunggah di platform '", E341, "' dengan format '", D341,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MAPPING'!C247, "'.** Sesuaikan dengan gaya komunikasi saya, dengan fokus pada nilai tambah '", F341,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MAPPING'!D260, ", khusus ", 'CONTENT PILLAR MAPPING'!D261, ") dan membantu mereka menyelesaikan masalah atau mencapai tujuan mereka.", CHAR(10),
"✔ Membantuku membangun personal branding yang kuat dan sustainable, sesuai dengan Positioning saya sebagai '", 'CONTENT PILLAR MAPPING'!C247, "' dan Brand Archetype '", 'CONTENT PILLAR MAPPING'!D252, "'.", CHAR(10),
"✔ Kemas dalam bentuk tabel agar rapi, mudah di baca dan dipahami, dengan kolom 'Judul Konten', 'Pilar', 'Format', 'Draft Script', 'CTA', 'Saran Visual', dan 'Full Caption'. (Kosongkan kolom Link Prompt jika ada)."
),
"")</f>
        <v/>
      </c>
      <c r="L341" s="91" t="n"/>
      <c r="M341" s="91" t="n"/>
      <c r="N341" s="102" t="n"/>
      <c r="O341" s="102" t="n"/>
      <c r="P341" s="102" t="n"/>
      <c r="Q341" s="102" t="n"/>
      <c r="R341" s="102" t="n"/>
      <c r="S341" s="102" t="n"/>
      <c r="T341" s="102" t="n"/>
      <c r="U341" s="102" t="n"/>
      <c r="V341" s="102" t="n"/>
      <c r="W341" s="102" t="n"/>
      <c r="X341" s="102" t="n"/>
      <c r="Y341" s="102" t="n"/>
      <c r="Z341" s="102" t="n"/>
      <c r="AA341" s="102" t="n"/>
      <c r="AB341" s="102" t="n"/>
      <c r="AC341" s="102" t="n"/>
      <c r="AD341" s="102" t="n"/>
    </row>
    <row r="342" ht="15.75" customHeight="1" s="205">
      <c r="A342" s="102" t="n"/>
      <c r="B342" s="147" t="n"/>
      <c r="C342" s="144" t="n"/>
      <c r="D342" s="144" t="n"/>
      <c r="E342" s="144" t="n"/>
      <c r="F342" s="144" t="n"/>
      <c r="G342" s="144" t="n"/>
      <c r="H342" s="141">
        <f>IF(K342&lt;&gt;"", HYPERLINK("https://chatgpt.com/?prompt=" &amp; SUBSTITUTE(SUBSTITUTE(K342, " ", "+"), "&amp;", "dan") &amp; "&amp;force-refresh=true&amp;timestamp=" &amp; TEXT(NOW(), "yyyymmddhhmmss"), "👉 Klik untuk Generate Script! 🔥"), "")</f>
        <v/>
      </c>
      <c r="I342" s="144" t="n"/>
      <c r="J342" s="148" t="n"/>
      <c r="K342" s="140">
        <f>IF(AND(B342&lt;&gt;"", C342&lt;&gt;"", D342&lt;&gt;"", E342&lt;&gt;"", F342&lt;&gt;"", G342&lt;&gt;"", J342&lt;&gt;"", 'CONTENT PILLAR MAPPING'!C244&lt;&gt;"", 'CONTENT PILLAR MAPPING'!E244&lt;&gt;"", 'CONTENT PILLAR MAPPING'!F244&lt;&gt;"", 'CONTENT PILLAR MAPPING'!C247&lt;&gt;"", 'CONTENT PILLAR MAPPING'!C252&lt;&gt;"", 'CONTENT PILLAR MAPPING'!D252&lt;&gt;"", 'CONTENT PILLAR MAPPING'!E252&lt;&gt;"", 'CONTENT PILLAR MAPPING'!D260&lt;&gt;"", 'CONTENT PILLAR MAPPING'!D261&lt;&gt;""),
CONCATENATE(
"Sebagai seorang top konten kreator dengan niche utama '", 'CONTENT PILLAR MAPPING'!C244, "', spesifik kategori '", 'CONTENT PILLAR MAPPING'!E244, "', dan super spesifik '", 'CONTENT PILLAR MAPPING'!F244, "', yang dikenal sebagai '", 'CONTENT PILLAR MAPPING'!C247, "'.", CHAR(10),
"Saya memiliki Tone of Voice: '", 'CONTENT PILLAR MAPPING'!C252, "', Brand Archetype: '", 'CONTENT PILLAR MAPPING'!D252, "', dan Deskripsi Gaya Komunikasi: '", 'CONTENT PILLAR MAPPING'!E252, "'.", CHAR(10),
"Target audiens saya adalah: '", 'CONTENT PILLAR MAPPING'!D260, "', dengan segmentasi audiens: '", 'CONTENT PILLAR MAPPING'!D261, "'.", CHAR(10), CHAR(10),
"Mohon buatkan script konten yang **sangat powerful, menarik, inovatif, dan siap pakai** dengan judul ide '", B342, "'.", CHAR(10),
"Konten ini memiliki pilar '", C342, "', nilai tambah utama '", F342, "', dan akan menggunakan storytelling framework '", G342, "'.", CHAR(10),
"Gambaran singkat ide kontennya adalah: '", J342, "'.", CHAR(10),
"Konten ini akan diunggah di platform '", E342, "' dengan format '", D342,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MAPPING'!C247, "'.** Sesuaikan dengan gaya komunikasi saya, dengan fokus pada nilai tambah '", F342,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MAPPING'!D260, ", khusus ", 'CONTENT PILLAR MAPPING'!D261, ") dan membantu mereka menyelesaikan masalah atau mencapai tujuan mereka.", CHAR(10),
"✔ Membantuku membangun personal branding yang kuat dan sustainable, sesuai dengan Positioning saya sebagai '", 'CONTENT PILLAR MAPPING'!C247, "' dan Brand Archetype '", 'CONTENT PILLAR MAPPING'!D252, "'.", CHAR(10),
"✔ Kemas dalam bentuk tabel agar rapi, mudah di baca dan dipahami, dengan kolom 'Judul Konten', 'Pilar', 'Format', 'Draft Script', 'CTA', 'Saran Visual', dan 'Full Caption'. (Kosongkan kolom Link Prompt jika ada)."
),
"")</f>
        <v/>
      </c>
      <c r="L342" s="199" t="n"/>
      <c r="M342" s="199" t="n"/>
      <c r="N342" s="102" t="n"/>
      <c r="O342" s="102" t="n"/>
      <c r="P342" s="102" t="n"/>
      <c r="Q342" s="102" t="n"/>
      <c r="R342" s="102" t="n"/>
      <c r="S342" s="102" t="n"/>
      <c r="T342" s="102" t="n"/>
      <c r="U342" s="102" t="n"/>
      <c r="V342" s="102" t="n"/>
      <c r="W342" s="102" t="n"/>
      <c r="X342" s="102" t="n"/>
      <c r="Y342" s="102" t="n"/>
      <c r="Z342" s="102" t="n"/>
      <c r="AA342" s="102" t="n"/>
      <c r="AB342" s="102" t="n"/>
      <c r="AC342" s="102" t="n"/>
      <c r="AD342" s="102" t="n"/>
    </row>
    <row r="343" ht="15.75" customHeight="1" s="205">
      <c r="A343" s="102" t="n"/>
      <c r="B343" s="142" t="n"/>
      <c r="C343" s="143" t="n"/>
      <c r="D343" s="143" t="n"/>
      <c r="E343" s="143" t="n"/>
      <c r="F343" s="143" t="n"/>
      <c r="G343" s="144" t="n"/>
      <c r="H343" s="145">
        <f>IF(K343&lt;&gt;"", HYPERLINK("https://chatgpt.com/?prompt=" &amp; SUBSTITUTE(SUBSTITUTE(K343, " ", "+"), "&amp;", "dan") &amp; "&amp;force-refresh=true&amp;timestamp=" &amp; TEXT(NOW(), "yyyymmddhhmmss"), "👉 Klik untuk Generate Script! 🔥"), "")</f>
        <v/>
      </c>
      <c r="I343" s="143" t="n"/>
      <c r="J343" s="146" t="n"/>
      <c r="K343" s="130">
        <f>IF(AND(B343&lt;&gt;"", C343&lt;&gt;"", D343&lt;&gt;"", E343&lt;&gt;"", F343&lt;&gt;"", G343&lt;&gt;"", J343&lt;&gt;"", 'CONTENT PILLAR MAPPING'!C246&lt;&gt;"", 'CONTENT PILLAR MAPPING'!E246&lt;&gt;"", 'CONTENT PILLAR MAPPING'!F246&lt;&gt;"", 'CONTENT PILLAR MAPPING'!C249&lt;&gt;"", 'CONTENT PILLAR MAPPING'!C254&lt;&gt;"", 'CONTENT PILLAR MAPPING'!D254&lt;&gt;"", 'CONTENT PILLAR MAPPING'!E254&lt;&gt;"", 'CONTENT PILLAR MAPPING'!D262&lt;&gt;"", 'CONTENT PILLAR MAPPING'!D263&lt;&gt;""),
CONCATENATE(
"Sebagai seorang top konten kreator dengan niche utama '", 'CONTENT PILLAR MAPPING'!C246, "', spesifik kategori '", 'CONTENT PILLAR MAPPING'!E246, "', dan super spesifik '", 'CONTENT PILLAR MAPPING'!F246, "', yang dikenal sebagai '", 'CONTENT PILLAR MAPPING'!C249, "'.", CHAR(10),
"Saya memiliki Tone of Voice: '", 'CONTENT PILLAR MAPPING'!C254, "', Brand Archetype: '", 'CONTENT PILLAR MAPPING'!D254, "', dan Deskripsi Gaya Komunikasi: '", 'CONTENT PILLAR MAPPING'!E254, "'.", CHAR(10),
"Target audiens saya adalah: '", 'CONTENT PILLAR MAPPING'!D262, "', dengan segmentasi audiens: '", 'CONTENT PILLAR MAPPING'!D263, "'.", CHAR(10), CHAR(10),
"Mohon buatkan script konten yang **sangat powerful, menarik, inovatif, dan siap pakai** dengan judul ide '", B343, "'.", CHAR(10),
"Konten ini memiliki pilar '", C343, "', nilai tambah utama '", F343, "', dan akan menggunakan storytelling framework '", G343, "'.", CHAR(10),
"Gambaran singkat ide kontennya adalah: '", J343, "'.", CHAR(10),
"Konten ini akan diunggah di platform '", E343, "' dengan format '", D343,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MAPPING'!C249, "'.** Sesuaikan dengan gaya komunikasi saya, dengan fokus pada nilai tambah '", F343,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MAPPING'!D262, ", khusus ", 'CONTENT PILLAR MAPPING'!D263, ") dan membantu mereka menyelesaikan masalah atau mencapai tujuan mereka.", CHAR(10),
"✔ Membantuku membangun personal branding yang kuat dan sustainable, sesuai dengan Positioning saya sebagai '", 'CONTENT PILLAR MAPPING'!C249, "' dan Brand Archetype '", 'CONTENT PILLAR MAPPING'!D254, "'.", CHAR(10),
"✔ Kemas dalam bentuk tabel agar rapi, mudah di baca dan dipahami, dengan kolom 'Judul Konten', 'Pilar', 'Format', 'Draft Script', 'CTA', 'Saran Visual', dan 'Full Caption'. (Kosongkan kolom Link Prompt jika ada)."
),
"")</f>
        <v/>
      </c>
      <c r="L343" s="91" t="n"/>
      <c r="M343" s="91" t="n"/>
      <c r="N343" s="102" t="n"/>
      <c r="O343" s="102" t="n"/>
      <c r="P343" s="102" t="n"/>
      <c r="Q343" s="102" t="n"/>
      <c r="R343" s="102" t="n"/>
      <c r="S343" s="102" t="n"/>
      <c r="T343" s="102" t="n"/>
      <c r="U343" s="102" t="n"/>
      <c r="V343" s="102" t="n"/>
      <c r="W343" s="102" t="n"/>
      <c r="X343" s="102" t="n"/>
      <c r="Y343" s="102" t="n"/>
      <c r="Z343" s="102" t="n"/>
      <c r="AA343" s="102" t="n"/>
      <c r="AB343" s="102" t="n"/>
      <c r="AC343" s="102" t="n"/>
      <c r="AD343" s="102" t="n"/>
    </row>
    <row r="344" ht="15.75" customHeight="1" s="205">
      <c r="A344" s="102" t="n"/>
      <c r="B344" s="147" t="n"/>
      <c r="C344" s="144" t="n"/>
      <c r="D344" s="144" t="n"/>
      <c r="E344" s="144" t="n"/>
      <c r="F344" s="144" t="n"/>
      <c r="G344" s="144" t="n"/>
      <c r="H344" s="141">
        <f>IF(K344&lt;&gt;"", HYPERLINK("https://chatgpt.com/?prompt=" &amp; SUBSTITUTE(SUBSTITUTE(K344, " ", "+"), "&amp;", "dan") &amp; "&amp;force-refresh=true&amp;timestamp=" &amp; TEXT(NOW(), "yyyymmddhhmmss"), "👉 Klik untuk Generate Script! 🔥"), "")</f>
        <v/>
      </c>
      <c r="I344" s="144" t="n"/>
      <c r="J344" s="148" t="n"/>
      <c r="K344" s="140">
        <f>IF(AND(B344&lt;&gt;"", C344&lt;&gt;"", D344&lt;&gt;"", E344&lt;&gt;"", F344&lt;&gt;"", G344&lt;&gt;"", J344&lt;&gt;"", 'CONTENT PILLAR MAPPING'!C246&lt;&gt;"", 'CONTENT PILLAR MAPPING'!E246&lt;&gt;"", 'CONTENT PILLAR MAPPING'!F246&lt;&gt;"", 'CONTENT PILLAR MAPPING'!C249&lt;&gt;"", 'CONTENT PILLAR MAPPING'!C254&lt;&gt;"", 'CONTENT PILLAR MAPPING'!D254&lt;&gt;"", 'CONTENT PILLAR MAPPING'!E254&lt;&gt;"", 'CONTENT PILLAR MAPPING'!D262&lt;&gt;"", 'CONTENT PILLAR MAPPING'!D263&lt;&gt;""),
CONCATENATE(
"Sebagai seorang top konten kreator dengan niche utama '", 'CONTENT PILLAR MAPPING'!C246, "', spesifik kategori '", 'CONTENT PILLAR MAPPING'!E246, "', dan super spesifik '", 'CONTENT PILLAR MAPPING'!F246, "', yang dikenal sebagai '", 'CONTENT PILLAR MAPPING'!C249, "'.", CHAR(10),
"Saya memiliki Tone of Voice: '", 'CONTENT PILLAR MAPPING'!C254, "', Brand Archetype: '", 'CONTENT PILLAR MAPPING'!D254, "', dan Deskripsi Gaya Komunikasi: '", 'CONTENT PILLAR MAPPING'!E254, "'.", CHAR(10),
"Target audiens saya adalah: '", 'CONTENT PILLAR MAPPING'!D262, "', dengan segmentasi audiens: '", 'CONTENT PILLAR MAPPING'!D263, "'.", CHAR(10), CHAR(10),
"Mohon buatkan script konten yang **sangat powerful, menarik, inovatif, dan siap pakai** dengan judul ide '", B344, "'.", CHAR(10),
"Konten ini memiliki pilar '", C344, "', nilai tambah utama '", F344, "', dan akan menggunakan storytelling framework '", G344, "'.", CHAR(10),
"Gambaran singkat ide kontennya adalah: '", J344, "'.", CHAR(10),
"Konten ini akan diunggah di platform '", E344, "' dengan format '", D344,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MAPPING'!C249, "'.** Sesuaikan dengan gaya komunikasi saya, dengan fokus pada nilai tambah '", F344,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MAPPING'!D262, ", khusus ", 'CONTENT PILLAR MAPPING'!D263, ") dan membantu mereka menyelesaikan masalah atau mencapai tujuan mereka.", CHAR(10),
"✔ Membantuku membangun personal branding yang kuat dan sustainable, sesuai dengan Positioning saya sebagai '", 'CONTENT PILLAR MAPPING'!C249, "' dan Brand Archetype '", 'CONTENT PILLAR MAPPING'!D254, "'.", CHAR(10),
"✔ Kemas dalam bentuk tabel agar rapi, mudah di baca dan dipahami, dengan kolom 'Judul Konten', 'Pilar', 'Format', 'Draft Script', 'CTA', 'Saran Visual', dan 'Full Caption'. (Kosongkan kolom Link Prompt jika ada)."
),
"")</f>
        <v/>
      </c>
      <c r="L344" s="199" t="n"/>
      <c r="M344" s="199" t="n"/>
      <c r="N344" s="102" t="n"/>
      <c r="O344" s="102" t="n"/>
      <c r="P344" s="102" t="n"/>
      <c r="Q344" s="102" t="n"/>
      <c r="R344" s="102" t="n"/>
      <c r="S344" s="102" t="n"/>
      <c r="T344" s="102" t="n"/>
      <c r="U344" s="102" t="n"/>
      <c r="V344" s="102" t="n"/>
      <c r="W344" s="102" t="n"/>
      <c r="X344" s="102" t="n"/>
      <c r="Y344" s="102" t="n"/>
      <c r="Z344" s="102" t="n"/>
      <c r="AA344" s="102" t="n"/>
      <c r="AB344" s="102" t="n"/>
      <c r="AC344" s="102" t="n"/>
      <c r="AD344" s="102" t="n"/>
    </row>
    <row r="345" ht="15.75" customHeight="1" s="205">
      <c r="A345" s="102" t="n"/>
      <c r="B345" s="142" t="n"/>
      <c r="C345" s="143" t="n"/>
      <c r="D345" s="143" t="n"/>
      <c r="E345" s="143" t="n"/>
      <c r="F345" s="143" t="n"/>
      <c r="G345" s="144" t="n"/>
      <c r="H345" s="145">
        <f>IF(K345&lt;&gt;"", HYPERLINK("https://chatgpt.com/?prompt=" &amp; SUBSTITUTE(SUBSTITUTE(K345, " ", "+"), "&amp;", "dan") &amp; "&amp;force-refresh=true&amp;timestamp=" &amp; TEXT(NOW(), "yyyymmddhhmmss"), "👉 Klik untuk Generate Script! 🔥"), "")</f>
        <v/>
      </c>
      <c r="I345" s="143" t="n"/>
      <c r="J345" s="146" t="n"/>
      <c r="K345" s="130">
        <f>IF(AND(B345&lt;&gt;"", C345&lt;&gt;"", D345&lt;&gt;"", E345&lt;&gt;"", F345&lt;&gt;"", G345&lt;&gt;"", J345&lt;&gt;"", 'CONTENT PILLAR MAPPING'!C248&lt;&gt;"", 'CONTENT PILLAR MAPPING'!E248&lt;&gt;"", 'CONTENT PILLAR MAPPING'!F248&lt;&gt;"", 'CONTENT PILLAR MAPPING'!C251&lt;&gt;"", 'CONTENT PILLAR MAPPING'!C256&lt;&gt;"", 'CONTENT PILLAR MAPPING'!D256&lt;&gt;"", 'CONTENT PILLAR MAPPING'!E256&lt;&gt;"", 'CONTENT PILLAR MAPPING'!D264&lt;&gt;"", 'CONTENT PILLAR MAPPING'!D265&lt;&gt;""),
CONCATENATE(
"Sebagai seorang top konten kreator dengan niche utama '", 'CONTENT PILLAR MAPPING'!C248, "', spesifik kategori '", 'CONTENT PILLAR MAPPING'!E248, "', dan super spesifik '", 'CONTENT PILLAR MAPPING'!F248, "', yang dikenal sebagai '", 'CONTENT PILLAR MAPPING'!C251, "'.", CHAR(10),
"Saya memiliki Tone of Voice: '", 'CONTENT PILLAR MAPPING'!C256, "', Brand Archetype: '", 'CONTENT PILLAR MAPPING'!D256, "', dan Deskripsi Gaya Komunikasi: '", 'CONTENT PILLAR MAPPING'!E256, "'.", CHAR(10),
"Target audiens saya adalah: '", 'CONTENT PILLAR MAPPING'!D264, "', dengan segmentasi audiens: '", 'CONTENT PILLAR MAPPING'!D265, "'.", CHAR(10), CHAR(10),
"Mohon buatkan script konten yang **sangat powerful, menarik, inovatif, dan siap pakai** dengan judul ide '", B345, "'.", CHAR(10),
"Konten ini memiliki pilar '", C345, "', nilai tambah utama '", F345, "', dan akan menggunakan storytelling framework '", G345, "'.", CHAR(10),
"Gambaran singkat ide kontennya adalah: '", J345, "'.", CHAR(10),
"Konten ini akan diunggah di platform '", E345, "' dengan format '", D345,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MAPPING'!C251, "'.** Sesuaikan dengan gaya komunikasi saya, dengan fokus pada nilai tambah '", F345,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MAPPING'!D264, ", khusus ", 'CONTENT PILLAR MAPPING'!D265, ") dan membantu mereka menyelesaikan masalah atau mencapai tujuan mereka.", CHAR(10),
"✔ Membantuku membangun personal branding yang kuat dan sustainable, sesuai dengan Positioning saya sebagai '", 'CONTENT PILLAR MAPPING'!C251, "' dan Brand Archetype '", 'CONTENT PILLAR MAPPING'!D256, "'.", CHAR(10),
"✔ Kemas dalam bentuk tabel agar rapi, mudah di baca dan dipahami, dengan kolom 'Judul Konten', 'Pilar', 'Format', 'Draft Script', 'CTA', 'Saran Visual', dan 'Full Caption'. (Kosongkan kolom Link Prompt jika ada)."
),
"")</f>
        <v/>
      </c>
      <c r="L345" s="91" t="n"/>
      <c r="M345" s="91" t="n"/>
      <c r="N345" s="102" t="n"/>
      <c r="O345" s="102" t="n"/>
      <c r="P345" s="102" t="n"/>
      <c r="Q345" s="102" t="n"/>
      <c r="R345" s="102" t="n"/>
      <c r="S345" s="102" t="n"/>
      <c r="T345" s="102" t="n"/>
      <c r="U345" s="102" t="n"/>
      <c r="V345" s="102" t="n"/>
      <c r="W345" s="102" t="n"/>
      <c r="X345" s="102" t="n"/>
      <c r="Y345" s="102" t="n"/>
      <c r="Z345" s="102" t="n"/>
      <c r="AA345" s="102" t="n"/>
      <c r="AB345" s="102" t="n"/>
      <c r="AC345" s="102" t="n"/>
      <c r="AD345" s="102" t="n"/>
    </row>
    <row r="346" ht="15.75" customHeight="1" s="205">
      <c r="A346" s="102" t="n"/>
      <c r="B346" s="147" t="n"/>
      <c r="C346" s="144" t="n"/>
      <c r="D346" s="144" t="n"/>
      <c r="E346" s="144" t="n"/>
      <c r="F346" s="144" t="n"/>
      <c r="G346" s="144" t="n"/>
      <c r="H346" s="141">
        <f>IF(K346&lt;&gt;"", HYPERLINK("https://chatgpt.com/?prompt=" &amp; SUBSTITUTE(SUBSTITUTE(K346, " ", "+"), "&amp;", "dan") &amp; "&amp;force-refresh=true&amp;timestamp=" &amp; TEXT(NOW(), "yyyymmddhhmmss"), "👉 Klik untuk Generate Script! 🔥"), "")</f>
        <v/>
      </c>
      <c r="I346" s="144" t="n"/>
      <c r="J346" s="148" t="n"/>
      <c r="K346" s="140">
        <f>IF(AND(B346&lt;&gt;"", C346&lt;&gt;"", D346&lt;&gt;"", E346&lt;&gt;"", F346&lt;&gt;"", G346&lt;&gt;"", J346&lt;&gt;"", 'CONTENT PILLAR MAPPING'!C248&lt;&gt;"", 'CONTENT PILLAR MAPPING'!E248&lt;&gt;"", 'CONTENT PILLAR MAPPING'!F248&lt;&gt;"", 'CONTENT PILLAR MAPPING'!C251&lt;&gt;"", 'CONTENT PILLAR MAPPING'!C256&lt;&gt;"", 'CONTENT PILLAR MAPPING'!D256&lt;&gt;"", 'CONTENT PILLAR MAPPING'!E256&lt;&gt;"", 'CONTENT PILLAR MAPPING'!D264&lt;&gt;"", 'CONTENT PILLAR MAPPING'!D265&lt;&gt;""),
CONCATENATE(
"Sebagai seorang top konten kreator dengan niche utama '", 'CONTENT PILLAR MAPPING'!C248, "', spesifik kategori '", 'CONTENT PILLAR MAPPING'!E248, "', dan super spesifik '", 'CONTENT PILLAR MAPPING'!F248, "', yang dikenal sebagai '", 'CONTENT PILLAR MAPPING'!C251, "'.", CHAR(10),
"Saya memiliki Tone of Voice: '", 'CONTENT PILLAR MAPPING'!C256, "', Brand Archetype: '", 'CONTENT PILLAR MAPPING'!D256, "', dan Deskripsi Gaya Komunikasi: '", 'CONTENT PILLAR MAPPING'!E256, "'.", CHAR(10),
"Target audiens saya adalah: '", 'CONTENT PILLAR MAPPING'!D264, "', dengan segmentasi audiens: '", 'CONTENT PILLAR MAPPING'!D265, "'.", CHAR(10), CHAR(10),
"Mohon buatkan script konten yang **sangat powerful, menarik, inovatif, dan siap pakai** dengan judul ide '", B346, "'.", CHAR(10),
"Konten ini memiliki pilar '", C346, "', nilai tambah utama '", F346, "', dan akan menggunakan storytelling framework '", G346, "'.", CHAR(10),
"Gambaran singkat ide kontennya adalah: '", J346, "'.", CHAR(10),
"Konten ini akan diunggah di platform '", E346, "' dengan format '", D346,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MAPPING'!C251, "'.** Sesuaikan dengan gaya komunikasi saya, dengan fokus pada nilai tambah '", F346,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MAPPING'!D264, ", khusus ", 'CONTENT PILLAR MAPPING'!D265, ") dan membantu mereka menyelesaikan masalah atau mencapai tujuan mereka.", CHAR(10),
"✔ Membantuku membangun personal branding yang kuat dan sustainable, sesuai dengan Positioning saya sebagai '", 'CONTENT PILLAR MAPPING'!C251, "' dan Brand Archetype '", 'CONTENT PILLAR MAPPING'!D256, "'.", CHAR(10),
"✔ Kemas dalam bentuk tabel agar rapi, mudah di baca dan dipahami, dengan kolom 'Judul Konten', 'Pilar', 'Format', 'Draft Script', 'CTA', 'Saran Visual', dan 'Full Caption'. (Kosongkan kolom Link Prompt jika ada)."
),
"")</f>
        <v/>
      </c>
      <c r="L346" s="199" t="n"/>
      <c r="M346" s="199" t="n"/>
      <c r="N346" s="102" t="n"/>
      <c r="O346" s="102" t="n"/>
      <c r="P346" s="102" t="n"/>
      <c r="Q346" s="102" t="n"/>
      <c r="R346" s="102" t="n"/>
      <c r="S346" s="102" t="n"/>
      <c r="T346" s="102" t="n"/>
      <c r="U346" s="102" t="n"/>
      <c r="V346" s="102" t="n"/>
      <c r="W346" s="102" t="n"/>
      <c r="X346" s="102" t="n"/>
      <c r="Y346" s="102" t="n"/>
      <c r="Z346" s="102" t="n"/>
      <c r="AA346" s="102" t="n"/>
      <c r="AB346" s="102" t="n"/>
      <c r="AC346" s="102" t="n"/>
      <c r="AD346" s="102" t="n"/>
    </row>
    <row r="347" ht="15.75" customHeight="1" s="205">
      <c r="A347" s="102" t="n"/>
      <c r="B347" s="142" t="n"/>
      <c r="C347" s="143" t="n"/>
      <c r="D347" s="143" t="n"/>
      <c r="E347" s="143" t="n"/>
      <c r="F347" s="143" t="n"/>
      <c r="G347" s="144" t="n"/>
      <c r="H347" s="145">
        <f>IF(K347&lt;&gt;"", HYPERLINK("https://chatgpt.com/?prompt=" &amp; SUBSTITUTE(SUBSTITUTE(K347, " ", "+"), "&amp;", "dan") &amp; "&amp;force-refresh=true&amp;timestamp=" &amp; TEXT(NOW(), "yyyymmddhhmmss"), "👉 Klik untuk Generate Script! 🔥"), "")</f>
        <v/>
      </c>
      <c r="I347" s="143" t="n"/>
      <c r="J347" s="146" t="n"/>
      <c r="K347" s="130">
        <f>IF(AND(B347&lt;&gt;"", C347&lt;&gt;"", D347&lt;&gt;"", E347&lt;&gt;"", F347&lt;&gt;"", G347&lt;&gt;"", J347&lt;&gt;"", 'CONTENT PILLAR MAPPING'!C250&lt;&gt;"", 'CONTENT PILLAR MAPPING'!E250&lt;&gt;"", 'CONTENT PILLAR MAPPING'!F250&lt;&gt;"", 'CONTENT PILLAR MAPPING'!C253&lt;&gt;"", 'CONTENT PILLAR MAPPING'!C258&lt;&gt;"", 'CONTENT PILLAR MAPPING'!D258&lt;&gt;"", 'CONTENT PILLAR MAPPING'!E258&lt;&gt;"", 'CONTENT PILLAR MAPPING'!D266&lt;&gt;"", 'CONTENT PILLAR MAPPING'!D267&lt;&gt;""),
CONCATENATE(
"Sebagai seorang top konten kreator dengan niche utama '", 'CONTENT PILLAR MAPPING'!C250, "', spesifik kategori '", 'CONTENT PILLAR MAPPING'!E250, "', dan super spesifik '", 'CONTENT PILLAR MAPPING'!F250, "', yang dikenal sebagai '", 'CONTENT PILLAR MAPPING'!C253, "'.", CHAR(10),
"Saya memiliki Tone of Voice: '", 'CONTENT PILLAR MAPPING'!C258, "', Brand Archetype: '", 'CONTENT PILLAR MAPPING'!D258, "', dan Deskripsi Gaya Komunikasi: '", 'CONTENT PILLAR MAPPING'!E258, "'.", CHAR(10),
"Target audiens saya adalah: '", 'CONTENT PILLAR MAPPING'!D266, "', dengan segmentasi audiens: '", 'CONTENT PILLAR MAPPING'!D267, "'.", CHAR(10), CHAR(10),
"Mohon buatkan script konten yang **sangat powerful, menarik, inovatif, dan siap pakai** dengan judul ide '", B347, "'.", CHAR(10),
"Konten ini memiliki pilar '", C347, "', nilai tambah utama '", F347, "', dan akan menggunakan storytelling framework '", G347, "'.", CHAR(10),
"Gambaran singkat ide kontennya adalah: '", J347, "'.", CHAR(10),
"Konten ini akan diunggah di platform '", E347, "' dengan format '", D347,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MAPPING'!C253, "'.** Sesuaikan dengan gaya komunikasi saya, dengan fokus pada nilai tambah '", F347,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MAPPING'!D266, ", khusus ", 'CONTENT PILLAR MAPPING'!D267, ") dan membantu mereka menyelesaikan masalah atau mencapai tujuan mereka.", CHAR(10),
"✔ Membantuku membangun personal branding yang kuat dan sustainable, sesuai dengan Positioning saya sebagai '", 'CONTENT PILLAR MAPPING'!C253, "' dan Brand Archetype '", 'CONTENT PILLAR MAPPING'!D258, "'.", CHAR(10),
"✔ Kemas dalam bentuk tabel agar rapi, mudah di baca dan dipahami, dengan kolom 'Judul Konten', 'Pilar', 'Format', 'Draft Script', 'CTA', 'Saran Visual', dan 'Full Caption'. (Kosongkan kolom Link Prompt jika ada)."
),
"")</f>
        <v/>
      </c>
      <c r="L347" s="91" t="n"/>
      <c r="M347" s="91" t="n"/>
      <c r="N347" s="102" t="n"/>
      <c r="O347" s="102" t="n"/>
      <c r="P347" s="102" t="n"/>
      <c r="Q347" s="102" t="n"/>
      <c r="R347" s="102" t="n"/>
      <c r="S347" s="102" t="n"/>
      <c r="T347" s="102" t="n"/>
      <c r="U347" s="102" t="n"/>
      <c r="V347" s="102" t="n"/>
      <c r="W347" s="102" t="n"/>
      <c r="X347" s="102" t="n"/>
      <c r="Y347" s="102" t="n"/>
      <c r="Z347" s="102" t="n"/>
      <c r="AA347" s="102" t="n"/>
      <c r="AB347" s="102" t="n"/>
      <c r="AC347" s="102" t="n"/>
      <c r="AD347" s="102" t="n"/>
    </row>
    <row r="348" ht="15.75" customHeight="1" s="205">
      <c r="A348" s="102" t="n"/>
      <c r="B348" s="147" t="n"/>
      <c r="C348" s="144" t="n"/>
      <c r="D348" s="144" t="n"/>
      <c r="E348" s="144" t="n"/>
      <c r="F348" s="144" t="n"/>
      <c r="G348" s="144" t="n"/>
      <c r="H348" s="141">
        <f>IF(K348&lt;&gt;"", HYPERLINK("https://chatgpt.com/?prompt=" &amp; SUBSTITUTE(SUBSTITUTE(K348, " ", "+"), "&amp;", "dan") &amp; "&amp;force-refresh=true&amp;timestamp=" &amp; TEXT(NOW(), "yyyymmddhhmmss"), "👉 Klik untuk Generate Script! 🔥"), "")</f>
        <v/>
      </c>
      <c r="I348" s="144" t="n"/>
      <c r="J348" s="148" t="n"/>
      <c r="K348" s="140">
        <f>IF(AND(B348&lt;&gt;"", C348&lt;&gt;"", D348&lt;&gt;"", E348&lt;&gt;"", F348&lt;&gt;"", G348&lt;&gt;"", J348&lt;&gt;"", 'CONTENT PILLAR MAPPING'!C250&lt;&gt;"", 'CONTENT PILLAR MAPPING'!E250&lt;&gt;"", 'CONTENT PILLAR MAPPING'!F250&lt;&gt;"", 'CONTENT PILLAR MAPPING'!C253&lt;&gt;"", 'CONTENT PILLAR MAPPING'!C258&lt;&gt;"", 'CONTENT PILLAR MAPPING'!D258&lt;&gt;"", 'CONTENT PILLAR MAPPING'!E258&lt;&gt;"", 'CONTENT PILLAR MAPPING'!D266&lt;&gt;"", 'CONTENT PILLAR MAPPING'!D267&lt;&gt;""),
CONCATENATE(
"Sebagai seorang top konten kreator dengan niche utama '", 'CONTENT PILLAR MAPPING'!C250, "', spesifik kategori '", 'CONTENT PILLAR MAPPING'!E250, "', dan super spesifik '", 'CONTENT PILLAR MAPPING'!F250, "', yang dikenal sebagai '", 'CONTENT PILLAR MAPPING'!C253, "'.", CHAR(10),
"Saya memiliki Tone of Voice: '", 'CONTENT PILLAR MAPPING'!C258, "', Brand Archetype: '", 'CONTENT PILLAR MAPPING'!D258, "', dan Deskripsi Gaya Komunikasi: '", 'CONTENT PILLAR MAPPING'!E258, "'.", CHAR(10),
"Target audiens saya adalah: '", 'CONTENT PILLAR MAPPING'!D266, "', dengan segmentasi audiens: '", 'CONTENT PILLAR MAPPING'!D267, "'.", CHAR(10), CHAR(10),
"Mohon buatkan script konten yang **sangat powerful, menarik, inovatif, dan siap pakai** dengan judul ide '", B348, "'.", CHAR(10),
"Konten ini memiliki pilar '", C348, "', nilai tambah utama '", F348, "', dan akan menggunakan storytelling framework '", G348, "'.", CHAR(10),
"Gambaran singkat ide kontennya adalah: '", J348, "'.", CHAR(10),
"Konten ini akan diunggah di platform '", E348, "' dengan format '", D348,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MAPPING'!C253, "'.** Sesuaikan dengan gaya komunikasi saya, dengan fokus pada nilai tambah '", F348,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MAPPING'!D266, ", khusus ", 'CONTENT PILLAR MAPPING'!D267, ") dan membantu mereka menyelesaikan masalah atau mencapai tujuan mereka.", CHAR(10),
"✔ Membantuku membangun personal branding yang kuat dan sustainable, sesuai dengan Positioning saya sebagai '", 'CONTENT PILLAR MAPPING'!C253, "' dan Brand Archetype '", 'CONTENT PILLAR MAPPING'!D258, "'.", CHAR(10),
"✔ Kemas dalam bentuk tabel agar rapi, mudah di baca dan dipahami, dengan kolom 'Judul Konten', 'Pilar', 'Format', 'Draft Script', 'CTA', 'Saran Visual', dan 'Full Caption'. (Kosongkan kolom Link Prompt jika ada)."
),
"")</f>
        <v/>
      </c>
      <c r="L348" s="199" t="n"/>
      <c r="M348" s="199" t="n"/>
      <c r="N348" s="102" t="n"/>
      <c r="O348" s="102" t="n"/>
      <c r="P348" s="102" t="n"/>
      <c r="Q348" s="102" t="n"/>
      <c r="R348" s="102" t="n"/>
      <c r="S348" s="102" t="n"/>
      <c r="T348" s="102" t="n"/>
      <c r="U348" s="102" t="n"/>
      <c r="V348" s="102" t="n"/>
      <c r="W348" s="102" t="n"/>
      <c r="X348" s="102" t="n"/>
      <c r="Y348" s="102" t="n"/>
      <c r="Z348" s="102" t="n"/>
      <c r="AA348" s="102" t="n"/>
      <c r="AB348" s="102" t="n"/>
      <c r="AC348" s="102" t="n"/>
      <c r="AD348" s="102" t="n"/>
    </row>
    <row r="349" ht="15.75" customHeight="1" s="205">
      <c r="A349" s="102" t="n"/>
      <c r="B349" s="142" t="n"/>
      <c r="C349" s="143" t="n"/>
      <c r="D349" s="143" t="n"/>
      <c r="E349" s="143" t="n"/>
      <c r="F349" s="143" t="n"/>
      <c r="G349" s="144" t="n"/>
      <c r="H349" s="145">
        <f>IF(K349&lt;&gt;"", HYPERLINK("https://chatgpt.com/?prompt=" &amp; SUBSTITUTE(SUBSTITUTE(K349, " ", "+"), "&amp;", "dan") &amp; "&amp;force-refresh=true&amp;timestamp=" &amp; TEXT(NOW(), "yyyymmddhhmmss"), "👉 Klik untuk Generate Script! 🔥"), "")</f>
        <v/>
      </c>
      <c r="I349" s="143" t="n"/>
      <c r="J349" s="146" t="n"/>
      <c r="K349" s="130">
        <f>IF(AND(B349&lt;&gt;"", C349&lt;&gt;"", D349&lt;&gt;"", E349&lt;&gt;"", F349&lt;&gt;"", G349&lt;&gt;"", J349&lt;&gt;"", 'CONTENT PILLAR MAPPING'!C252&lt;&gt;"", 'CONTENT PILLAR MAPPING'!E252&lt;&gt;"", 'CONTENT PILLAR MAPPING'!F252&lt;&gt;"", 'CONTENT PILLAR MAPPING'!C255&lt;&gt;"", 'CONTENT PILLAR MAPPING'!C260&lt;&gt;"", 'CONTENT PILLAR MAPPING'!D260&lt;&gt;"", 'CONTENT PILLAR MAPPING'!E260&lt;&gt;"", 'CONTENT PILLAR MAPPING'!D268&lt;&gt;"", 'CONTENT PILLAR MAPPING'!D269&lt;&gt;""),
CONCATENATE(
"Sebagai seorang top konten kreator dengan niche utama '", 'CONTENT PILLAR MAPPING'!C252, "', spesifik kategori '", 'CONTENT PILLAR MAPPING'!E252, "', dan super spesifik '", 'CONTENT PILLAR MAPPING'!F252, "', yang dikenal sebagai '", 'CONTENT PILLAR MAPPING'!C255, "'.", CHAR(10),
"Saya memiliki Tone of Voice: '", 'CONTENT PILLAR MAPPING'!C260, "', Brand Archetype: '", 'CONTENT PILLAR MAPPING'!D260, "', dan Deskripsi Gaya Komunikasi: '", 'CONTENT PILLAR MAPPING'!E260, "'.", CHAR(10),
"Target audiens saya adalah: '", 'CONTENT PILLAR MAPPING'!D268, "', dengan segmentasi audiens: '", 'CONTENT PILLAR MAPPING'!D269, "'.", CHAR(10), CHAR(10),
"Mohon buatkan script konten yang **sangat powerful, menarik, inovatif, dan siap pakai** dengan judul ide '", B349, "'.", CHAR(10),
"Konten ini memiliki pilar '", C349, "', nilai tambah utama '", F349, "', dan akan menggunakan storytelling framework '", G349, "'.", CHAR(10),
"Gambaran singkat ide kontennya adalah: '", J349, "'.", CHAR(10),
"Konten ini akan diunggah di platform '", E349, "' dengan format '", D349,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MAPPING'!C255, "'.** Sesuaikan dengan gaya komunikasi saya, dengan fokus pada nilai tambah '", F349,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MAPPING'!D268, ", khusus ", 'CONTENT PILLAR MAPPING'!D269, ") dan membantu mereka menyelesaikan masalah atau mencapai tujuan mereka.", CHAR(10),
"✔ Membantuku membangun personal branding yang kuat dan sustainable, sesuai dengan Positioning saya sebagai '", 'CONTENT PILLAR MAPPING'!C255, "' dan Brand Archetype '", 'CONTENT PILLAR MAPPING'!D260, "'.", CHAR(10),
"✔ Kemas dalam bentuk tabel agar rapi, mudah di baca dan dipahami, dengan kolom 'Judul Konten', 'Pilar', 'Format', 'Draft Script', 'CTA', 'Saran Visual', dan 'Full Caption'. (Kosongkan kolom Link Prompt jika ada)."
),
"")</f>
        <v/>
      </c>
      <c r="L349" s="91" t="n"/>
      <c r="M349" s="91" t="n"/>
      <c r="N349" s="102" t="n"/>
      <c r="O349" s="102" t="n"/>
      <c r="P349" s="102" t="n"/>
      <c r="Q349" s="102" t="n"/>
      <c r="R349" s="102" t="n"/>
      <c r="S349" s="102" t="n"/>
      <c r="T349" s="102" t="n"/>
      <c r="U349" s="102" t="n"/>
      <c r="V349" s="102" t="n"/>
      <c r="W349" s="102" t="n"/>
      <c r="X349" s="102" t="n"/>
      <c r="Y349" s="102" t="n"/>
      <c r="Z349" s="102" t="n"/>
      <c r="AA349" s="102" t="n"/>
      <c r="AB349" s="102" t="n"/>
      <c r="AC349" s="102" t="n"/>
      <c r="AD349" s="102" t="n"/>
    </row>
    <row r="350" ht="15.75" customHeight="1" s="205">
      <c r="A350" s="102" t="n"/>
      <c r="B350" s="147" t="n"/>
      <c r="C350" s="144" t="n"/>
      <c r="D350" s="144" t="n"/>
      <c r="E350" s="144" t="n"/>
      <c r="F350" s="144" t="n"/>
      <c r="G350" s="144" t="n"/>
      <c r="H350" s="141">
        <f>IF(K350&lt;&gt;"", HYPERLINK("https://chatgpt.com/?prompt=" &amp; SUBSTITUTE(SUBSTITUTE(K350, " ", "+"), "&amp;", "dan") &amp; "&amp;force-refresh=true&amp;timestamp=" &amp; TEXT(NOW(), "yyyymmddhhmmss"), "👉 Klik untuk Generate Script! 🔥"), "")</f>
        <v/>
      </c>
      <c r="I350" s="144" t="n"/>
      <c r="J350" s="148" t="n"/>
      <c r="K350" s="140">
        <f>IF(AND(B350&lt;&gt;"", C350&lt;&gt;"", D350&lt;&gt;"", E350&lt;&gt;"", F350&lt;&gt;"", G350&lt;&gt;"", J350&lt;&gt;"", 'CONTENT PILLAR MAPPING'!C252&lt;&gt;"", 'CONTENT PILLAR MAPPING'!E252&lt;&gt;"", 'CONTENT PILLAR MAPPING'!F252&lt;&gt;"", 'CONTENT PILLAR MAPPING'!C255&lt;&gt;"", 'CONTENT PILLAR MAPPING'!C260&lt;&gt;"", 'CONTENT PILLAR MAPPING'!D260&lt;&gt;"", 'CONTENT PILLAR MAPPING'!E260&lt;&gt;"", 'CONTENT PILLAR MAPPING'!D268&lt;&gt;"", 'CONTENT PILLAR MAPPING'!D269&lt;&gt;""),
CONCATENATE(
"Sebagai seorang top konten kreator dengan niche utama '", 'CONTENT PILLAR MAPPING'!C252, "', spesifik kategori '", 'CONTENT PILLAR MAPPING'!E252, "', dan super spesifik '", 'CONTENT PILLAR MAPPING'!F252, "', yang dikenal sebagai '", 'CONTENT PILLAR MAPPING'!C255, "'.", CHAR(10),
"Saya memiliki Tone of Voice: '", 'CONTENT PILLAR MAPPING'!C260, "', Brand Archetype: '", 'CONTENT PILLAR MAPPING'!D260, "', dan Deskripsi Gaya Komunikasi: '", 'CONTENT PILLAR MAPPING'!E260, "'.", CHAR(10),
"Target audiens saya adalah: '", 'CONTENT PILLAR MAPPING'!D268, "', dengan segmentasi audiens: '", 'CONTENT PILLAR MAPPING'!D269, "'.", CHAR(10), CHAR(10),
"Mohon buatkan script konten yang **sangat powerful, menarik, inovatif, dan siap pakai** dengan judul ide '", B350, "'.", CHAR(10),
"Konten ini memiliki pilar '", C350, "', nilai tambah utama '", F350, "', dan akan menggunakan storytelling framework '", G350, "'.", CHAR(10),
"Gambaran singkat ide kontennya adalah: '", J350, "'.", CHAR(10),
"Konten ini akan diunggah di platform '", E350, "' dengan format '", D350,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MAPPING'!C255, "'.** Sesuaikan dengan gaya komunikasi saya, dengan fokus pada nilai tambah '", F350,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MAPPING'!D268, ", khusus ", 'CONTENT PILLAR MAPPING'!D269, ") dan membantu mereka menyelesaikan masalah atau mencapai tujuan mereka.", CHAR(10),
"✔ Membantuku membangun personal branding yang kuat dan sustainable, sesuai dengan Positioning saya sebagai '", 'CONTENT PILLAR MAPPING'!C255, "' dan Brand Archetype '", 'CONTENT PILLAR MAPPING'!D260, "'.", CHAR(10),
"✔ Kemas dalam bentuk tabel agar rapi, mudah di baca dan dipahami, dengan kolom 'Judul Konten', 'Pilar', 'Format', 'Draft Script', 'CTA', 'Saran Visual', dan 'Full Caption'. (Kosongkan kolom Link Prompt jika ada)."
),
"")</f>
        <v/>
      </c>
      <c r="L350" s="199" t="n"/>
      <c r="M350" s="199" t="n"/>
      <c r="N350" s="102" t="n"/>
      <c r="O350" s="102" t="n"/>
      <c r="P350" s="102" t="n"/>
      <c r="Q350" s="102" t="n"/>
      <c r="R350" s="102" t="n"/>
      <c r="S350" s="102" t="n"/>
      <c r="T350" s="102" t="n"/>
      <c r="U350" s="102" t="n"/>
      <c r="V350" s="102" t="n"/>
      <c r="W350" s="102" t="n"/>
      <c r="X350" s="102" t="n"/>
      <c r="Y350" s="102" t="n"/>
      <c r="Z350" s="102" t="n"/>
      <c r="AA350" s="102" t="n"/>
      <c r="AB350" s="102" t="n"/>
      <c r="AC350" s="102" t="n"/>
      <c r="AD350" s="102" t="n"/>
    </row>
    <row r="351" ht="15.75" customHeight="1" s="205">
      <c r="A351" s="102" t="n"/>
      <c r="B351" s="142" t="n"/>
      <c r="C351" s="143" t="n"/>
      <c r="D351" s="143" t="n"/>
      <c r="E351" s="143" t="n"/>
      <c r="F351" s="143" t="n"/>
      <c r="G351" s="144" t="n"/>
      <c r="H351" s="145">
        <f>IF(K351&lt;&gt;"", HYPERLINK("https://chatgpt.com/?prompt=" &amp; SUBSTITUTE(SUBSTITUTE(K351, " ", "+"), "&amp;", "dan") &amp; "&amp;force-refresh=true&amp;timestamp=" &amp; TEXT(NOW(), "yyyymmddhhmmss"), "👉 Klik untuk Generate Script! 🔥"), "")</f>
        <v/>
      </c>
      <c r="I351" s="143" t="n"/>
      <c r="J351" s="146" t="n"/>
      <c r="K351" s="130">
        <f>IF(AND(B351&lt;&gt;"", C351&lt;&gt;"", D351&lt;&gt;"", E351&lt;&gt;"", F351&lt;&gt;"", G351&lt;&gt;"", J351&lt;&gt;"", 'CONTENT PILLAR MAPPING'!C254&lt;&gt;"", 'CONTENT PILLAR MAPPING'!E254&lt;&gt;"", 'CONTENT PILLAR MAPPING'!F254&lt;&gt;"", 'CONTENT PILLAR MAPPING'!C257&lt;&gt;"", 'CONTENT PILLAR MAPPING'!C262&lt;&gt;"", 'CONTENT PILLAR MAPPING'!D262&lt;&gt;"", 'CONTENT PILLAR MAPPING'!E262&lt;&gt;"", 'CONTENT PILLAR MAPPING'!D270&lt;&gt;"", 'CONTENT PILLAR MAPPING'!D271&lt;&gt;""),
CONCATENATE(
"Sebagai seorang top konten kreator dengan niche utama '", 'CONTENT PILLAR MAPPING'!C254, "', spesifik kategori '", 'CONTENT PILLAR MAPPING'!E254, "', dan super spesifik '", 'CONTENT PILLAR MAPPING'!F254, "', yang dikenal sebagai '", 'CONTENT PILLAR MAPPING'!C257, "'.", CHAR(10),
"Saya memiliki Tone of Voice: '", 'CONTENT PILLAR MAPPING'!C262, "', Brand Archetype: '", 'CONTENT PILLAR MAPPING'!D262, "', dan Deskripsi Gaya Komunikasi: '", 'CONTENT PILLAR MAPPING'!E262, "'.", CHAR(10),
"Target audiens saya adalah: '", 'CONTENT PILLAR MAPPING'!D270, "', dengan segmentasi audiens: '", 'CONTENT PILLAR MAPPING'!D271, "'.", CHAR(10), CHAR(10),
"Mohon buatkan script konten yang **sangat powerful, menarik, inovatif, dan siap pakai** dengan judul ide '", B351, "'.", CHAR(10),
"Konten ini memiliki pilar '", C351, "', nilai tambah utama '", F351, "', dan akan menggunakan storytelling framework '", G351, "'.", CHAR(10),
"Gambaran singkat ide kontennya adalah: '", J351, "'.", CHAR(10),
"Konten ini akan diunggah di platform '", E351, "' dengan format '", D351,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MAPPING'!C257, "'.** Sesuaikan dengan gaya komunikasi saya, dengan fokus pada nilai tambah '", F351,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MAPPING'!D270, ", khusus ", 'CONTENT PILLAR MAPPING'!D271, ") dan membantu mereka menyelesaikan masalah atau mencapai tujuan mereka.", CHAR(10),
"✔ Membantuku membangun personal branding yang kuat dan sustainable, sesuai dengan Positioning saya sebagai '", 'CONTENT PILLAR MAPPING'!C257, "' dan Brand Archetype '", 'CONTENT PILLAR MAPPING'!D262, "'.", CHAR(10),
"✔ Kemas dalam bentuk tabel agar rapi, mudah di baca dan dipahami, dengan kolom 'Judul Konten', 'Pilar', 'Format', 'Draft Script', 'CTA', 'Saran Visual', dan 'Full Caption'. (Kosongkan kolom Link Prompt jika ada)."
),
"")</f>
        <v/>
      </c>
      <c r="L351" s="91" t="n"/>
      <c r="M351" s="91" t="n"/>
      <c r="N351" s="102" t="n"/>
      <c r="O351" s="102" t="n"/>
      <c r="P351" s="102" t="n"/>
      <c r="Q351" s="102" t="n"/>
      <c r="R351" s="102" t="n"/>
      <c r="S351" s="102" t="n"/>
      <c r="T351" s="102" t="n"/>
      <c r="U351" s="102" t="n"/>
      <c r="V351" s="102" t="n"/>
      <c r="W351" s="102" t="n"/>
      <c r="X351" s="102" t="n"/>
      <c r="Y351" s="102" t="n"/>
      <c r="Z351" s="102" t="n"/>
      <c r="AA351" s="102" t="n"/>
      <c r="AB351" s="102" t="n"/>
      <c r="AC351" s="102" t="n"/>
      <c r="AD351" s="102" t="n"/>
    </row>
    <row r="352" ht="15.75" customHeight="1" s="205">
      <c r="A352" s="102" t="n"/>
      <c r="B352" s="147" t="n"/>
      <c r="C352" s="144" t="n"/>
      <c r="D352" s="144" t="n"/>
      <c r="E352" s="144" t="n"/>
      <c r="F352" s="144" t="n"/>
      <c r="G352" s="144" t="n"/>
      <c r="H352" s="141">
        <f>IF(K352&lt;&gt;"", HYPERLINK("https://chatgpt.com/?prompt=" &amp; SUBSTITUTE(SUBSTITUTE(K352, " ", "+"), "&amp;", "dan") &amp; "&amp;force-refresh=true&amp;timestamp=" &amp; TEXT(NOW(), "yyyymmddhhmmss"), "👉 Klik untuk Generate Script! 🔥"), "")</f>
        <v/>
      </c>
      <c r="I352" s="144" t="n"/>
      <c r="J352" s="148" t="n"/>
      <c r="K352" s="140">
        <f>IF(AND(B352&lt;&gt;"", C352&lt;&gt;"", D352&lt;&gt;"", E352&lt;&gt;"", F352&lt;&gt;"", G352&lt;&gt;"", J352&lt;&gt;"", 'CONTENT PILLAR MAPPING'!C254&lt;&gt;"", 'CONTENT PILLAR MAPPING'!E254&lt;&gt;"", 'CONTENT PILLAR MAPPING'!F254&lt;&gt;"", 'CONTENT PILLAR MAPPING'!C257&lt;&gt;"", 'CONTENT PILLAR MAPPING'!C262&lt;&gt;"", 'CONTENT PILLAR MAPPING'!D262&lt;&gt;"", 'CONTENT PILLAR MAPPING'!E262&lt;&gt;"", 'CONTENT PILLAR MAPPING'!D270&lt;&gt;"", 'CONTENT PILLAR MAPPING'!D271&lt;&gt;""),
CONCATENATE(
"Sebagai seorang top konten kreator dengan niche utama '", 'CONTENT PILLAR MAPPING'!C254, "', spesifik kategori '", 'CONTENT PILLAR MAPPING'!E254, "', dan super spesifik '", 'CONTENT PILLAR MAPPING'!F254, "', yang dikenal sebagai '", 'CONTENT PILLAR MAPPING'!C257, "'.", CHAR(10),
"Saya memiliki Tone of Voice: '", 'CONTENT PILLAR MAPPING'!C262, "', Brand Archetype: '", 'CONTENT PILLAR MAPPING'!D262, "', dan Deskripsi Gaya Komunikasi: '", 'CONTENT PILLAR MAPPING'!E262, "'.", CHAR(10),
"Target audiens saya adalah: '", 'CONTENT PILLAR MAPPING'!D270, "', dengan segmentasi audiens: '", 'CONTENT PILLAR MAPPING'!D271, "'.", CHAR(10), CHAR(10),
"Mohon buatkan script konten yang **sangat powerful, menarik, inovatif, dan siap pakai** dengan judul ide '", B352, "'.", CHAR(10),
"Konten ini memiliki pilar '", C352, "', nilai tambah utama '", F352, "', dan akan menggunakan storytelling framework '", G352, "'.", CHAR(10),
"Gambaran singkat ide kontennya adalah: '", J352, "'.", CHAR(10),
"Konten ini akan diunggah di platform '", E352, "' dengan format '", D352,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MAPPING'!C257, "'.** Sesuaikan dengan gaya komunikasi saya, dengan fokus pada nilai tambah '", F352,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MAPPING'!D270, ", khusus ", 'CONTENT PILLAR MAPPING'!D271, ") dan membantu mereka menyelesaikan masalah atau mencapai tujuan mereka.", CHAR(10),
"✔ Membantuku membangun personal branding yang kuat dan sustainable, sesuai dengan Positioning saya sebagai '", 'CONTENT PILLAR MAPPING'!C257, "' dan Brand Archetype '", 'CONTENT PILLAR MAPPING'!D262, "'.", CHAR(10),
"✔ Kemas dalam bentuk tabel agar rapi, mudah di baca dan dipahami, dengan kolom 'Judul Konten', 'Pilar', 'Format', 'Draft Script', 'CTA', 'Saran Visual', dan 'Full Caption'. (Kosongkan kolom Link Prompt jika ada)."
),
"")</f>
        <v/>
      </c>
      <c r="L352" s="199" t="n"/>
      <c r="M352" s="199" t="n"/>
      <c r="N352" s="102" t="n"/>
      <c r="O352" s="102" t="n"/>
      <c r="P352" s="102" t="n"/>
      <c r="Q352" s="102" t="n"/>
      <c r="R352" s="102" t="n"/>
      <c r="S352" s="102" t="n"/>
      <c r="T352" s="102" t="n"/>
      <c r="U352" s="102" t="n"/>
      <c r="V352" s="102" t="n"/>
      <c r="W352" s="102" t="n"/>
      <c r="X352" s="102" t="n"/>
      <c r="Y352" s="102" t="n"/>
      <c r="Z352" s="102" t="n"/>
      <c r="AA352" s="102" t="n"/>
      <c r="AB352" s="102" t="n"/>
      <c r="AC352" s="102" t="n"/>
      <c r="AD352" s="102" t="n"/>
    </row>
    <row r="353" ht="15.75" customHeight="1" s="205">
      <c r="A353" s="102" t="n"/>
      <c r="B353" s="142" t="n"/>
      <c r="C353" s="143" t="n"/>
      <c r="D353" s="143" t="n"/>
      <c r="E353" s="143" t="n"/>
      <c r="F353" s="143" t="n"/>
      <c r="G353" s="144" t="n"/>
      <c r="H353" s="145">
        <f>IF(K353&lt;&gt;"", HYPERLINK("https://chatgpt.com/?prompt=" &amp; SUBSTITUTE(SUBSTITUTE(K353, " ", "+"), "&amp;", "dan") &amp; "&amp;force-refresh=true&amp;timestamp=" &amp; TEXT(NOW(), "yyyymmddhhmmss"), "👉 Klik untuk Generate Script! 🔥"), "")</f>
        <v/>
      </c>
      <c r="I353" s="143" t="n"/>
      <c r="J353" s="146" t="n"/>
      <c r="K353" s="130">
        <f>IF(AND(B353&lt;&gt;"", C353&lt;&gt;"", D353&lt;&gt;"", E353&lt;&gt;"", F353&lt;&gt;"", G353&lt;&gt;"", J353&lt;&gt;"", 'CONTENT PILLAR MAPPING'!C256&lt;&gt;"", 'CONTENT PILLAR MAPPING'!E256&lt;&gt;"", 'CONTENT PILLAR MAPPING'!F256&lt;&gt;"", 'CONTENT PILLAR MAPPING'!C259&lt;&gt;"", 'CONTENT PILLAR MAPPING'!C264&lt;&gt;"", 'CONTENT PILLAR MAPPING'!D264&lt;&gt;"", 'CONTENT PILLAR MAPPING'!E264&lt;&gt;"", 'CONTENT PILLAR MAPPING'!D272&lt;&gt;"", 'CONTENT PILLAR MAPPING'!D273&lt;&gt;""),
CONCATENATE(
"Sebagai seorang top konten kreator dengan niche utama '", 'CONTENT PILLAR MAPPING'!C256, "', spesifik kategori '", 'CONTENT PILLAR MAPPING'!E256, "', dan super spesifik '", 'CONTENT PILLAR MAPPING'!F256, "', yang dikenal sebagai '", 'CONTENT PILLAR MAPPING'!C259, "'.", CHAR(10),
"Saya memiliki Tone of Voice: '", 'CONTENT PILLAR MAPPING'!C264, "', Brand Archetype: '", 'CONTENT PILLAR MAPPING'!D264, "', dan Deskripsi Gaya Komunikasi: '", 'CONTENT PILLAR MAPPING'!E264, "'.", CHAR(10),
"Target audiens saya adalah: '", 'CONTENT PILLAR MAPPING'!D272, "', dengan segmentasi audiens: '", 'CONTENT PILLAR MAPPING'!D273, "'.", CHAR(10), CHAR(10),
"Mohon buatkan script konten yang **sangat powerful, menarik, inovatif, dan siap pakai** dengan judul ide '", B353, "'.", CHAR(10),
"Konten ini memiliki pilar '", C353, "', nilai tambah utama '", F353, "', dan akan menggunakan storytelling framework '", G353, "'.", CHAR(10),
"Gambaran singkat ide kontennya adalah: '", J353, "'.", CHAR(10),
"Konten ini akan diunggah di platform '", E353, "' dengan format '", D353,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MAPPING'!C259, "'.** Sesuaikan dengan gaya komunikasi saya, dengan fokus pada nilai tambah '", F353,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MAPPING'!D272, ", khusus ", 'CONTENT PILLAR MAPPING'!D273, ") dan membantu mereka menyelesaikan masalah atau mencapai tujuan mereka.", CHAR(10),
"✔ Membantuku membangun personal branding yang kuat dan sustainable, sesuai dengan Positioning saya sebagai '", 'CONTENT PILLAR MAPPING'!C259, "' dan Brand Archetype '", 'CONTENT PILLAR MAPPING'!D264, "'.", CHAR(10),
"✔ Kemas dalam bentuk tabel agar rapi, mudah di baca dan dipahami, dengan kolom 'Judul Konten', 'Pilar', 'Format', 'Draft Script', 'CTA', 'Saran Visual', dan 'Full Caption'. (Kosongkan kolom Link Prompt jika ada)."
),
"")</f>
        <v/>
      </c>
      <c r="L353" s="91" t="n"/>
      <c r="M353" s="91" t="n"/>
      <c r="N353" s="102" t="n"/>
      <c r="O353" s="102" t="n"/>
      <c r="P353" s="102" t="n"/>
      <c r="Q353" s="102" t="n"/>
      <c r="R353" s="102" t="n"/>
      <c r="S353" s="102" t="n"/>
      <c r="T353" s="102" t="n"/>
      <c r="U353" s="102" t="n"/>
      <c r="V353" s="102" t="n"/>
      <c r="W353" s="102" t="n"/>
      <c r="X353" s="102" t="n"/>
      <c r="Y353" s="102" t="n"/>
      <c r="Z353" s="102" t="n"/>
      <c r="AA353" s="102" t="n"/>
      <c r="AB353" s="102" t="n"/>
      <c r="AC353" s="102" t="n"/>
      <c r="AD353" s="102" t="n"/>
    </row>
    <row r="354" ht="15.75" customHeight="1" s="205">
      <c r="A354" s="102" t="n"/>
      <c r="B354" s="147" t="n"/>
      <c r="C354" s="144" t="n"/>
      <c r="D354" s="144" t="n"/>
      <c r="E354" s="144" t="n"/>
      <c r="F354" s="144" t="n"/>
      <c r="G354" s="144" t="n"/>
      <c r="H354" s="141">
        <f>IF(K354&lt;&gt;"", HYPERLINK("https://chatgpt.com/?prompt=" &amp; SUBSTITUTE(SUBSTITUTE(K354, " ", "+"), "&amp;", "dan") &amp; "&amp;force-refresh=true&amp;timestamp=" &amp; TEXT(NOW(), "yyyymmddhhmmss"), "👉 Klik untuk Generate Script! 🔥"), "")</f>
        <v/>
      </c>
      <c r="I354" s="144" t="n"/>
      <c r="J354" s="148" t="n"/>
      <c r="K354" s="140">
        <f>IF(AND(B354&lt;&gt;"", C354&lt;&gt;"", D354&lt;&gt;"", E354&lt;&gt;"", F354&lt;&gt;"", G354&lt;&gt;"", J354&lt;&gt;"", 'CONTENT PILLAR MAPPING'!C256&lt;&gt;"", 'CONTENT PILLAR MAPPING'!E256&lt;&gt;"", 'CONTENT PILLAR MAPPING'!F256&lt;&gt;"", 'CONTENT PILLAR MAPPING'!C259&lt;&gt;"", 'CONTENT PILLAR MAPPING'!C264&lt;&gt;"", 'CONTENT PILLAR MAPPING'!D264&lt;&gt;"", 'CONTENT PILLAR MAPPING'!E264&lt;&gt;"", 'CONTENT PILLAR MAPPING'!D272&lt;&gt;"", 'CONTENT PILLAR MAPPING'!D273&lt;&gt;""),
CONCATENATE(
"Sebagai seorang top konten kreator dengan niche utama '", 'CONTENT PILLAR MAPPING'!C256, "', spesifik kategori '", 'CONTENT PILLAR MAPPING'!E256, "', dan super spesifik '", 'CONTENT PILLAR MAPPING'!F256, "', yang dikenal sebagai '", 'CONTENT PILLAR MAPPING'!C259, "'.", CHAR(10),
"Saya memiliki Tone of Voice: '", 'CONTENT PILLAR MAPPING'!C264, "', Brand Archetype: '", 'CONTENT PILLAR MAPPING'!D264, "', dan Deskripsi Gaya Komunikasi: '", 'CONTENT PILLAR MAPPING'!E264, "'.", CHAR(10),
"Target audiens saya adalah: '", 'CONTENT PILLAR MAPPING'!D272, "', dengan segmentasi audiens: '", 'CONTENT PILLAR MAPPING'!D273, "'.", CHAR(10), CHAR(10),
"Mohon buatkan script konten yang **sangat powerful, menarik, inovatif, dan siap pakai** dengan judul ide '", B354, "'.", CHAR(10),
"Konten ini memiliki pilar '", C354, "', nilai tambah utama '", F354, "', dan akan menggunakan storytelling framework '", G354, "'.", CHAR(10),
"Gambaran singkat ide kontennya adalah: '", J354, "'.", CHAR(10),
"Konten ini akan diunggah di platform '", E354, "' dengan format '", D354,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MAPPING'!C259, "'.** Sesuaikan dengan gaya komunikasi saya, dengan fokus pada nilai tambah '", F354,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MAPPING'!D272, ", khusus ", 'CONTENT PILLAR MAPPING'!D273, ") dan membantu mereka menyelesaikan masalah atau mencapai tujuan mereka.", CHAR(10),
"✔ Membantuku membangun personal branding yang kuat dan sustainable, sesuai dengan Positioning saya sebagai '", 'CONTENT PILLAR MAPPING'!C259, "' dan Brand Archetype '", 'CONTENT PILLAR MAPPING'!D264, "'.", CHAR(10),
"✔ Kemas dalam bentuk tabel agar rapi, mudah di baca dan dipahami, dengan kolom 'Judul Konten', 'Pilar', 'Format', 'Draft Script', 'CTA', 'Saran Visual', dan 'Full Caption'. (Kosongkan kolom Link Prompt jika ada)."
),
"")</f>
        <v/>
      </c>
      <c r="L354" s="199" t="n"/>
      <c r="M354" s="199" t="n"/>
      <c r="N354" s="102" t="n"/>
      <c r="O354" s="102" t="n"/>
      <c r="P354" s="102" t="n"/>
      <c r="Q354" s="102" t="n"/>
      <c r="R354" s="102" t="n"/>
      <c r="S354" s="102" t="n"/>
      <c r="T354" s="102" t="n"/>
      <c r="U354" s="102" t="n"/>
      <c r="V354" s="102" t="n"/>
      <c r="W354" s="102" t="n"/>
      <c r="X354" s="102" t="n"/>
      <c r="Y354" s="102" t="n"/>
      <c r="Z354" s="102" t="n"/>
      <c r="AA354" s="102" t="n"/>
      <c r="AB354" s="102" t="n"/>
      <c r="AC354" s="102" t="n"/>
      <c r="AD354" s="102" t="n"/>
    </row>
    <row r="355" ht="15.75" customHeight="1" s="205">
      <c r="A355" s="102" t="n"/>
      <c r="B355" s="142" t="n"/>
      <c r="C355" s="143" t="n"/>
      <c r="D355" s="143" t="n"/>
      <c r="E355" s="143" t="n"/>
      <c r="F355" s="143" t="n"/>
      <c r="G355" s="144" t="n"/>
      <c r="H355" s="145">
        <f>IF(K355&lt;&gt;"", HYPERLINK("https://chatgpt.com/?prompt=" &amp; SUBSTITUTE(SUBSTITUTE(K355, " ", "+"), "&amp;", "dan") &amp; "&amp;force-refresh=true&amp;timestamp=" &amp; TEXT(NOW(), "yyyymmddhhmmss"), "👉 Klik untuk Generate Script! 🔥"), "")</f>
        <v/>
      </c>
      <c r="I355" s="143" t="n"/>
      <c r="J355" s="146" t="n"/>
      <c r="K355" s="130">
        <f>IF(AND(B355&lt;&gt;"", C355&lt;&gt;"", D355&lt;&gt;"", E355&lt;&gt;"", F355&lt;&gt;"", G355&lt;&gt;"", J355&lt;&gt;"", 'CONTENT PILLAR MAPPING'!C258&lt;&gt;"", 'CONTENT PILLAR MAPPING'!E258&lt;&gt;"", 'CONTENT PILLAR MAPPING'!F258&lt;&gt;"", 'CONTENT PILLAR MAPPING'!C261&lt;&gt;"", 'CONTENT PILLAR MAPPING'!C266&lt;&gt;"", 'CONTENT PILLAR MAPPING'!D266&lt;&gt;"", 'CONTENT PILLAR MAPPING'!E266&lt;&gt;"", 'CONTENT PILLAR MAPPING'!D274&lt;&gt;"", 'CONTENT PILLAR MAPPING'!D275&lt;&gt;""),
CONCATENATE(
"Sebagai seorang top konten kreator dengan niche utama '", 'CONTENT PILLAR MAPPING'!C258, "', spesifik kategori '", 'CONTENT PILLAR MAPPING'!E258, "', dan super spesifik '", 'CONTENT PILLAR MAPPING'!F258, "', yang dikenal sebagai '", 'CONTENT PILLAR MAPPING'!C261, "'.", CHAR(10),
"Saya memiliki Tone of Voice: '", 'CONTENT PILLAR MAPPING'!C266, "', Brand Archetype: '", 'CONTENT PILLAR MAPPING'!D266, "', dan Deskripsi Gaya Komunikasi: '", 'CONTENT PILLAR MAPPING'!E266, "'.", CHAR(10),
"Target audiens saya adalah: '", 'CONTENT PILLAR MAPPING'!D274, "', dengan segmentasi audiens: '", 'CONTENT PILLAR MAPPING'!D275, "'.", CHAR(10), CHAR(10),
"Mohon buatkan script konten yang **sangat powerful, menarik, inovatif, dan siap pakai** dengan judul ide '", B355, "'.", CHAR(10),
"Konten ini memiliki pilar '", C355, "', nilai tambah utama '", F355, "', dan akan menggunakan storytelling framework '", G355, "'.", CHAR(10),
"Gambaran singkat ide kontennya adalah: '", J355, "'.", CHAR(10),
"Konten ini akan diunggah di platform '", E355, "' dengan format '", D355,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MAPPING'!C261, "'.** Sesuaikan dengan gaya komunikasi saya, dengan fokus pada nilai tambah '", F355,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MAPPING'!D274, ", khusus ", 'CONTENT PILLAR MAPPING'!D275, ") dan membantu mereka menyelesaikan masalah atau mencapai tujuan mereka.", CHAR(10),
"✔ Membantuku membangun personal branding yang kuat dan sustainable, sesuai dengan Positioning saya sebagai '", 'CONTENT PILLAR MAPPING'!C261, "' dan Brand Archetype '", 'CONTENT PILLAR MAPPING'!D266, "'.", CHAR(10),
"✔ Kemas dalam bentuk tabel agar rapi, mudah di baca dan dipahami, dengan kolom 'Judul Konten', 'Pilar', 'Format', 'Draft Script', 'CTA', 'Saran Visual', dan 'Full Caption'. (Kosongkan kolom Link Prompt jika ada)."
),
"")</f>
        <v/>
      </c>
      <c r="L355" s="91" t="n"/>
      <c r="M355" s="91" t="n"/>
      <c r="N355" s="102" t="n"/>
      <c r="O355" s="102" t="n"/>
      <c r="P355" s="102" t="n"/>
      <c r="Q355" s="102" t="n"/>
      <c r="R355" s="102" t="n"/>
      <c r="S355" s="102" t="n"/>
      <c r="T355" s="102" t="n"/>
      <c r="U355" s="102" t="n"/>
      <c r="V355" s="102" t="n"/>
      <c r="W355" s="102" t="n"/>
      <c r="X355" s="102" t="n"/>
      <c r="Y355" s="102" t="n"/>
      <c r="Z355" s="102" t="n"/>
      <c r="AA355" s="102" t="n"/>
      <c r="AB355" s="102" t="n"/>
      <c r="AC355" s="102" t="n"/>
      <c r="AD355" s="102" t="n"/>
    </row>
    <row r="356" ht="15.75" customHeight="1" s="205">
      <c r="A356" s="102" t="n"/>
      <c r="B356" s="147" t="n"/>
      <c r="C356" s="144" t="n"/>
      <c r="D356" s="144" t="n"/>
      <c r="E356" s="144" t="n"/>
      <c r="F356" s="144" t="n"/>
      <c r="G356" s="144" t="n"/>
      <c r="H356" s="141">
        <f>IF(K356&lt;&gt;"", HYPERLINK("https://chatgpt.com/?prompt=" &amp; SUBSTITUTE(SUBSTITUTE(K356, " ", "+"), "&amp;", "dan") &amp; "&amp;force-refresh=true&amp;timestamp=" &amp; TEXT(NOW(), "yyyymmddhhmmss"), "👉 Klik untuk Generate Script! 🔥"), "")</f>
        <v/>
      </c>
      <c r="I356" s="144" t="n"/>
      <c r="J356" s="148" t="n"/>
      <c r="K356" s="140">
        <f>IF(AND(B356&lt;&gt;"", C356&lt;&gt;"", D356&lt;&gt;"", E356&lt;&gt;"", F356&lt;&gt;"", G356&lt;&gt;"", J356&lt;&gt;"", 'CONTENT PILLAR MAPPING'!C258&lt;&gt;"", 'CONTENT PILLAR MAPPING'!E258&lt;&gt;"", 'CONTENT PILLAR MAPPING'!F258&lt;&gt;"", 'CONTENT PILLAR MAPPING'!C261&lt;&gt;"", 'CONTENT PILLAR MAPPING'!C266&lt;&gt;"", 'CONTENT PILLAR MAPPING'!D266&lt;&gt;"", 'CONTENT PILLAR MAPPING'!E266&lt;&gt;"", 'CONTENT PILLAR MAPPING'!D274&lt;&gt;"", 'CONTENT PILLAR MAPPING'!D275&lt;&gt;""),
CONCATENATE(
"Sebagai seorang top konten kreator dengan niche utama '", 'CONTENT PILLAR MAPPING'!C258, "', spesifik kategori '", 'CONTENT PILLAR MAPPING'!E258, "', dan super spesifik '", 'CONTENT PILLAR MAPPING'!F258, "', yang dikenal sebagai '", 'CONTENT PILLAR MAPPING'!C261, "'.", CHAR(10),
"Saya memiliki Tone of Voice: '", 'CONTENT PILLAR MAPPING'!C266, "', Brand Archetype: '", 'CONTENT PILLAR MAPPING'!D266, "', dan Deskripsi Gaya Komunikasi: '", 'CONTENT PILLAR MAPPING'!E266, "'.", CHAR(10),
"Target audiens saya adalah: '", 'CONTENT PILLAR MAPPING'!D274, "', dengan segmentasi audiens: '", 'CONTENT PILLAR MAPPING'!D275, "'.", CHAR(10), CHAR(10),
"Mohon buatkan script konten yang **sangat powerful, menarik, inovatif, dan siap pakai** dengan judul ide '", B356, "'.", CHAR(10),
"Konten ini memiliki pilar '", C356, "', nilai tambah utama '", F356, "', dan akan menggunakan storytelling framework '", G356, "'.", CHAR(10),
"Gambaran singkat ide kontennya adalah: '", J356, "'.", CHAR(10),
"Konten ini akan diunggah di platform '", E356, "' dengan format '", D356,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MAPPING'!C261, "'.** Sesuaikan dengan gaya komunikasi saya, dengan fokus pada nilai tambah '", F356,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MAPPING'!D274, ", khusus ", 'CONTENT PILLAR MAPPING'!D275, ") dan membantu mereka menyelesaikan masalah atau mencapai tujuan mereka.", CHAR(10),
"✔ Membantuku membangun personal branding yang kuat dan sustainable, sesuai dengan Positioning saya sebagai '", 'CONTENT PILLAR MAPPING'!C261, "' dan Brand Archetype '", 'CONTENT PILLAR MAPPING'!D266, "'.", CHAR(10),
"✔ Kemas dalam bentuk tabel agar rapi, mudah di baca dan dipahami, dengan kolom 'Judul Konten', 'Pilar', 'Format', 'Draft Script', 'CTA', 'Saran Visual', dan 'Full Caption'. (Kosongkan kolom Link Prompt jika ada)."
),
"")</f>
        <v/>
      </c>
      <c r="L356" s="199" t="n"/>
      <c r="M356" s="199" t="n"/>
      <c r="N356" s="102" t="n"/>
      <c r="O356" s="102" t="n"/>
      <c r="P356" s="102" t="n"/>
      <c r="Q356" s="102" t="n"/>
      <c r="R356" s="102" t="n"/>
      <c r="S356" s="102" t="n"/>
      <c r="T356" s="102" t="n"/>
      <c r="U356" s="102" t="n"/>
      <c r="V356" s="102" t="n"/>
      <c r="W356" s="102" t="n"/>
      <c r="X356" s="102" t="n"/>
      <c r="Y356" s="102" t="n"/>
      <c r="Z356" s="102" t="n"/>
      <c r="AA356" s="102" t="n"/>
      <c r="AB356" s="102" t="n"/>
      <c r="AC356" s="102" t="n"/>
      <c r="AD356" s="102" t="n"/>
    </row>
    <row r="357" ht="15.75" customHeight="1" s="205">
      <c r="A357" s="102" t="n"/>
      <c r="B357" s="142" t="n"/>
      <c r="C357" s="143" t="n"/>
      <c r="D357" s="143" t="n"/>
      <c r="E357" s="143" t="n"/>
      <c r="F357" s="143" t="n"/>
      <c r="G357" s="144" t="n"/>
      <c r="H357" s="145">
        <f>IF(K357&lt;&gt;"", HYPERLINK("https://chatgpt.com/?prompt=" &amp; SUBSTITUTE(SUBSTITUTE(K357, " ", "+"), "&amp;", "dan") &amp; "&amp;force-refresh=true&amp;timestamp=" &amp; TEXT(NOW(), "yyyymmddhhmmss"), "👉 Klik untuk Generate Script! 🔥"), "")</f>
        <v/>
      </c>
      <c r="I357" s="143" t="n"/>
      <c r="J357" s="146" t="n"/>
      <c r="K357" s="130">
        <f>IF(AND(B357&lt;&gt;"", C357&lt;&gt;"", D357&lt;&gt;"", E357&lt;&gt;"", F357&lt;&gt;"", G357&lt;&gt;"", J357&lt;&gt;"", 'CONTENT PILLAR MAPPING'!C260&lt;&gt;"", 'CONTENT PILLAR MAPPING'!E260&lt;&gt;"", 'CONTENT PILLAR MAPPING'!F260&lt;&gt;"", 'CONTENT PILLAR MAPPING'!C263&lt;&gt;"", 'CONTENT PILLAR MAPPING'!C268&lt;&gt;"", 'CONTENT PILLAR MAPPING'!D268&lt;&gt;"", 'CONTENT PILLAR MAPPING'!E268&lt;&gt;"", 'CONTENT PILLAR MAPPING'!D276&lt;&gt;"", 'CONTENT PILLAR MAPPING'!D277&lt;&gt;""),
CONCATENATE(
"Sebagai seorang top konten kreator dengan niche utama '", 'CONTENT PILLAR MAPPING'!C260, "', spesifik kategori '", 'CONTENT PILLAR MAPPING'!E260, "', dan super spesifik '", 'CONTENT PILLAR MAPPING'!F260, "', yang dikenal sebagai '", 'CONTENT PILLAR MAPPING'!C263, "'.", CHAR(10),
"Saya memiliki Tone of Voice: '", 'CONTENT PILLAR MAPPING'!C268, "', Brand Archetype: '", 'CONTENT PILLAR MAPPING'!D268, "', dan Deskripsi Gaya Komunikasi: '", 'CONTENT PILLAR MAPPING'!E268, "'.", CHAR(10),
"Target audiens saya adalah: '", 'CONTENT PILLAR MAPPING'!D276, "', dengan segmentasi audiens: '", 'CONTENT PILLAR MAPPING'!D277, "'.", CHAR(10), CHAR(10),
"Mohon buatkan script konten yang **sangat powerful, menarik, inovatif, dan siap pakai** dengan judul ide '", B357, "'.", CHAR(10),
"Konten ini memiliki pilar '", C357, "', nilai tambah utama '", F357, "', dan akan menggunakan storytelling framework '", G357, "'.", CHAR(10),
"Gambaran singkat ide kontennya adalah: '", J357, "'.", CHAR(10),
"Konten ini akan diunggah di platform '", E357, "' dengan format '", D357,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MAPPING'!C263, "'.** Sesuaikan dengan gaya komunikasi saya, dengan fokus pada nilai tambah '", F357,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MAPPING'!D276, ", khusus ", 'CONTENT PILLAR MAPPING'!D277, ") dan membantu mereka menyelesaikan masalah atau mencapai tujuan mereka.", CHAR(10),
"✔ Membantuku membangun personal branding yang kuat dan sustainable, sesuai dengan Positioning saya sebagai '", 'CONTENT PILLAR MAPPING'!C263, "' dan Brand Archetype '", 'CONTENT PILLAR MAPPING'!D268, "'.", CHAR(10),
"✔ Kemas dalam bentuk tabel agar rapi, mudah di baca dan dipahami, dengan kolom 'Judul Konten', 'Pilar', 'Format', 'Draft Script', 'CTA', 'Saran Visual', dan 'Full Caption'. (Kosongkan kolom Link Prompt jika ada)."
),
"")</f>
        <v/>
      </c>
      <c r="L357" s="91" t="n"/>
      <c r="M357" s="91" t="n"/>
      <c r="N357" s="102" t="n"/>
      <c r="O357" s="102" t="n"/>
      <c r="P357" s="102" t="n"/>
      <c r="Q357" s="102" t="n"/>
      <c r="R357" s="102" t="n"/>
      <c r="S357" s="102" t="n"/>
      <c r="T357" s="102" t="n"/>
      <c r="U357" s="102" t="n"/>
      <c r="V357" s="102" t="n"/>
      <c r="W357" s="102" t="n"/>
      <c r="X357" s="102" t="n"/>
      <c r="Y357" s="102" t="n"/>
      <c r="Z357" s="102" t="n"/>
      <c r="AA357" s="102" t="n"/>
      <c r="AB357" s="102" t="n"/>
      <c r="AC357" s="102" t="n"/>
      <c r="AD357" s="102" t="n"/>
    </row>
    <row r="358" ht="15.75" customHeight="1" s="205">
      <c r="A358" s="102" t="n"/>
      <c r="B358" s="147" t="n"/>
      <c r="C358" s="144" t="n"/>
      <c r="D358" s="144" t="n"/>
      <c r="E358" s="144" t="n"/>
      <c r="F358" s="144" t="n"/>
      <c r="G358" s="144" t="n"/>
      <c r="H358" s="141">
        <f>IF(K358&lt;&gt;"", HYPERLINK("https://chatgpt.com/?prompt=" &amp; SUBSTITUTE(SUBSTITUTE(K358, " ", "+"), "&amp;", "dan") &amp; "&amp;force-refresh=true&amp;timestamp=" &amp; TEXT(NOW(), "yyyymmddhhmmss"), "👉 Klik untuk Generate Script! 🔥"), "")</f>
        <v/>
      </c>
      <c r="I358" s="144" t="n"/>
      <c r="J358" s="148" t="n"/>
      <c r="K358" s="140">
        <f>IF(AND(B358&lt;&gt;"", C358&lt;&gt;"", D358&lt;&gt;"", E358&lt;&gt;"", F358&lt;&gt;"", G358&lt;&gt;"", J358&lt;&gt;"", 'CONTENT PILLAR MAPPING'!C260&lt;&gt;"", 'CONTENT PILLAR MAPPING'!E260&lt;&gt;"", 'CONTENT PILLAR MAPPING'!F260&lt;&gt;"", 'CONTENT PILLAR MAPPING'!C263&lt;&gt;"", 'CONTENT PILLAR MAPPING'!C268&lt;&gt;"", 'CONTENT PILLAR MAPPING'!D268&lt;&gt;"", 'CONTENT PILLAR MAPPING'!E268&lt;&gt;"", 'CONTENT PILLAR MAPPING'!D276&lt;&gt;"", 'CONTENT PILLAR MAPPING'!D277&lt;&gt;""),
CONCATENATE(
"Sebagai seorang top konten kreator dengan niche utama '", 'CONTENT PILLAR MAPPING'!C260, "', spesifik kategori '", 'CONTENT PILLAR MAPPING'!E260, "', dan super spesifik '", 'CONTENT PILLAR MAPPING'!F260, "', yang dikenal sebagai '", 'CONTENT PILLAR MAPPING'!C263, "'.", CHAR(10),
"Saya memiliki Tone of Voice: '", 'CONTENT PILLAR MAPPING'!C268, "', Brand Archetype: '", 'CONTENT PILLAR MAPPING'!D268, "', dan Deskripsi Gaya Komunikasi: '", 'CONTENT PILLAR MAPPING'!E268, "'.", CHAR(10),
"Target audiens saya adalah: '", 'CONTENT PILLAR MAPPING'!D276, "', dengan segmentasi audiens: '", 'CONTENT PILLAR MAPPING'!D277, "'.", CHAR(10), CHAR(10),
"Mohon buatkan script konten yang **sangat powerful, menarik, inovatif, dan siap pakai** dengan judul ide '", B358, "'.", CHAR(10),
"Konten ini memiliki pilar '", C358, "', nilai tambah utama '", F358, "', dan akan menggunakan storytelling framework '", G358, "'.", CHAR(10),
"Gambaran singkat ide kontennya adalah: '", J358, "'.", CHAR(10),
"Konten ini akan diunggah di platform '", E358, "' dengan format '", D358,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MAPPING'!C263, "'.** Sesuaikan dengan gaya komunikasi saya, dengan fokus pada nilai tambah '", F358,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MAPPING'!D276, ", khusus ", 'CONTENT PILLAR MAPPING'!D277, ") dan membantu mereka menyelesaikan masalah atau mencapai tujuan mereka.", CHAR(10),
"✔ Membantuku membangun personal branding yang kuat dan sustainable, sesuai dengan Positioning saya sebagai '", 'CONTENT PILLAR MAPPING'!C263, "' dan Brand Archetype '", 'CONTENT PILLAR MAPPING'!D268, "'.", CHAR(10),
"✔ Kemas dalam bentuk tabel agar rapi, mudah di baca dan dipahami, dengan kolom 'Judul Konten', 'Pilar', 'Format', 'Draft Script', 'CTA', 'Saran Visual', dan 'Full Caption'. (Kosongkan kolom Link Prompt jika ada)."
),
"")</f>
        <v/>
      </c>
      <c r="L358" s="199" t="n"/>
      <c r="M358" s="199" t="n"/>
      <c r="N358" s="102" t="n"/>
      <c r="O358" s="102" t="n"/>
      <c r="P358" s="102" t="n"/>
      <c r="Q358" s="102" t="n"/>
      <c r="R358" s="102" t="n"/>
      <c r="S358" s="102" t="n"/>
      <c r="T358" s="102" t="n"/>
      <c r="U358" s="102" t="n"/>
      <c r="V358" s="102" t="n"/>
      <c r="W358" s="102" t="n"/>
      <c r="X358" s="102" t="n"/>
      <c r="Y358" s="102" t="n"/>
      <c r="Z358" s="102" t="n"/>
      <c r="AA358" s="102" t="n"/>
      <c r="AB358" s="102" t="n"/>
      <c r="AC358" s="102" t="n"/>
      <c r="AD358" s="102" t="n"/>
    </row>
    <row r="359" ht="15.75" customHeight="1" s="205">
      <c r="A359" s="102" t="n"/>
      <c r="B359" s="142" t="n"/>
      <c r="C359" s="143" t="n"/>
      <c r="D359" s="143" t="n"/>
      <c r="E359" s="143" t="n"/>
      <c r="F359" s="143" t="n"/>
      <c r="G359" s="144" t="n"/>
      <c r="H359" s="145">
        <f>IF(K359&lt;&gt;"", HYPERLINK("https://chatgpt.com/?prompt=" &amp; SUBSTITUTE(SUBSTITUTE(K359, " ", "+"), "&amp;", "dan") &amp; "&amp;force-refresh=true&amp;timestamp=" &amp; TEXT(NOW(), "yyyymmddhhmmss"), "👉 Klik untuk Generate Script! 🔥"), "")</f>
        <v/>
      </c>
      <c r="I359" s="143" t="n"/>
      <c r="J359" s="146" t="n"/>
      <c r="K359" s="130">
        <f>IF(AND(B359&lt;&gt;"", C359&lt;&gt;"", D359&lt;&gt;"", E359&lt;&gt;"", F359&lt;&gt;"", G359&lt;&gt;"", J359&lt;&gt;"", 'CONTENT PILLAR MAPPING'!C262&lt;&gt;"", 'CONTENT PILLAR MAPPING'!E262&lt;&gt;"", 'CONTENT PILLAR MAPPING'!F262&lt;&gt;"", 'CONTENT PILLAR MAPPING'!C265&lt;&gt;"", 'CONTENT PILLAR MAPPING'!C270&lt;&gt;"", 'CONTENT PILLAR MAPPING'!D270&lt;&gt;"", 'CONTENT PILLAR MAPPING'!E270&lt;&gt;"", 'CONTENT PILLAR MAPPING'!D278&lt;&gt;"", 'CONTENT PILLAR MAPPING'!D279&lt;&gt;""),
CONCATENATE(
"Sebagai seorang top konten kreator dengan niche utama '", 'CONTENT PILLAR MAPPING'!C262, "', spesifik kategori '", 'CONTENT PILLAR MAPPING'!E262, "', dan super spesifik '", 'CONTENT PILLAR MAPPING'!F262, "', yang dikenal sebagai '", 'CONTENT PILLAR MAPPING'!C265, "'.", CHAR(10),
"Saya memiliki Tone of Voice: '", 'CONTENT PILLAR MAPPING'!C270, "', Brand Archetype: '", 'CONTENT PILLAR MAPPING'!D270, "', dan Deskripsi Gaya Komunikasi: '", 'CONTENT PILLAR MAPPING'!E270, "'.", CHAR(10),
"Target audiens saya adalah: '", 'CONTENT PILLAR MAPPING'!D278, "', dengan segmentasi audiens: '", 'CONTENT PILLAR MAPPING'!D279, "'.", CHAR(10), CHAR(10),
"Mohon buatkan script konten yang **sangat powerful, menarik, inovatif, dan siap pakai** dengan judul ide '", B359, "'.", CHAR(10),
"Konten ini memiliki pilar '", C359, "', nilai tambah utama '", F359, "', dan akan menggunakan storytelling framework '", G359, "'.", CHAR(10),
"Gambaran singkat ide kontennya adalah: '", J359, "'.", CHAR(10),
"Konten ini akan diunggah di platform '", E359, "' dengan format '", D359,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MAPPING'!C265, "'.** Sesuaikan dengan gaya komunikasi saya, dengan fokus pada nilai tambah '", F359,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MAPPING'!D278, ", khusus ", 'CONTENT PILLAR MAPPING'!D279, ") dan membantu mereka menyelesaikan masalah atau mencapai tujuan mereka.", CHAR(10),
"✔ Membantuku membangun personal branding yang kuat dan sustainable, sesuai dengan Positioning saya sebagai '", 'CONTENT PILLAR MAPPING'!C265, "' dan Brand Archetype '", 'CONTENT PILLAR MAPPING'!D270, "'.", CHAR(10),
"✔ Kemas dalam bentuk tabel agar rapi, mudah di baca dan dipahami, dengan kolom 'Judul Konten', 'Pilar', 'Format', 'Draft Script', 'CTA', 'Saran Visual', dan 'Full Caption'. (Kosongkan kolom Link Prompt jika ada)."
),
"")</f>
        <v/>
      </c>
      <c r="L359" s="91" t="n"/>
      <c r="M359" s="91" t="n"/>
      <c r="N359" s="102" t="n"/>
      <c r="O359" s="102" t="n"/>
      <c r="P359" s="102" t="n"/>
      <c r="Q359" s="102" t="n"/>
      <c r="R359" s="102" t="n"/>
      <c r="S359" s="102" t="n"/>
      <c r="T359" s="102" t="n"/>
      <c r="U359" s="102" t="n"/>
      <c r="V359" s="102" t="n"/>
      <c r="W359" s="102" t="n"/>
      <c r="X359" s="102" t="n"/>
      <c r="Y359" s="102" t="n"/>
      <c r="Z359" s="102" t="n"/>
      <c r="AA359" s="102" t="n"/>
      <c r="AB359" s="102" t="n"/>
      <c r="AC359" s="102" t="n"/>
      <c r="AD359" s="102" t="n"/>
    </row>
    <row r="360" ht="15.75" customHeight="1" s="205">
      <c r="A360" s="102" t="n"/>
      <c r="B360" s="147" t="n"/>
      <c r="C360" s="144" t="n"/>
      <c r="D360" s="144" t="n"/>
      <c r="E360" s="144" t="n"/>
      <c r="F360" s="144" t="n"/>
      <c r="G360" s="144" t="n"/>
      <c r="H360" s="141">
        <f>IF(K360&lt;&gt;"", HYPERLINK("https://chatgpt.com/?prompt=" &amp; SUBSTITUTE(SUBSTITUTE(K360, " ", "+"), "&amp;", "dan") &amp; "&amp;force-refresh=true&amp;timestamp=" &amp; TEXT(NOW(), "yyyymmddhhmmss"), "👉 Klik untuk Generate Script! 🔥"), "")</f>
        <v/>
      </c>
      <c r="I360" s="144" t="n"/>
      <c r="J360" s="148" t="n"/>
      <c r="K360" s="140">
        <f>IF(AND(B360&lt;&gt;"", C360&lt;&gt;"", D360&lt;&gt;"", E360&lt;&gt;"", F360&lt;&gt;"", G360&lt;&gt;"", J360&lt;&gt;"", 'CONTENT PILLAR MAPPING'!C262&lt;&gt;"", 'CONTENT PILLAR MAPPING'!E262&lt;&gt;"", 'CONTENT PILLAR MAPPING'!F262&lt;&gt;"", 'CONTENT PILLAR MAPPING'!C265&lt;&gt;"", 'CONTENT PILLAR MAPPING'!C270&lt;&gt;"", 'CONTENT PILLAR MAPPING'!D270&lt;&gt;"", 'CONTENT PILLAR MAPPING'!E270&lt;&gt;"", 'CONTENT PILLAR MAPPING'!D278&lt;&gt;"", 'CONTENT PILLAR MAPPING'!D279&lt;&gt;""),
CONCATENATE(
"Sebagai seorang top konten kreator dengan niche utama '", 'CONTENT PILLAR MAPPING'!C262, "', spesifik kategori '", 'CONTENT PILLAR MAPPING'!E262, "', dan super spesifik '", 'CONTENT PILLAR MAPPING'!F262, "', yang dikenal sebagai '", 'CONTENT PILLAR MAPPING'!C265, "'.", CHAR(10),
"Saya memiliki Tone of Voice: '", 'CONTENT PILLAR MAPPING'!C270, "', Brand Archetype: '", 'CONTENT PILLAR MAPPING'!D270, "', dan Deskripsi Gaya Komunikasi: '", 'CONTENT PILLAR MAPPING'!E270, "'.", CHAR(10),
"Target audiens saya adalah: '", 'CONTENT PILLAR MAPPING'!D278, "', dengan segmentasi audiens: '", 'CONTENT PILLAR MAPPING'!D279, "'.", CHAR(10), CHAR(10),
"Mohon buatkan script konten yang **sangat powerful, menarik, inovatif, dan siap pakai** dengan judul ide '", B360, "'.", CHAR(10),
"Konten ini memiliki pilar '", C360, "', nilai tambah utama '", F360, "', dan akan menggunakan storytelling framework '", G360, "'.", CHAR(10),
"Gambaran singkat ide kontennya adalah: '", J360, "'.", CHAR(10),
"Konten ini akan diunggah di platform '", E360, "' dengan format '", D360,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MAPPING'!C265, "'.** Sesuaikan dengan gaya komunikasi saya, dengan fokus pada nilai tambah '", F360,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MAPPING'!D278, ", khusus ", 'CONTENT PILLAR MAPPING'!D279, ") dan membantu mereka menyelesaikan masalah atau mencapai tujuan mereka.", CHAR(10),
"✔ Membantuku membangun personal branding yang kuat dan sustainable, sesuai dengan Positioning saya sebagai '", 'CONTENT PILLAR MAPPING'!C265, "' dan Brand Archetype '", 'CONTENT PILLAR MAPPING'!D270, "'.", CHAR(10),
"✔ Kemas dalam bentuk tabel agar rapi, mudah di baca dan dipahami, dengan kolom 'Judul Konten', 'Pilar', 'Format', 'Draft Script', 'CTA', 'Saran Visual', dan 'Full Caption'. (Kosongkan kolom Link Prompt jika ada)."
),
"")</f>
        <v/>
      </c>
      <c r="L360" s="199" t="n"/>
      <c r="M360" s="199" t="n"/>
      <c r="N360" s="102" t="n"/>
      <c r="O360" s="102" t="n"/>
      <c r="P360" s="102" t="n"/>
      <c r="Q360" s="102" t="n"/>
      <c r="R360" s="102" t="n"/>
      <c r="S360" s="102" t="n"/>
      <c r="T360" s="102" t="n"/>
      <c r="U360" s="102" t="n"/>
      <c r="V360" s="102" t="n"/>
      <c r="W360" s="102" t="n"/>
      <c r="X360" s="102" t="n"/>
      <c r="Y360" s="102" t="n"/>
      <c r="Z360" s="102" t="n"/>
      <c r="AA360" s="102" t="n"/>
      <c r="AB360" s="102" t="n"/>
      <c r="AC360" s="102" t="n"/>
      <c r="AD360" s="102" t="n"/>
    </row>
    <row r="361" ht="15.75" customHeight="1" s="205">
      <c r="A361" s="102" t="n"/>
      <c r="B361" s="142" t="n"/>
      <c r="C361" s="143" t="n"/>
      <c r="D361" s="143" t="n"/>
      <c r="E361" s="143" t="n"/>
      <c r="F361" s="143" t="n"/>
      <c r="G361" s="144" t="n"/>
      <c r="H361" s="145">
        <f>IF(K361&lt;&gt;"", HYPERLINK("https://chatgpt.com/?prompt=" &amp; SUBSTITUTE(SUBSTITUTE(K361, " ", "+"), "&amp;", "dan") &amp; "&amp;force-refresh=true&amp;timestamp=" &amp; TEXT(NOW(), "yyyymmddhhmmss"), "👉 Klik untuk Generate Script! 🔥"), "")</f>
        <v/>
      </c>
      <c r="I361" s="143" t="n"/>
      <c r="J361" s="146" t="n"/>
      <c r="K361" s="130">
        <f>IF(AND(B361&lt;&gt;"", C361&lt;&gt;"", D361&lt;&gt;"", E361&lt;&gt;"", F361&lt;&gt;"", G361&lt;&gt;"", J361&lt;&gt;"", 'CONTENT PILLAR MAPPING'!C264&lt;&gt;"", 'CONTENT PILLAR MAPPING'!E264&lt;&gt;"", 'CONTENT PILLAR MAPPING'!F264&lt;&gt;"", 'CONTENT PILLAR MAPPING'!C267&lt;&gt;"", 'CONTENT PILLAR MAPPING'!C272&lt;&gt;"", 'CONTENT PILLAR MAPPING'!D272&lt;&gt;"", 'CONTENT PILLAR MAPPING'!E272&lt;&gt;"", 'CONTENT PILLAR MAPPING'!D280&lt;&gt;"", 'CONTENT PILLAR MAPPING'!D281&lt;&gt;""),
CONCATENATE(
"Sebagai seorang top konten kreator dengan niche utama '", 'CONTENT PILLAR MAPPING'!C264, "', spesifik kategori '", 'CONTENT PILLAR MAPPING'!E264, "', dan super spesifik '", 'CONTENT PILLAR MAPPING'!F264, "', yang dikenal sebagai '", 'CONTENT PILLAR MAPPING'!C267, "'.", CHAR(10),
"Saya memiliki Tone of Voice: '", 'CONTENT PILLAR MAPPING'!C272, "', Brand Archetype: '", 'CONTENT PILLAR MAPPING'!D272, "', dan Deskripsi Gaya Komunikasi: '", 'CONTENT PILLAR MAPPING'!E272, "'.", CHAR(10),
"Target audiens saya adalah: '", 'CONTENT PILLAR MAPPING'!D280, "', dengan segmentasi audiens: '", 'CONTENT PILLAR MAPPING'!D281, "'.", CHAR(10), CHAR(10),
"Mohon buatkan script konten yang **sangat powerful, menarik, inovatif, dan siap pakai** dengan judul ide '", B361, "'.", CHAR(10),
"Konten ini memiliki pilar '", C361, "', nilai tambah utama '", F361, "', dan akan menggunakan storytelling framework '", G361, "'.", CHAR(10),
"Gambaran singkat ide kontennya adalah: '", J361, "'.", CHAR(10),
"Konten ini akan diunggah di platform '", E361, "' dengan format '", D361,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MAPPING'!C267, "'.** Sesuaikan dengan gaya komunikasi saya, dengan fokus pada nilai tambah '", F361,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MAPPING'!D280, ", khusus ", 'CONTENT PILLAR MAPPING'!D281, ") dan membantu mereka menyelesaikan masalah atau mencapai tujuan mereka.", CHAR(10),
"✔ Membantuku membangun personal branding yang kuat dan sustainable, sesuai dengan Positioning saya sebagai '", 'CONTENT PILLAR MAPPING'!C267, "' dan Brand Archetype '", 'CONTENT PILLAR MAPPING'!D272, "'.", CHAR(10),
"✔ Kemas dalam bentuk tabel agar rapi, mudah di baca dan dipahami, dengan kolom 'Judul Konten', 'Pilar', 'Format', 'Draft Script', 'CTA', 'Saran Visual', dan 'Full Caption'. (Kosongkan kolom Link Prompt jika ada)."
),
"")</f>
        <v/>
      </c>
      <c r="L361" s="91" t="n"/>
      <c r="M361" s="91" t="n"/>
      <c r="N361" s="102" t="n"/>
      <c r="O361" s="102" t="n"/>
      <c r="P361" s="102" t="n"/>
      <c r="Q361" s="102" t="n"/>
      <c r="R361" s="102" t="n"/>
      <c r="S361" s="102" t="n"/>
      <c r="T361" s="102" t="n"/>
      <c r="U361" s="102" t="n"/>
      <c r="V361" s="102" t="n"/>
      <c r="W361" s="102" t="n"/>
      <c r="X361" s="102" t="n"/>
      <c r="Y361" s="102" t="n"/>
      <c r="Z361" s="102" t="n"/>
      <c r="AA361" s="102" t="n"/>
      <c r="AB361" s="102" t="n"/>
      <c r="AC361" s="102" t="n"/>
      <c r="AD361" s="102" t="n"/>
    </row>
    <row r="362" ht="15.75" customHeight="1" s="205">
      <c r="A362" s="102" t="n"/>
      <c r="B362" s="147" t="n"/>
      <c r="C362" s="144" t="n"/>
      <c r="D362" s="144" t="n"/>
      <c r="E362" s="144" t="n"/>
      <c r="F362" s="144" t="n"/>
      <c r="G362" s="144" t="n"/>
      <c r="H362" s="141">
        <f>IF(K362&lt;&gt;"", HYPERLINK("https://chatgpt.com/?prompt=" &amp; SUBSTITUTE(SUBSTITUTE(K362, " ", "+"), "&amp;", "dan") &amp; "&amp;force-refresh=true&amp;timestamp=" &amp; TEXT(NOW(), "yyyymmddhhmmss"), "👉 Klik untuk Generate Script! 🔥"), "")</f>
        <v/>
      </c>
      <c r="I362" s="144" t="n"/>
      <c r="J362" s="148" t="n"/>
      <c r="K362" s="140">
        <f>IF(AND(B362&lt;&gt;"", C362&lt;&gt;"", D362&lt;&gt;"", E362&lt;&gt;"", F362&lt;&gt;"", G362&lt;&gt;"", J362&lt;&gt;"", 'CONTENT PILLAR MAPPING'!C264&lt;&gt;"", 'CONTENT PILLAR MAPPING'!E264&lt;&gt;"", 'CONTENT PILLAR MAPPING'!F264&lt;&gt;"", 'CONTENT PILLAR MAPPING'!C267&lt;&gt;"", 'CONTENT PILLAR MAPPING'!C272&lt;&gt;"", 'CONTENT PILLAR MAPPING'!D272&lt;&gt;"", 'CONTENT PILLAR MAPPING'!E272&lt;&gt;"", 'CONTENT PILLAR MAPPING'!D280&lt;&gt;"", 'CONTENT PILLAR MAPPING'!D281&lt;&gt;""),
CONCATENATE(
"Sebagai seorang top konten kreator dengan niche utama '", 'CONTENT PILLAR MAPPING'!C264, "', spesifik kategori '", 'CONTENT PILLAR MAPPING'!E264, "', dan super spesifik '", 'CONTENT PILLAR MAPPING'!F264, "', yang dikenal sebagai '", 'CONTENT PILLAR MAPPING'!C267, "'.", CHAR(10),
"Saya memiliki Tone of Voice: '", 'CONTENT PILLAR MAPPING'!C272, "', Brand Archetype: '", 'CONTENT PILLAR MAPPING'!D272, "', dan Deskripsi Gaya Komunikasi: '", 'CONTENT PILLAR MAPPING'!E272, "'.", CHAR(10),
"Target audiens saya adalah: '", 'CONTENT PILLAR MAPPING'!D280, "', dengan segmentasi audiens: '", 'CONTENT PILLAR MAPPING'!D281, "'.", CHAR(10), CHAR(10),
"Mohon buatkan script konten yang **sangat powerful, menarik, inovatif, dan siap pakai** dengan judul ide '", B362, "'.", CHAR(10),
"Konten ini memiliki pilar '", C362, "', nilai tambah utama '", F362, "', dan akan menggunakan storytelling framework '", G362, "'.", CHAR(10),
"Gambaran singkat ide kontennya adalah: '", J362, "'.", CHAR(10),
"Konten ini akan diunggah di platform '", E362, "' dengan format '", D362,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MAPPING'!C267, "'.** Sesuaikan dengan gaya komunikasi saya, dengan fokus pada nilai tambah '", F362,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MAPPING'!D280, ", khusus ", 'CONTENT PILLAR MAPPING'!D281, ") dan membantu mereka menyelesaikan masalah atau mencapai tujuan mereka.", CHAR(10),
"✔ Membantuku membangun personal branding yang kuat dan sustainable, sesuai dengan Positioning saya sebagai '", 'CONTENT PILLAR MAPPING'!C267, "' dan Brand Archetype '", 'CONTENT PILLAR MAPPING'!D272, "'.", CHAR(10),
"✔ Kemas dalam bentuk tabel agar rapi, mudah di baca dan dipahami, dengan kolom 'Judul Konten', 'Pilar', 'Format', 'Draft Script', 'CTA', 'Saran Visual', dan 'Full Caption'. (Kosongkan kolom Link Prompt jika ada)."
),
"")</f>
        <v/>
      </c>
      <c r="L362" s="199" t="n"/>
      <c r="M362" s="199" t="n"/>
      <c r="N362" s="102" t="n"/>
      <c r="O362" s="102" t="n"/>
      <c r="P362" s="102" t="n"/>
      <c r="Q362" s="102" t="n"/>
      <c r="R362" s="102" t="n"/>
      <c r="S362" s="102" t="n"/>
      <c r="T362" s="102" t="n"/>
      <c r="U362" s="102" t="n"/>
      <c r="V362" s="102" t="n"/>
      <c r="W362" s="102" t="n"/>
      <c r="X362" s="102" t="n"/>
      <c r="Y362" s="102" t="n"/>
      <c r="Z362" s="102" t="n"/>
      <c r="AA362" s="102" t="n"/>
      <c r="AB362" s="102" t="n"/>
      <c r="AC362" s="102" t="n"/>
      <c r="AD362" s="102" t="n"/>
    </row>
    <row r="363" ht="15.75" customHeight="1" s="205">
      <c r="A363" s="102" t="n"/>
      <c r="B363" s="142" t="n"/>
      <c r="C363" s="143" t="n"/>
      <c r="D363" s="143" t="n"/>
      <c r="E363" s="143" t="n"/>
      <c r="F363" s="143" t="n"/>
      <c r="G363" s="144" t="n"/>
      <c r="H363" s="145">
        <f>IF(K363&lt;&gt;"", HYPERLINK("https://chatgpt.com/?prompt=" &amp; SUBSTITUTE(SUBSTITUTE(K363, " ", "+"), "&amp;", "dan") &amp; "&amp;force-refresh=true&amp;timestamp=" &amp; TEXT(NOW(), "yyyymmddhhmmss"), "👉 Klik untuk Generate Script! 🔥"), "")</f>
        <v/>
      </c>
      <c r="I363" s="143" t="n"/>
      <c r="J363" s="146" t="n"/>
      <c r="K363" s="130">
        <f>IF(AND(B363&lt;&gt;"", C363&lt;&gt;"", D363&lt;&gt;"", E363&lt;&gt;"", F363&lt;&gt;"", G363&lt;&gt;"", J363&lt;&gt;"", 'CONTENT PILLAR MAPPING'!C266&lt;&gt;"", 'CONTENT PILLAR MAPPING'!E266&lt;&gt;"", 'CONTENT PILLAR MAPPING'!F266&lt;&gt;"", 'CONTENT PILLAR MAPPING'!C269&lt;&gt;"", 'CONTENT PILLAR MAPPING'!C274&lt;&gt;"", 'CONTENT PILLAR MAPPING'!D274&lt;&gt;"", 'CONTENT PILLAR MAPPING'!E274&lt;&gt;"", 'CONTENT PILLAR MAPPING'!D282&lt;&gt;"", 'CONTENT PILLAR MAPPING'!D283&lt;&gt;""),
CONCATENATE(
"Sebagai seorang top konten kreator dengan niche utama '", 'CONTENT PILLAR MAPPING'!C266, "', spesifik kategori '", 'CONTENT PILLAR MAPPING'!E266, "', dan super spesifik '", 'CONTENT PILLAR MAPPING'!F266, "', yang dikenal sebagai '", 'CONTENT PILLAR MAPPING'!C269, "'.", CHAR(10),
"Saya memiliki Tone of Voice: '", 'CONTENT PILLAR MAPPING'!C274, "', Brand Archetype: '", 'CONTENT PILLAR MAPPING'!D274, "', dan Deskripsi Gaya Komunikasi: '", 'CONTENT PILLAR MAPPING'!E274, "'.", CHAR(10),
"Target audiens saya adalah: '", 'CONTENT PILLAR MAPPING'!D282, "', dengan segmentasi audiens: '", 'CONTENT PILLAR MAPPING'!D283, "'.", CHAR(10), CHAR(10),
"Mohon buatkan script konten yang **sangat powerful, menarik, inovatif, dan siap pakai** dengan judul ide '", B363, "'.", CHAR(10),
"Konten ini memiliki pilar '", C363, "', nilai tambah utama '", F363, "', dan akan menggunakan storytelling framework '", G363, "'.", CHAR(10),
"Gambaran singkat ide kontennya adalah: '", J363, "'.", CHAR(10),
"Konten ini akan diunggah di platform '", E363, "' dengan format '", D363,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MAPPING'!C269, "'.** Sesuaikan dengan gaya komunikasi saya, dengan fokus pada nilai tambah '", F363,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MAPPING'!D282, ", khusus ", 'CONTENT PILLAR MAPPING'!D283, ") dan membantu mereka menyelesaikan masalah atau mencapai tujuan mereka.", CHAR(10),
"✔ Membantuku membangun personal branding yang kuat dan sustainable, sesuai dengan Positioning saya sebagai '", 'CONTENT PILLAR MAPPING'!C269, "' dan Brand Archetype '", 'CONTENT PILLAR MAPPING'!D274, "'.", CHAR(10),
"✔ Kemas dalam bentuk tabel agar rapi, mudah di baca dan dipahami, dengan kolom 'Judul Konten', 'Pilar', 'Format', 'Draft Script', 'CTA', 'Saran Visual', dan 'Full Caption'. (Kosongkan kolom Link Prompt jika ada)."
),
"")</f>
        <v/>
      </c>
      <c r="L363" s="91" t="n"/>
      <c r="M363" s="91" t="n"/>
      <c r="N363" s="102" t="n"/>
      <c r="O363" s="102" t="n"/>
      <c r="P363" s="102" t="n"/>
      <c r="Q363" s="102" t="n"/>
      <c r="R363" s="102" t="n"/>
      <c r="S363" s="102" t="n"/>
      <c r="T363" s="102" t="n"/>
      <c r="U363" s="102" t="n"/>
      <c r="V363" s="102" t="n"/>
      <c r="W363" s="102" t="n"/>
      <c r="X363" s="102" t="n"/>
      <c r="Y363" s="102" t="n"/>
      <c r="Z363" s="102" t="n"/>
      <c r="AA363" s="102" t="n"/>
      <c r="AB363" s="102" t="n"/>
      <c r="AC363" s="102" t="n"/>
      <c r="AD363" s="102" t="n"/>
    </row>
    <row r="364" ht="15.75" customHeight="1" s="205">
      <c r="A364" s="102" t="n"/>
      <c r="B364" s="147" t="n"/>
      <c r="C364" s="144" t="n"/>
      <c r="D364" s="144" t="n"/>
      <c r="E364" s="144" t="n"/>
      <c r="F364" s="144" t="n"/>
      <c r="G364" s="144" t="n"/>
      <c r="H364" s="141">
        <f>IF(K364&lt;&gt;"", HYPERLINK("https://chatgpt.com/?prompt=" &amp; SUBSTITUTE(SUBSTITUTE(K364, " ", "+"), "&amp;", "dan") &amp; "&amp;force-refresh=true&amp;timestamp=" &amp; TEXT(NOW(), "yyyymmddhhmmss"), "👉 Klik untuk Generate Script! 🔥"), "")</f>
        <v/>
      </c>
      <c r="I364" s="144" t="n"/>
      <c r="J364" s="148" t="n"/>
      <c r="K364" s="140">
        <f>IF(AND(B364&lt;&gt;"", C364&lt;&gt;"", D364&lt;&gt;"", E364&lt;&gt;"", F364&lt;&gt;"", G364&lt;&gt;"", J364&lt;&gt;"", 'CONTENT PILLAR MAPPING'!C266&lt;&gt;"", 'CONTENT PILLAR MAPPING'!E266&lt;&gt;"", 'CONTENT PILLAR MAPPING'!F266&lt;&gt;"", 'CONTENT PILLAR MAPPING'!C269&lt;&gt;"", 'CONTENT PILLAR MAPPING'!C274&lt;&gt;"", 'CONTENT PILLAR MAPPING'!D274&lt;&gt;"", 'CONTENT PILLAR MAPPING'!E274&lt;&gt;"", 'CONTENT PILLAR MAPPING'!D282&lt;&gt;"", 'CONTENT PILLAR MAPPING'!D283&lt;&gt;""),
CONCATENATE(
"Sebagai seorang top konten kreator dengan niche utama '", 'CONTENT PILLAR MAPPING'!C266, "', spesifik kategori '", 'CONTENT PILLAR MAPPING'!E266, "', dan super spesifik '", 'CONTENT PILLAR MAPPING'!F266, "', yang dikenal sebagai '", 'CONTENT PILLAR MAPPING'!C269, "'.", CHAR(10),
"Saya memiliki Tone of Voice: '", 'CONTENT PILLAR MAPPING'!C274, "', Brand Archetype: '", 'CONTENT PILLAR MAPPING'!D274, "', dan Deskripsi Gaya Komunikasi: '", 'CONTENT PILLAR MAPPING'!E274, "'.", CHAR(10),
"Target audiens saya adalah: '", 'CONTENT PILLAR MAPPING'!D282, "', dengan segmentasi audiens: '", 'CONTENT PILLAR MAPPING'!D283, "'.", CHAR(10), CHAR(10),
"Mohon buatkan script konten yang **sangat powerful, menarik, inovatif, dan siap pakai** dengan judul ide '", B364, "'.", CHAR(10),
"Konten ini memiliki pilar '", C364, "', nilai tambah utama '", F364, "', dan akan menggunakan storytelling framework '", G364, "'.", CHAR(10),
"Gambaran singkat ide kontennya adalah: '", J364, "'.", CHAR(10),
"Konten ini akan diunggah di platform '", E364, "' dengan format '", D364,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MAPPING'!C269, "'.** Sesuaikan dengan gaya komunikasi saya, dengan fokus pada nilai tambah '", F364,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MAPPING'!D282, ", khusus ", 'CONTENT PILLAR MAPPING'!D283, ") dan membantu mereka menyelesaikan masalah atau mencapai tujuan mereka.", CHAR(10),
"✔ Membantuku membangun personal branding yang kuat dan sustainable, sesuai dengan Positioning saya sebagai '", 'CONTENT PILLAR MAPPING'!C269, "' dan Brand Archetype '", 'CONTENT PILLAR MAPPING'!D274, "'.", CHAR(10),
"✔ Kemas dalam bentuk tabel agar rapi, mudah di baca dan dipahami, dengan kolom 'Judul Konten', 'Pilar', 'Format', 'Draft Script', 'CTA', 'Saran Visual', dan 'Full Caption'. (Kosongkan kolom Link Prompt jika ada)."
),
"")</f>
        <v/>
      </c>
      <c r="L364" s="199" t="n"/>
      <c r="M364" s="199" t="n"/>
      <c r="N364" s="102" t="n"/>
      <c r="O364" s="102" t="n"/>
      <c r="P364" s="102" t="n"/>
      <c r="Q364" s="102" t="n"/>
      <c r="R364" s="102" t="n"/>
      <c r="S364" s="102" t="n"/>
      <c r="T364" s="102" t="n"/>
      <c r="U364" s="102" t="n"/>
      <c r="V364" s="102" t="n"/>
      <c r="W364" s="102" t="n"/>
      <c r="X364" s="102" t="n"/>
      <c r="Y364" s="102" t="n"/>
      <c r="Z364" s="102" t="n"/>
      <c r="AA364" s="102" t="n"/>
      <c r="AB364" s="102" t="n"/>
      <c r="AC364" s="102" t="n"/>
      <c r="AD364" s="102" t="n"/>
    </row>
    <row r="365" ht="15.75" customHeight="1" s="205">
      <c r="A365" s="102" t="n"/>
      <c r="B365" s="142" t="n"/>
      <c r="C365" s="143" t="n"/>
      <c r="D365" s="143" t="n"/>
      <c r="E365" s="143" t="n"/>
      <c r="F365" s="143" t="n"/>
      <c r="G365" s="144" t="n"/>
      <c r="H365" s="145">
        <f>IF(K365&lt;&gt;"", HYPERLINK("https://chatgpt.com/?prompt=" &amp; SUBSTITUTE(SUBSTITUTE(K365, " ", "+"), "&amp;", "dan") &amp; "&amp;force-refresh=true&amp;timestamp=" &amp; TEXT(NOW(), "yyyymmddhhmmss"), "👉 Klik untuk Generate Script! 🔥"), "")</f>
        <v/>
      </c>
      <c r="I365" s="143" t="n"/>
      <c r="J365" s="146" t="n"/>
      <c r="K365" s="130">
        <f>IF(AND(B365&lt;&gt;"", C365&lt;&gt;"", D365&lt;&gt;"", E365&lt;&gt;"", F365&lt;&gt;"", G365&lt;&gt;"", J365&lt;&gt;"", 'CONTENT PILLAR MAPPING'!C268&lt;&gt;"", 'CONTENT PILLAR MAPPING'!E268&lt;&gt;"", 'CONTENT PILLAR MAPPING'!F268&lt;&gt;"", 'CONTENT PILLAR MAPPING'!C271&lt;&gt;"", 'CONTENT PILLAR MAPPING'!C276&lt;&gt;"", 'CONTENT PILLAR MAPPING'!D276&lt;&gt;"", 'CONTENT PILLAR MAPPING'!E276&lt;&gt;"", 'CONTENT PILLAR MAPPING'!D284&lt;&gt;"", 'CONTENT PILLAR MAPPING'!D285&lt;&gt;""),
CONCATENATE(
"Sebagai seorang top konten kreator dengan niche utama '", 'CONTENT PILLAR MAPPING'!C268, "', spesifik kategori '", 'CONTENT PILLAR MAPPING'!E268, "', dan super spesifik '", 'CONTENT PILLAR MAPPING'!F268, "', yang dikenal sebagai '", 'CONTENT PILLAR MAPPING'!C271, "'.", CHAR(10),
"Saya memiliki Tone of Voice: '", 'CONTENT PILLAR MAPPING'!C276, "', Brand Archetype: '", 'CONTENT PILLAR MAPPING'!D276, "', dan Deskripsi Gaya Komunikasi: '", 'CONTENT PILLAR MAPPING'!E276, "'.", CHAR(10),
"Target audiens saya adalah: '", 'CONTENT PILLAR MAPPING'!D284, "', dengan segmentasi audiens: '", 'CONTENT PILLAR MAPPING'!D285, "'.", CHAR(10), CHAR(10),
"Mohon buatkan script konten yang **sangat powerful, menarik, inovatif, dan siap pakai** dengan judul ide '", B365, "'.", CHAR(10),
"Konten ini memiliki pilar '", C365, "', nilai tambah utama '", F365, "', dan akan menggunakan storytelling framework '", G365, "'.", CHAR(10),
"Gambaran singkat ide kontennya adalah: '", J365, "'.", CHAR(10),
"Konten ini akan diunggah di platform '", E365, "' dengan format '", D365,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MAPPING'!C271, "'.** Sesuaikan dengan gaya komunikasi saya, dengan fokus pada nilai tambah '", F365,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MAPPING'!D284, ", khusus ", 'CONTENT PILLAR MAPPING'!D285, ") dan membantu mereka menyelesaikan masalah atau mencapai tujuan mereka.", CHAR(10),
"✔ Membantuku membangun personal branding yang kuat dan sustainable, sesuai dengan Positioning saya sebagai '", 'CONTENT PILLAR MAPPING'!C271, "' dan Brand Archetype '", 'CONTENT PILLAR MAPPING'!D276, "'.", CHAR(10),
"✔ Kemas dalam bentuk tabel agar rapi, mudah di baca dan dipahami, dengan kolom 'Judul Konten', 'Pilar', 'Format', 'Draft Script', 'CTA', 'Saran Visual', dan 'Full Caption'. (Kosongkan kolom Link Prompt jika ada)."
),
"")</f>
        <v/>
      </c>
      <c r="L365" s="91" t="n"/>
      <c r="M365" s="91" t="n"/>
      <c r="N365" s="102" t="n"/>
      <c r="O365" s="102" t="n"/>
      <c r="P365" s="102" t="n"/>
      <c r="Q365" s="102" t="n"/>
      <c r="R365" s="102" t="n"/>
      <c r="S365" s="102" t="n"/>
      <c r="T365" s="102" t="n"/>
      <c r="U365" s="102" t="n"/>
      <c r="V365" s="102" t="n"/>
      <c r="W365" s="102" t="n"/>
      <c r="X365" s="102" t="n"/>
      <c r="Y365" s="102" t="n"/>
      <c r="Z365" s="102" t="n"/>
      <c r="AA365" s="102" t="n"/>
      <c r="AB365" s="102" t="n"/>
      <c r="AC365" s="102" t="n"/>
      <c r="AD365" s="102" t="n"/>
    </row>
    <row r="366" ht="15.75" customHeight="1" s="205">
      <c r="A366" s="102" t="n"/>
      <c r="B366" s="147" t="n"/>
      <c r="C366" s="144" t="n"/>
      <c r="D366" s="144" t="n"/>
      <c r="E366" s="144" t="n"/>
      <c r="F366" s="144" t="n"/>
      <c r="G366" s="144" t="n"/>
      <c r="H366" s="141">
        <f>IF(K366&lt;&gt;"", HYPERLINK("https://chatgpt.com/?prompt=" &amp; SUBSTITUTE(SUBSTITUTE(K366, " ", "+"), "&amp;", "dan") &amp; "&amp;force-refresh=true&amp;timestamp=" &amp; TEXT(NOW(), "yyyymmddhhmmss"), "👉 Klik untuk Generate Script! 🔥"), "")</f>
        <v/>
      </c>
      <c r="I366" s="144" t="n"/>
      <c r="J366" s="148" t="n"/>
      <c r="K366" s="140">
        <f>IF(AND(B366&lt;&gt;"", C366&lt;&gt;"", D366&lt;&gt;"", E366&lt;&gt;"", F366&lt;&gt;"", G366&lt;&gt;"", J366&lt;&gt;"", 'CONTENT PILLAR MAPPING'!C268&lt;&gt;"", 'CONTENT PILLAR MAPPING'!E268&lt;&gt;"", 'CONTENT PILLAR MAPPING'!F268&lt;&gt;"", 'CONTENT PILLAR MAPPING'!C271&lt;&gt;"", 'CONTENT PILLAR MAPPING'!C276&lt;&gt;"", 'CONTENT PILLAR MAPPING'!D276&lt;&gt;"", 'CONTENT PILLAR MAPPING'!E276&lt;&gt;"", 'CONTENT PILLAR MAPPING'!D284&lt;&gt;"", 'CONTENT PILLAR MAPPING'!D285&lt;&gt;""),
CONCATENATE(
"Sebagai seorang top konten kreator dengan niche utama '", 'CONTENT PILLAR MAPPING'!C268, "', spesifik kategori '", 'CONTENT PILLAR MAPPING'!E268, "', dan super spesifik '", 'CONTENT PILLAR MAPPING'!F268, "', yang dikenal sebagai '", 'CONTENT PILLAR MAPPING'!C271, "'.", CHAR(10),
"Saya memiliki Tone of Voice: '", 'CONTENT PILLAR MAPPING'!C276, "', Brand Archetype: '", 'CONTENT PILLAR MAPPING'!D276, "', dan Deskripsi Gaya Komunikasi: '", 'CONTENT PILLAR MAPPING'!E276, "'.", CHAR(10),
"Target audiens saya adalah: '", 'CONTENT PILLAR MAPPING'!D284, "', dengan segmentasi audiens: '", 'CONTENT PILLAR MAPPING'!D285, "'.", CHAR(10), CHAR(10),
"Mohon buatkan script konten yang **sangat powerful, menarik, inovatif, dan siap pakai** dengan judul ide '", B366, "'.", CHAR(10),
"Konten ini memiliki pilar '", C366, "', nilai tambah utama '", F366, "', dan akan menggunakan storytelling framework '", G366, "'.", CHAR(10),
"Gambaran singkat ide kontennya adalah: '", J366, "'.", CHAR(10),
"Konten ini akan diunggah di platform '", E366, "' dengan format '", D366,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MAPPING'!C271, "'.** Sesuaikan dengan gaya komunikasi saya, dengan fokus pada nilai tambah '", F366,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MAPPING'!D284, ", khusus ", 'CONTENT PILLAR MAPPING'!D285, ") dan membantu mereka menyelesaikan masalah atau mencapai tujuan mereka.", CHAR(10),
"✔ Membantuku membangun personal branding yang kuat dan sustainable, sesuai dengan Positioning saya sebagai '", 'CONTENT PILLAR MAPPING'!C271, "' dan Brand Archetype '", 'CONTENT PILLAR MAPPING'!D276, "'.", CHAR(10),
"✔ Kemas dalam bentuk tabel agar rapi, mudah di baca dan dipahami, dengan kolom 'Judul Konten', 'Pilar', 'Format', 'Draft Script', 'CTA', 'Saran Visual', dan 'Full Caption'. (Kosongkan kolom Link Prompt jika ada)."
),
"")</f>
        <v/>
      </c>
      <c r="L366" s="199" t="n"/>
      <c r="M366" s="199" t="n"/>
      <c r="N366" s="102" t="n"/>
      <c r="O366" s="102" t="n"/>
      <c r="P366" s="102" t="n"/>
      <c r="Q366" s="102" t="n"/>
      <c r="R366" s="102" t="n"/>
      <c r="S366" s="102" t="n"/>
      <c r="T366" s="102" t="n"/>
      <c r="U366" s="102" t="n"/>
      <c r="V366" s="102" t="n"/>
      <c r="W366" s="102" t="n"/>
      <c r="X366" s="102" t="n"/>
      <c r="Y366" s="102" t="n"/>
      <c r="Z366" s="102" t="n"/>
      <c r="AA366" s="102" t="n"/>
      <c r="AB366" s="102" t="n"/>
      <c r="AC366" s="102" t="n"/>
      <c r="AD366" s="102" t="n"/>
    </row>
    <row r="367" ht="15.75" customHeight="1" s="205">
      <c r="A367" s="102" t="n"/>
      <c r="B367" s="142" t="n"/>
      <c r="C367" s="143" t="n"/>
      <c r="D367" s="143" t="n"/>
      <c r="E367" s="143" t="n"/>
      <c r="F367" s="143" t="n"/>
      <c r="G367" s="144" t="n"/>
      <c r="H367" s="145">
        <f>IF(K367&lt;&gt;"", HYPERLINK("https://chatgpt.com/?prompt=" &amp; SUBSTITUTE(SUBSTITUTE(K367, " ", "+"), "&amp;", "dan") &amp; "&amp;force-refresh=true&amp;timestamp=" &amp; TEXT(NOW(), "yyyymmddhhmmss"), "👉 Klik untuk Generate Script! 🔥"), "")</f>
        <v/>
      </c>
      <c r="I367" s="143" t="n"/>
      <c r="J367" s="146" t="n"/>
      <c r="K367" s="130">
        <f>IF(AND(B367&lt;&gt;"", C367&lt;&gt;"", D367&lt;&gt;"", E367&lt;&gt;"", F367&lt;&gt;"", G367&lt;&gt;"", J367&lt;&gt;"", 'CONTENT PILLAR MAPPING'!C270&lt;&gt;"", 'CONTENT PILLAR MAPPING'!E270&lt;&gt;"", 'CONTENT PILLAR MAPPING'!F270&lt;&gt;"", 'CONTENT PILLAR MAPPING'!C273&lt;&gt;"", 'CONTENT PILLAR MAPPING'!C278&lt;&gt;"", 'CONTENT PILLAR MAPPING'!D278&lt;&gt;"", 'CONTENT PILLAR MAPPING'!E278&lt;&gt;"", 'CONTENT PILLAR MAPPING'!D286&lt;&gt;"", 'CONTENT PILLAR MAPPING'!D287&lt;&gt;""),
CONCATENATE(
"Sebagai seorang top konten kreator dengan niche utama '", 'CONTENT PILLAR MAPPING'!C270, "', spesifik kategori '", 'CONTENT PILLAR MAPPING'!E270, "', dan super spesifik '", 'CONTENT PILLAR MAPPING'!F270, "', yang dikenal sebagai '", 'CONTENT PILLAR MAPPING'!C273, "'.", CHAR(10),
"Saya memiliki Tone of Voice: '", 'CONTENT PILLAR MAPPING'!C278, "', Brand Archetype: '", 'CONTENT PILLAR MAPPING'!D278, "', dan Deskripsi Gaya Komunikasi: '", 'CONTENT PILLAR MAPPING'!E278, "'.", CHAR(10),
"Target audiens saya adalah: '", 'CONTENT PILLAR MAPPING'!D286, "', dengan segmentasi audiens: '", 'CONTENT PILLAR MAPPING'!D287, "'.", CHAR(10), CHAR(10),
"Mohon buatkan script konten yang **sangat powerful, menarik, inovatif, dan siap pakai** dengan judul ide '", B367, "'.", CHAR(10),
"Konten ini memiliki pilar '", C367, "', nilai tambah utama '", F367, "', dan akan menggunakan storytelling framework '", G367, "'.", CHAR(10),
"Gambaran singkat ide kontennya adalah: '", J367, "'.", CHAR(10),
"Konten ini akan diunggah di platform '", E367, "' dengan format '", D367,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MAPPING'!C273, "'.** Sesuaikan dengan gaya komunikasi saya, dengan fokus pada nilai tambah '", F367,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MAPPING'!D286, ", khusus ", 'CONTENT PILLAR MAPPING'!D287, ") dan membantu mereka menyelesaikan masalah atau mencapai tujuan mereka.", CHAR(10),
"✔ Membantuku membangun personal branding yang kuat dan sustainable, sesuai dengan Positioning saya sebagai '", 'CONTENT PILLAR MAPPING'!C273, "' dan Brand Archetype '", 'CONTENT PILLAR MAPPING'!D278, "'.", CHAR(10),
"✔ Kemas dalam bentuk tabel agar rapi, mudah di baca dan dipahami, dengan kolom 'Judul Konten', 'Pilar', 'Format', 'Draft Script', 'CTA', 'Saran Visual', dan 'Full Caption'. (Kosongkan kolom Link Prompt jika ada)."
),
"")</f>
        <v/>
      </c>
      <c r="L367" s="91" t="n"/>
      <c r="M367" s="91" t="n"/>
      <c r="N367" s="102" t="n"/>
      <c r="O367" s="102" t="n"/>
      <c r="P367" s="102" t="n"/>
      <c r="Q367" s="102" t="n"/>
      <c r="R367" s="102" t="n"/>
      <c r="S367" s="102" t="n"/>
      <c r="T367" s="102" t="n"/>
      <c r="U367" s="102" t="n"/>
      <c r="V367" s="102" t="n"/>
      <c r="W367" s="102" t="n"/>
      <c r="X367" s="102" t="n"/>
      <c r="Y367" s="102" t="n"/>
      <c r="Z367" s="102" t="n"/>
      <c r="AA367" s="102" t="n"/>
      <c r="AB367" s="102" t="n"/>
      <c r="AC367" s="102" t="n"/>
      <c r="AD367" s="102" t="n"/>
    </row>
    <row r="368" ht="15.75" customHeight="1" s="205">
      <c r="A368" s="102" t="n"/>
      <c r="B368" s="147" t="n"/>
      <c r="C368" s="144" t="n"/>
      <c r="D368" s="144" t="n"/>
      <c r="E368" s="144" t="n"/>
      <c r="F368" s="144" t="n"/>
      <c r="G368" s="144" t="n"/>
      <c r="H368" s="141">
        <f>IF(K368&lt;&gt;"", HYPERLINK("https://chatgpt.com/?prompt=" &amp; SUBSTITUTE(SUBSTITUTE(K368, " ", "+"), "&amp;", "dan") &amp; "&amp;force-refresh=true&amp;timestamp=" &amp; TEXT(NOW(), "yyyymmddhhmmss"), "👉 Klik untuk Generate Script! 🔥"), "")</f>
        <v/>
      </c>
      <c r="I368" s="144" t="n"/>
      <c r="J368" s="148" t="n"/>
      <c r="K368" s="140">
        <f>IF(AND(B368&lt;&gt;"", C368&lt;&gt;"", D368&lt;&gt;"", E368&lt;&gt;"", F368&lt;&gt;"", G368&lt;&gt;"", J368&lt;&gt;"", 'CONTENT PILLAR MAPPING'!C270&lt;&gt;"", 'CONTENT PILLAR MAPPING'!E270&lt;&gt;"", 'CONTENT PILLAR MAPPING'!F270&lt;&gt;"", 'CONTENT PILLAR MAPPING'!C273&lt;&gt;"", 'CONTENT PILLAR MAPPING'!C278&lt;&gt;"", 'CONTENT PILLAR MAPPING'!D278&lt;&gt;"", 'CONTENT PILLAR MAPPING'!E278&lt;&gt;"", 'CONTENT PILLAR MAPPING'!D286&lt;&gt;"", 'CONTENT PILLAR MAPPING'!D287&lt;&gt;""),
CONCATENATE(
"Sebagai seorang top konten kreator dengan niche utama '", 'CONTENT PILLAR MAPPING'!C270, "', spesifik kategori '", 'CONTENT PILLAR MAPPING'!E270, "', dan super spesifik '", 'CONTENT PILLAR MAPPING'!F270, "', yang dikenal sebagai '", 'CONTENT PILLAR MAPPING'!C273, "'.", CHAR(10),
"Saya memiliki Tone of Voice: '", 'CONTENT PILLAR MAPPING'!C278, "', Brand Archetype: '", 'CONTENT PILLAR MAPPING'!D278, "', dan Deskripsi Gaya Komunikasi: '", 'CONTENT PILLAR MAPPING'!E278, "'.", CHAR(10),
"Target audiens saya adalah: '", 'CONTENT PILLAR MAPPING'!D286, "', dengan segmentasi audiens: '", 'CONTENT PILLAR MAPPING'!D287, "'.", CHAR(10), CHAR(10),
"Mohon buatkan script konten yang **sangat powerful, menarik, inovatif, dan siap pakai** dengan judul ide '", B368, "'.", CHAR(10),
"Konten ini memiliki pilar '", C368, "', nilai tambah utama '", F368, "', dan akan menggunakan storytelling framework '", G368, "'.", CHAR(10),
"Gambaran singkat ide kontennya adalah: '", J368, "'.", CHAR(10),
"Konten ini akan diunggah di platform '", E368, "' dengan format '", D368,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MAPPING'!C273, "'.** Sesuaikan dengan gaya komunikasi saya, dengan fokus pada nilai tambah '", F368,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MAPPING'!D286, ", khusus ", 'CONTENT PILLAR MAPPING'!D287, ") dan membantu mereka menyelesaikan masalah atau mencapai tujuan mereka.", CHAR(10),
"✔ Membantuku membangun personal branding yang kuat dan sustainable, sesuai dengan Positioning saya sebagai '", 'CONTENT PILLAR MAPPING'!C273, "' dan Brand Archetype '", 'CONTENT PILLAR MAPPING'!D278, "'.", CHAR(10),
"✔ Kemas dalam bentuk tabel agar rapi, mudah di baca dan dipahami, dengan kolom 'Judul Konten', 'Pilar', 'Format', 'Draft Script', 'CTA', 'Saran Visual', dan 'Full Caption'. (Kosongkan kolom Link Prompt jika ada)."
),
"")</f>
        <v/>
      </c>
      <c r="L368" s="199" t="n"/>
      <c r="M368" s="199" t="n"/>
      <c r="N368" s="102" t="n"/>
      <c r="O368" s="102" t="n"/>
      <c r="P368" s="102" t="n"/>
      <c r="Q368" s="102" t="n"/>
      <c r="R368" s="102" t="n"/>
      <c r="S368" s="102" t="n"/>
      <c r="T368" s="102" t="n"/>
      <c r="U368" s="102" t="n"/>
      <c r="V368" s="102" t="n"/>
      <c r="W368" s="102" t="n"/>
      <c r="X368" s="102" t="n"/>
      <c r="Y368" s="102" t="n"/>
      <c r="Z368" s="102" t="n"/>
      <c r="AA368" s="102" t="n"/>
      <c r="AB368" s="102" t="n"/>
      <c r="AC368" s="102" t="n"/>
      <c r="AD368" s="102" t="n"/>
    </row>
    <row r="369" ht="15.75" customHeight="1" s="205">
      <c r="A369" s="102" t="n"/>
      <c r="B369" s="142" t="n"/>
      <c r="C369" s="143" t="n"/>
      <c r="D369" s="143" t="n"/>
      <c r="E369" s="143" t="n"/>
      <c r="F369" s="143" t="n"/>
      <c r="G369" s="144" t="n"/>
      <c r="H369" s="145">
        <f>IF(K369&lt;&gt;"", HYPERLINK("https://chatgpt.com/?prompt=" &amp; SUBSTITUTE(SUBSTITUTE(K369, " ", "+"), "&amp;", "dan") &amp; "&amp;force-refresh=true&amp;timestamp=" &amp; TEXT(NOW(), "yyyymmddhhmmss"), "👉 Klik untuk Generate Script! 🔥"), "")</f>
        <v/>
      </c>
      <c r="I369" s="143" t="n"/>
      <c r="J369" s="146" t="n"/>
      <c r="K369" s="130">
        <f>IF(AND(B369&lt;&gt;"", C369&lt;&gt;"", D369&lt;&gt;"", E369&lt;&gt;"", F369&lt;&gt;"", G369&lt;&gt;"", J369&lt;&gt;"", 'CONTENT PILLAR MAPPING'!C272&lt;&gt;"", 'CONTENT PILLAR MAPPING'!E272&lt;&gt;"", 'CONTENT PILLAR MAPPING'!F272&lt;&gt;"", 'CONTENT PILLAR MAPPING'!C275&lt;&gt;"", 'CONTENT PILLAR MAPPING'!C280&lt;&gt;"", 'CONTENT PILLAR MAPPING'!D280&lt;&gt;"", 'CONTENT PILLAR MAPPING'!E280&lt;&gt;"", 'CONTENT PILLAR MAPPING'!D288&lt;&gt;"", 'CONTENT PILLAR MAPPING'!D289&lt;&gt;""),
CONCATENATE(
"Sebagai seorang top konten kreator dengan niche utama '", 'CONTENT PILLAR MAPPING'!C272, "', spesifik kategori '", 'CONTENT PILLAR MAPPING'!E272, "', dan super spesifik '", 'CONTENT PILLAR MAPPING'!F272, "', yang dikenal sebagai '", 'CONTENT PILLAR MAPPING'!C275, "'.", CHAR(10),
"Saya memiliki Tone of Voice: '", 'CONTENT PILLAR MAPPING'!C280, "', Brand Archetype: '", 'CONTENT PILLAR MAPPING'!D280, "', dan Deskripsi Gaya Komunikasi: '", 'CONTENT PILLAR MAPPING'!E280, "'.", CHAR(10),
"Target audiens saya adalah: '", 'CONTENT PILLAR MAPPING'!D288, "', dengan segmentasi audiens: '", 'CONTENT PILLAR MAPPING'!D289, "'.", CHAR(10), CHAR(10),
"Mohon buatkan script konten yang **sangat powerful, menarik, inovatif, dan siap pakai** dengan judul ide '", B369, "'.", CHAR(10),
"Konten ini memiliki pilar '", C369, "', nilai tambah utama '", F369, "', dan akan menggunakan storytelling framework '", G369, "'.", CHAR(10),
"Gambaran singkat ide kontennya adalah: '", J369, "'.", CHAR(10),
"Konten ini akan diunggah di platform '", E369, "' dengan format '", D369,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MAPPING'!C275, "'.** Sesuaikan dengan gaya komunikasi saya, dengan fokus pada nilai tambah '", F369,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MAPPING'!D288, ", khusus ", 'CONTENT PILLAR MAPPING'!D289, ") dan membantu mereka menyelesaikan masalah atau mencapai tujuan mereka.", CHAR(10),
"✔ Membantuku membangun personal branding yang kuat dan sustainable, sesuai dengan Positioning saya sebagai '", 'CONTENT PILLAR MAPPING'!C275, "' dan Brand Archetype '", 'CONTENT PILLAR MAPPING'!D280, "'.", CHAR(10),
"✔ Kemas dalam bentuk tabel agar rapi, mudah di baca dan dipahami, dengan kolom 'Judul Konten', 'Pilar', 'Format', 'Draft Script', 'CTA', 'Saran Visual', dan 'Full Caption'. (Kosongkan kolom Link Prompt jika ada)."
),
"")</f>
        <v/>
      </c>
      <c r="L369" s="91" t="n"/>
      <c r="M369" s="91" t="n"/>
      <c r="N369" s="102" t="n"/>
      <c r="O369" s="102" t="n"/>
      <c r="P369" s="102" t="n"/>
      <c r="Q369" s="102" t="n"/>
      <c r="R369" s="102" t="n"/>
      <c r="S369" s="102" t="n"/>
      <c r="T369" s="102" t="n"/>
      <c r="U369" s="102" t="n"/>
      <c r="V369" s="102" t="n"/>
      <c r="W369" s="102" t="n"/>
      <c r="X369" s="102" t="n"/>
      <c r="Y369" s="102" t="n"/>
      <c r="Z369" s="102" t="n"/>
      <c r="AA369" s="102" t="n"/>
      <c r="AB369" s="102" t="n"/>
      <c r="AC369" s="102" t="n"/>
      <c r="AD369" s="102" t="n"/>
    </row>
    <row r="370" ht="15.75" customHeight="1" s="205">
      <c r="A370" s="102" t="n"/>
      <c r="B370" s="147" t="n"/>
      <c r="C370" s="144" t="n"/>
      <c r="D370" s="144" t="n"/>
      <c r="E370" s="144" t="n"/>
      <c r="F370" s="144" t="n"/>
      <c r="G370" s="144" t="n"/>
      <c r="H370" s="141">
        <f>IF(K370&lt;&gt;"", HYPERLINK("https://chatgpt.com/?prompt=" &amp; SUBSTITUTE(SUBSTITUTE(K370, " ", "+"), "&amp;", "dan") &amp; "&amp;force-refresh=true&amp;timestamp=" &amp; TEXT(NOW(), "yyyymmddhhmmss"), "👉 Klik untuk Generate Script! 🔥"), "")</f>
        <v/>
      </c>
      <c r="I370" s="144" t="n"/>
      <c r="J370" s="148" t="n"/>
      <c r="K370" s="140">
        <f>IF(AND(B370&lt;&gt;"", C370&lt;&gt;"", D370&lt;&gt;"", E370&lt;&gt;"", F370&lt;&gt;"", G370&lt;&gt;"", J370&lt;&gt;"", 'CONTENT PILLAR MAPPING'!C272&lt;&gt;"", 'CONTENT PILLAR MAPPING'!E272&lt;&gt;"", 'CONTENT PILLAR MAPPING'!F272&lt;&gt;"", 'CONTENT PILLAR MAPPING'!C275&lt;&gt;"", 'CONTENT PILLAR MAPPING'!C280&lt;&gt;"", 'CONTENT PILLAR MAPPING'!D280&lt;&gt;"", 'CONTENT PILLAR MAPPING'!E280&lt;&gt;"", 'CONTENT PILLAR MAPPING'!D288&lt;&gt;"", 'CONTENT PILLAR MAPPING'!D289&lt;&gt;""),
CONCATENATE(
"Sebagai seorang top konten kreator dengan niche utama '", 'CONTENT PILLAR MAPPING'!C272, "', spesifik kategori '", 'CONTENT PILLAR MAPPING'!E272, "', dan super spesifik '", 'CONTENT PILLAR MAPPING'!F272, "', yang dikenal sebagai '", 'CONTENT PILLAR MAPPING'!C275, "'.", CHAR(10),
"Saya memiliki Tone of Voice: '", 'CONTENT PILLAR MAPPING'!C280, "', Brand Archetype: '", 'CONTENT PILLAR MAPPING'!D280, "', dan Deskripsi Gaya Komunikasi: '", 'CONTENT PILLAR MAPPING'!E280, "'.", CHAR(10),
"Target audiens saya adalah: '", 'CONTENT PILLAR MAPPING'!D288, "', dengan segmentasi audiens: '", 'CONTENT PILLAR MAPPING'!D289, "'.", CHAR(10), CHAR(10),
"Mohon buatkan script konten yang **sangat powerful, menarik, inovatif, dan siap pakai** dengan judul ide '", B370, "'.", CHAR(10),
"Konten ini memiliki pilar '", C370, "', nilai tambah utama '", F370, "', dan akan menggunakan storytelling framework '", G370, "'.", CHAR(10),
"Gambaran singkat ide kontennya adalah: '", J370, "'.", CHAR(10),
"Konten ini akan diunggah di platform '", E370, "' dengan format '", D370,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MAPPING'!C275, "'.** Sesuaikan dengan gaya komunikasi saya, dengan fokus pada nilai tambah '", F370,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MAPPING'!D288, ", khusus ", 'CONTENT PILLAR MAPPING'!D289, ") dan membantu mereka menyelesaikan masalah atau mencapai tujuan mereka.", CHAR(10),
"✔ Membantuku membangun personal branding yang kuat dan sustainable, sesuai dengan Positioning saya sebagai '", 'CONTENT PILLAR MAPPING'!C275, "' dan Brand Archetype '", 'CONTENT PILLAR MAPPING'!D280, "'.", CHAR(10),
"✔ Kemas dalam bentuk tabel agar rapi, mudah di baca dan dipahami, dengan kolom 'Judul Konten', 'Pilar', 'Format', 'Draft Script', 'CTA', 'Saran Visual', dan 'Full Caption'. (Kosongkan kolom Link Prompt jika ada)."
),
"")</f>
        <v/>
      </c>
      <c r="L370" s="199" t="n"/>
      <c r="M370" s="199" t="n"/>
      <c r="N370" s="102" t="n"/>
      <c r="O370" s="102" t="n"/>
      <c r="P370" s="102" t="n"/>
      <c r="Q370" s="102" t="n"/>
      <c r="R370" s="102" t="n"/>
      <c r="S370" s="102" t="n"/>
      <c r="T370" s="102" t="n"/>
      <c r="U370" s="102" t="n"/>
      <c r="V370" s="102" t="n"/>
      <c r="W370" s="102" t="n"/>
      <c r="X370" s="102" t="n"/>
      <c r="Y370" s="102" t="n"/>
      <c r="Z370" s="102" t="n"/>
      <c r="AA370" s="102" t="n"/>
      <c r="AB370" s="102" t="n"/>
      <c r="AC370" s="102" t="n"/>
      <c r="AD370" s="102" t="n"/>
    </row>
    <row r="371" ht="15.75" customHeight="1" s="205">
      <c r="A371" s="102" t="n"/>
      <c r="B371" s="142" t="n"/>
      <c r="C371" s="143" t="n"/>
      <c r="D371" s="143" t="n"/>
      <c r="E371" s="143" t="n"/>
      <c r="F371" s="143" t="n"/>
      <c r="G371" s="144" t="n"/>
      <c r="H371" s="145">
        <f>IF(K371&lt;&gt;"", HYPERLINK("https://chatgpt.com/?prompt=" &amp; SUBSTITUTE(SUBSTITUTE(K371, " ", "+"), "&amp;", "dan") &amp; "&amp;force-refresh=true&amp;timestamp=" &amp; TEXT(NOW(), "yyyymmddhhmmss"), "👉 Klik untuk Generate Script! 🔥"), "")</f>
        <v/>
      </c>
      <c r="I371" s="143" t="n"/>
      <c r="J371" s="146" t="n"/>
      <c r="K371" s="130">
        <f>IF(AND(B371&lt;&gt;"", C371&lt;&gt;"", D371&lt;&gt;"", E371&lt;&gt;"", F371&lt;&gt;"", G371&lt;&gt;"", J371&lt;&gt;"", 'CONTENT PILLAR MAPPING'!C274&lt;&gt;"", 'CONTENT PILLAR MAPPING'!E274&lt;&gt;"", 'CONTENT PILLAR MAPPING'!F274&lt;&gt;"", 'CONTENT PILLAR MAPPING'!C277&lt;&gt;"", 'CONTENT PILLAR MAPPING'!C282&lt;&gt;"", 'CONTENT PILLAR MAPPING'!D282&lt;&gt;"", 'CONTENT PILLAR MAPPING'!E282&lt;&gt;"", 'CONTENT PILLAR MAPPING'!D290&lt;&gt;"", 'CONTENT PILLAR MAPPING'!D291&lt;&gt;""),
CONCATENATE(
"Sebagai seorang top konten kreator dengan niche utama '", 'CONTENT PILLAR MAPPING'!C274, "', spesifik kategori '", 'CONTENT PILLAR MAPPING'!E274, "', dan super spesifik '", 'CONTENT PILLAR MAPPING'!F274, "', yang dikenal sebagai '", 'CONTENT PILLAR MAPPING'!C277, "'.", CHAR(10),
"Saya memiliki Tone of Voice: '", 'CONTENT PILLAR MAPPING'!C282, "', Brand Archetype: '", 'CONTENT PILLAR MAPPING'!D282, "', dan Deskripsi Gaya Komunikasi: '", 'CONTENT PILLAR MAPPING'!E282, "'.", CHAR(10),
"Target audiens saya adalah: '", 'CONTENT PILLAR MAPPING'!D290, "', dengan segmentasi audiens: '", 'CONTENT PILLAR MAPPING'!D291, "'.", CHAR(10), CHAR(10),
"Mohon buatkan script konten yang **sangat powerful, menarik, inovatif, dan siap pakai** dengan judul ide '", B371, "'.", CHAR(10),
"Konten ini memiliki pilar '", C371, "', nilai tambah utama '", F371, "', dan akan menggunakan storytelling framework '", G371, "'.", CHAR(10),
"Gambaran singkat ide kontennya adalah: '", J371, "'.", CHAR(10),
"Konten ini akan diunggah di platform '", E371, "' dengan format '", D371,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MAPPING'!C277, "'.** Sesuaikan dengan gaya komunikasi saya, dengan fokus pada nilai tambah '", F371,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MAPPING'!D290, ", khusus ", 'CONTENT PILLAR MAPPING'!D291, ") dan membantu mereka menyelesaikan masalah atau mencapai tujuan mereka.", CHAR(10),
"✔ Membantuku membangun personal branding yang kuat dan sustainable, sesuai dengan Positioning saya sebagai '", 'CONTENT PILLAR MAPPING'!C277, "' dan Brand Archetype '", 'CONTENT PILLAR MAPPING'!D282, "'.", CHAR(10),
"✔ Kemas dalam bentuk tabel agar rapi, mudah di baca dan dipahami, dengan kolom 'Judul Konten', 'Pilar', 'Format', 'Draft Script', 'CTA', 'Saran Visual', dan 'Full Caption'. (Kosongkan kolom Link Prompt jika ada)."
),
"")</f>
        <v/>
      </c>
      <c r="L371" s="91" t="n"/>
      <c r="M371" s="91" t="n"/>
      <c r="N371" s="102" t="n"/>
      <c r="O371" s="102" t="n"/>
      <c r="P371" s="102" t="n"/>
      <c r="Q371" s="102" t="n"/>
      <c r="R371" s="102" t="n"/>
      <c r="S371" s="102" t="n"/>
      <c r="T371" s="102" t="n"/>
      <c r="U371" s="102" t="n"/>
      <c r="V371" s="102" t="n"/>
      <c r="W371" s="102" t="n"/>
      <c r="X371" s="102" t="n"/>
      <c r="Y371" s="102" t="n"/>
      <c r="Z371" s="102" t="n"/>
      <c r="AA371" s="102" t="n"/>
      <c r="AB371" s="102" t="n"/>
      <c r="AC371" s="102" t="n"/>
      <c r="AD371" s="102" t="n"/>
    </row>
    <row r="372" ht="15.75" customHeight="1" s="205">
      <c r="A372" s="102" t="n"/>
      <c r="B372" s="147" t="n"/>
      <c r="C372" s="144" t="n"/>
      <c r="D372" s="144" t="n"/>
      <c r="E372" s="144" t="n"/>
      <c r="F372" s="144" t="n"/>
      <c r="G372" s="144" t="n"/>
      <c r="H372" s="141">
        <f>IF(K372&lt;&gt;"", HYPERLINK("https://chatgpt.com/?prompt=" &amp; SUBSTITUTE(SUBSTITUTE(K372, " ", "+"), "&amp;", "dan") &amp; "&amp;force-refresh=true&amp;timestamp=" &amp; TEXT(NOW(), "yyyymmddhhmmss"), "👉 Klik untuk Generate Script! 🔥"), "")</f>
        <v/>
      </c>
      <c r="I372" s="144" t="n"/>
      <c r="J372" s="148" t="n"/>
      <c r="K372" s="140">
        <f>IF(AND(B372&lt;&gt;"", C372&lt;&gt;"", D372&lt;&gt;"", E372&lt;&gt;"", F372&lt;&gt;"", G372&lt;&gt;"", J372&lt;&gt;"", 'CONTENT PILLAR MAPPING'!C274&lt;&gt;"", 'CONTENT PILLAR MAPPING'!E274&lt;&gt;"", 'CONTENT PILLAR MAPPING'!F274&lt;&gt;"", 'CONTENT PILLAR MAPPING'!C277&lt;&gt;"", 'CONTENT PILLAR MAPPING'!C282&lt;&gt;"", 'CONTENT PILLAR MAPPING'!D282&lt;&gt;"", 'CONTENT PILLAR MAPPING'!E282&lt;&gt;"", 'CONTENT PILLAR MAPPING'!D290&lt;&gt;"", 'CONTENT PILLAR MAPPING'!D291&lt;&gt;""),
CONCATENATE(
"Sebagai seorang top konten kreator dengan niche utama '", 'CONTENT PILLAR MAPPING'!C274, "', spesifik kategori '", 'CONTENT PILLAR MAPPING'!E274, "', dan super spesifik '", 'CONTENT PILLAR MAPPING'!F274, "', yang dikenal sebagai '", 'CONTENT PILLAR MAPPING'!C277, "'.", CHAR(10),
"Saya memiliki Tone of Voice: '", 'CONTENT PILLAR MAPPING'!C282, "', Brand Archetype: '", 'CONTENT PILLAR MAPPING'!D282, "', dan Deskripsi Gaya Komunikasi: '", 'CONTENT PILLAR MAPPING'!E282, "'.", CHAR(10),
"Target audiens saya adalah: '", 'CONTENT PILLAR MAPPING'!D290, "', dengan segmentasi audiens: '", 'CONTENT PILLAR MAPPING'!D291, "'.", CHAR(10), CHAR(10),
"Mohon buatkan script konten yang **sangat powerful, menarik, inovatif, dan siap pakai** dengan judul ide '", B372, "'.", CHAR(10),
"Konten ini memiliki pilar '", C372, "', nilai tambah utama '", F372, "', dan akan menggunakan storytelling framework '", G372, "'.", CHAR(10),
"Gambaran singkat ide kontennya adalah: '", J372, "'.", CHAR(10),
"Konten ini akan diunggah di platform '", E372, "' dengan format '", D372,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MAPPING'!C277, "'.** Sesuaikan dengan gaya komunikasi saya, dengan fokus pada nilai tambah '", F372,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MAPPING'!D290, ", khusus ", 'CONTENT PILLAR MAPPING'!D291, ") dan membantu mereka menyelesaikan masalah atau mencapai tujuan mereka.", CHAR(10),
"✔ Membantuku membangun personal branding yang kuat dan sustainable, sesuai dengan Positioning saya sebagai '", 'CONTENT PILLAR MAPPING'!C277, "' dan Brand Archetype '", 'CONTENT PILLAR MAPPING'!D282, "'.", CHAR(10),
"✔ Kemas dalam bentuk tabel agar rapi, mudah di baca dan dipahami, dengan kolom 'Judul Konten', 'Pilar', 'Format', 'Draft Script', 'CTA', 'Saran Visual', dan 'Full Caption'. (Kosongkan kolom Link Prompt jika ada)."
),
"")</f>
        <v/>
      </c>
      <c r="L372" s="199" t="n"/>
      <c r="M372" s="199" t="n"/>
      <c r="N372" s="102" t="n"/>
      <c r="O372" s="102" t="n"/>
      <c r="P372" s="102" t="n"/>
      <c r="Q372" s="102" t="n"/>
      <c r="R372" s="102" t="n"/>
      <c r="S372" s="102" t="n"/>
      <c r="T372" s="102" t="n"/>
      <c r="U372" s="102" t="n"/>
      <c r="V372" s="102" t="n"/>
      <c r="W372" s="102" t="n"/>
      <c r="X372" s="102" t="n"/>
      <c r="Y372" s="102" t="n"/>
      <c r="Z372" s="102" t="n"/>
      <c r="AA372" s="102" t="n"/>
      <c r="AB372" s="102" t="n"/>
      <c r="AC372" s="102" t="n"/>
      <c r="AD372" s="102" t="n"/>
    </row>
    <row r="373" ht="15.75" customHeight="1" s="205">
      <c r="A373" s="102" t="n"/>
      <c r="B373" s="142" t="n"/>
      <c r="C373" s="143" t="n"/>
      <c r="D373" s="143" t="n"/>
      <c r="E373" s="143" t="n"/>
      <c r="F373" s="143" t="n"/>
      <c r="G373" s="144" t="n"/>
      <c r="H373" s="145">
        <f>IF(K373&lt;&gt;"", HYPERLINK("https://chatgpt.com/?prompt=" &amp; SUBSTITUTE(SUBSTITUTE(K373, " ", "+"), "&amp;", "dan") &amp; "&amp;force-refresh=true&amp;timestamp=" &amp; TEXT(NOW(), "yyyymmddhhmmss"), "👉 Klik untuk Generate Script! 🔥"), "")</f>
        <v/>
      </c>
      <c r="I373" s="143" t="n"/>
      <c r="J373" s="146" t="n"/>
      <c r="K373" s="130">
        <f>IF(AND(B373&lt;&gt;"", C373&lt;&gt;"", D373&lt;&gt;"", E373&lt;&gt;"", F373&lt;&gt;"", G373&lt;&gt;"", J373&lt;&gt;"", 'CONTENT PILLAR MAPPING'!C276&lt;&gt;"", 'CONTENT PILLAR MAPPING'!E276&lt;&gt;"", 'CONTENT PILLAR MAPPING'!F276&lt;&gt;"", 'CONTENT PILLAR MAPPING'!C279&lt;&gt;"", 'CONTENT PILLAR MAPPING'!C284&lt;&gt;"", 'CONTENT PILLAR MAPPING'!D284&lt;&gt;"", 'CONTENT PILLAR MAPPING'!E284&lt;&gt;"", 'CONTENT PILLAR MAPPING'!D292&lt;&gt;"", 'CONTENT PILLAR MAPPING'!D293&lt;&gt;""),
CONCATENATE(
"Sebagai seorang top konten kreator dengan niche utama '", 'CONTENT PILLAR MAPPING'!C276, "', spesifik kategori '", 'CONTENT PILLAR MAPPING'!E276, "', dan super spesifik '", 'CONTENT PILLAR MAPPING'!F276, "', yang dikenal sebagai '", 'CONTENT PILLAR MAPPING'!C279, "'.", CHAR(10),
"Saya memiliki Tone of Voice: '", 'CONTENT PILLAR MAPPING'!C284, "', Brand Archetype: '", 'CONTENT PILLAR MAPPING'!D284, "', dan Deskripsi Gaya Komunikasi: '", 'CONTENT PILLAR MAPPING'!E284, "'.", CHAR(10),
"Target audiens saya adalah: '", 'CONTENT PILLAR MAPPING'!D292, "', dengan segmentasi audiens: '", 'CONTENT PILLAR MAPPING'!D293, "'.", CHAR(10), CHAR(10),
"Mohon buatkan script konten yang **sangat powerful, menarik, inovatif, dan siap pakai** dengan judul ide '", B373, "'.", CHAR(10),
"Konten ini memiliki pilar '", C373, "', nilai tambah utama '", F373, "', dan akan menggunakan storytelling framework '", G373, "'.", CHAR(10),
"Gambaran singkat ide kontennya adalah: '", J373, "'.", CHAR(10),
"Konten ini akan diunggah di platform '", E373, "' dengan format '", D373,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MAPPING'!C279, "'.** Sesuaikan dengan gaya komunikasi saya, dengan fokus pada nilai tambah '", F373,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MAPPING'!D292, ", khusus ", 'CONTENT PILLAR MAPPING'!D293, ") dan membantu mereka menyelesaikan masalah atau mencapai tujuan mereka.", CHAR(10),
"✔ Membantuku membangun personal branding yang kuat dan sustainable, sesuai dengan Positioning saya sebagai '", 'CONTENT PILLAR MAPPING'!C279, "' dan Brand Archetype '", 'CONTENT PILLAR MAPPING'!D284, "'.", CHAR(10),
"✔ Kemas dalam bentuk tabel agar rapi, mudah di baca dan dipahami, dengan kolom 'Judul Konten', 'Pilar', 'Format', 'Draft Script', 'CTA', 'Saran Visual', dan 'Full Caption'. (Kosongkan kolom Link Prompt jika ada)."
),
"")</f>
        <v/>
      </c>
      <c r="L373" s="91" t="n"/>
      <c r="M373" s="91" t="n"/>
      <c r="N373" s="102" t="n"/>
      <c r="O373" s="102" t="n"/>
      <c r="P373" s="102" t="n"/>
      <c r="Q373" s="102" t="n"/>
      <c r="R373" s="102" t="n"/>
      <c r="S373" s="102" t="n"/>
      <c r="T373" s="102" t="n"/>
      <c r="U373" s="102" t="n"/>
      <c r="V373" s="102" t="n"/>
      <c r="W373" s="102" t="n"/>
      <c r="X373" s="102" t="n"/>
      <c r="Y373" s="102" t="n"/>
      <c r="Z373" s="102" t="n"/>
      <c r="AA373" s="102" t="n"/>
      <c r="AB373" s="102" t="n"/>
      <c r="AC373" s="102" t="n"/>
      <c r="AD373" s="102" t="n"/>
    </row>
    <row r="374" ht="15.75" customHeight="1" s="205">
      <c r="A374" s="102" t="n"/>
      <c r="B374" s="147" t="n"/>
      <c r="C374" s="144" t="n"/>
      <c r="D374" s="144" t="n"/>
      <c r="E374" s="144" t="n"/>
      <c r="F374" s="144" t="n"/>
      <c r="G374" s="144" t="n"/>
      <c r="H374" s="141">
        <f>IF(K374&lt;&gt;"", HYPERLINK("https://chatgpt.com/?prompt=" &amp; SUBSTITUTE(SUBSTITUTE(K374, " ", "+"), "&amp;", "dan") &amp; "&amp;force-refresh=true&amp;timestamp=" &amp; TEXT(NOW(), "yyyymmddhhmmss"), "👉 Klik untuk Generate Script! 🔥"), "")</f>
        <v/>
      </c>
      <c r="I374" s="144" t="n"/>
      <c r="J374" s="148" t="n"/>
      <c r="K374" s="140">
        <f>IF(AND(B374&lt;&gt;"", C374&lt;&gt;"", D374&lt;&gt;"", E374&lt;&gt;"", F374&lt;&gt;"", G374&lt;&gt;"", J374&lt;&gt;"", 'CONTENT PILLAR MAPPING'!C276&lt;&gt;"", 'CONTENT PILLAR MAPPING'!E276&lt;&gt;"", 'CONTENT PILLAR MAPPING'!F276&lt;&gt;"", 'CONTENT PILLAR MAPPING'!C279&lt;&gt;"", 'CONTENT PILLAR MAPPING'!C284&lt;&gt;"", 'CONTENT PILLAR MAPPING'!D284&lt;&gt;"", 'CONTENT PILLAR MAPPING'!E284&lt;&gt;"", 'CONTENT PILLAR MAPPING'!D292&lt;&gt;"", 'CONTENT PILLAR MAPPING'!D293&lt;&gt;""),
CONCATENATE(
"Sebagai seorang top konten kreator dengan niche utama '", 'CONTENT PILLAR MAPPING'!C276, "', spesifik kategori '", 'CONTENT PILLAR MAPPING'!E276, "', dan super spesifik '", 'CONTENT PILLAR MAPPING'!F276, "', yang dikenal sebagai '", 'CONTENT PILLAR MAPPING'!C279, "'.", CHAR(10),
"Saya memiliki Tone of Voice: '", 'CONTENT PILLAR MAPPING'!C284, "', Brand Archetype: '", 'CONTENT PILLAR MAPPING'!D284, "', dan Deskripsi Gaya Komunikasi: '", 'CONTENT PILLAR MAPPING'!E284, "'.", CHAR(10),
"Target audiens saya adalah: '", 'CONTENT PILLAR MAPPING'!D292, "', dengan segmentasi audiens: '", 'CONTENT PILLAR MAPPING'!D293, "'.", CHAR(10), CHAR(10),
"Mohon buatkan script konten yang **sangat powerful, menarik, inovatif, dan siap pakai** dengan judul ide '", B374, "'.", CHAR(10),
"Konten ini memiliki pilar '", C374, "', nilai tambah utama '", F374, "', dan akan menggunakan storytelling framework '", G374, "'.", CHAR(10),
"Gambaran singkat ide kontennya adalah: '", J374, "'.", CHAR(10),
"Konten ini akan diunggah di platform '", E374, "' dengan format '", D374,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MAPPING'!C279, "'.** Sesuaikan dengan gaya komunikasi saya, dengan fokus pada nilai tambah '", F374,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MAPPING'!D292, ", khusus ", 'CONTENT PILLAR MAPPING'!D293, ") dan membantu mereka menyelesaikan masalah atau mencapai tujuan mereka.", CHAR(10),
"✔ Membantuku membangun personal branding yang kuat dan sustainable, sesuai dengan Positioning saya sebagai '", 'CONTENT PILLAR MAPPING'!C279, "' dan Brand Archetype '", 'CONTENT PILLAR MAPPING'!D284, "'.", CHAR(10),
"✔ Kemas dalam bentuk tabel agar rapi, mudah di baca dan dipahami, dengan kolom 'Judul Konten', 'Pilar', 'Format', 'Draft Script', 'CTA', 'Saran Visual', dan 'Full Caption'. (Kosongkan kolom Link Prompt jika ada)."
),
"")</f>
        <v/>
      </c>
      <c r="L374" s="199" t="n"/>
      <c r="M374" s="199" t="n"/>
      <c r="N374" s="102" t="n"/>
      <c r="O374" s="102" t="n"/>
      <c r="P374" s="102" t="n"/>
      <c r="Q374" s="102" t="n"/>
      <c r="R374" s="102" t="n"/>
      <c r="S374" s="102" t="n"/>
      <c r="T374" s="102" t="n"/>
      <c r="U374" s="102" t="n"/>
      <c r="V374" s="102" t="n"/>
      <c r="W374" s="102" t="n"/>
      <c r="X374" s="102" t="n"/>
      <c r="Y374" s="102" t="n"/>
      <c r="Z374" s="102" t="n"/>
      <c r="AA374" s="102" t="n"/>
      <c r="AB374" s="102" t="n"/>
      <c r="AC374" s="102" t="n"/>
      <c r="AD374" s="102" t="n"/>
    </row>
    <row r="375" ht="15.75" customHeight="1" s="205">
      <c r="A375" s="102" t="n"/>
      <c r="B375" s="142" t="n"/>
      <c r="C375" s="143" t="n"/>
      <c r="D375" s="143" t="n"/>
      <c r="E375" s="143" t="n"/>
      <c r="F375" s="143" t="n"/>
      <c r="G375" s="144" t="n"/>
      <c r="H375" s="145">
        <f>IF(K375&lt;&gt;"", HYPERLINK("https://chatgpt.com/?prompt=" &amp; SUBSTITUTE(SUBSTITUTE(K375, " ", "+"), "&amp;", "dan") &amp; "&amp;force-refresh=true&amp;timestamp=" &amp; TEXT(NOW(), "yyyymmddhhmmss"), "👉 Klik untuk Generate Script! 🔥"), "")</f>
        <v/>
      </c>
      <c r="I375" s="143" t="n"/>
      <c r="J375" s="146" t="n"/>
      <c r="K375" s="130">
        <f>IF(AND(B375&lt;&gt;"", C375&lt;&gt;"", D375&lt;&gt;"", E375&lt;&gt;"", F375&lt;&gt;"", G375&lt;&gt;"", J375&lt;&gt;"", 'CONTENT PILLAR MAPPING'!C278&lt;&gt;"", 'CONTENT PILLAR MAPPING'!E278&lt;&gt;"", 'CONTENT PILLAR MAPPING'!F278&lt;&gt;"", 'CONTENT PILLAR MAPPING'!C281&lt;&gt;"", 'CONTENT PILLAR MAPPING'!C286&lt;&gt;"", 'CONTENT PILLAR MAPPING'!D286&lt;&gt;"", 'CONTENT PILLAR MAPPING'!E286&lt;&gt;"", 'CONTENT PILLAR MAPPING'!D294&lt;&gt;"", 'CONTENT PILLAR MAPPING'!D295&lt;&gt;""),
CONCATENATE(
"Sebagai seorang top konten kreator dengan niche utama '", 'CONTENT PILLAR MAPPING'!C278, "', spesifik kategori '", 'CONTENT PILLAR MAPPING'!E278, "', dan super spesifik '", 'CONTENT PILLAR MAPPING'!F278, "', yang dikenal sebagai '", 'CONTENT PILLAR MAPPING'!C281, "'.", CHAR(10),
"Saya memiliki Tone of Voice: '", 'CONTENT PILLAR MAPPING'!C286, "', Brand Archetype: '", 'CONTENT PILLAR MAPPING'!D286, "', dan Deskripsi Gaya Komunikasi: '", 'CONTENT PILLAR MAPPING'!E286, "'.", CHAR(10),
"Target audiens saya adalah: '", 'CONTENT PILLAR MAPPING'!D294, "', dengan segmentasi audiens: '", 'CONTENT PILLAR MAPPING'!D295, "'.", CHAR(10), CHAR(10),
"Mohon buatkan script konten yang **sangat powerful, menarik, inovatif, dan siap pakai** dengan judul ide '", B375, "'.", CHAR(10),
"Konten ini memiliki pilar '", C375, "', nilai tambah utama '", F375, "', dan akan menggunakan storytelling framework '", G375, "'.", CHAR(10),
"Gambaran singkat ide kontennya adalah: '", J375, "'.", CHAR(10),
"Konten ini akan diunggah di platform '", E375, "' dengan format '", D375,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MAPPING'!C281, "'.** Sesuaikan dengan gaya komunikasi saya, dengan fokus pada nilai tambah '", F375,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MAPPING'!D294, ", khusus ", 'CONTENT PILLAR MAPPING'!D295, ") dan membantu mereka menyelesaikan masalah atau mencapai tujuan mereka.", CHAR(10),
"✔ Membantuku membangun personal branding yang kuat dan sustainable, sesuai dengan Positioning saya sebagai '", 'CONTENT PILLAR MAPPING'!C281, "' dan Brand Archetype '", 'CONTENT PILLAR MAPPING'!D286, "'.", CHAR(10),
"✔ Kemas dalam bentuk tabel agar rapi, mudah di baca dan dipahami, dengan kolom 'Judul Konten', 'Pilar', 'Format', 'Draft Script', 'CTA', 'Saran Visual', dan 'Full Caption'. (Kosongkan kolom Link Prompt jika ada)."
),
"")</f>
        <v/>
      </c>
      <c r="L375" s="91" t="n"/>
      <c r="M375" s="91" t="n"/>
      <c r="N375" s="102" t="n"/>
      <c r="O375" s="102" t="n"/>
      <c r="P375" s="102" t="n"/>
      <c r="Q375" s="102" t="n"/>
      <c r="R375" s="102" t="n"/>
      <c r="S375" s="102" t="n"/>
      <c r="T375" s="102" t="n"/>
      <c r="U375" s="102" t="n"/>
      <c r="V375" s="102" t="n"/>
      <c r="W375" s="102" t="n"/>
      <c r="X375" s="102" t="n"/>
      <c r="Y375" s="102" t="n"/>
      <c r="Z375" s="102" t="n"/>
      <c r="AA375" s="102" t="n"/>
      <c r="AB375" s="102" t="n"/>
      <c r="AC375" s="102" t="n"/>
      <c r="AD375" s="102" t="n"/>
    </row>
    <row r="376" ht="15.75" customHeight="1" s="205">
      <c r="A376" s="102" t="n"/>
      <c r="B376" s="147" t="n"/>
      <c r="C376" s="144" t="n"/>
      <c r="D376" s="144" t="n"/>
      <c r="E376" s="144" t="n"/>
      <c r="F376" s="144" t="n"/>
      <c r="G376" s="144" t="n"/>
      <c r="H376" s="141">
        <f>IF(K376&lt;&gt;"", HYPERLINK("https://chatgpt.com/?prompt=" &amp; SUBSTITUTE(SUBSTITUTE(K376, " ", "+"), "&amp;", "dan") &amp; "&amp;force-refresh=true&amp;timestamp=" &amp; TEXT(NOW(), "yyyymmddhhmmss"), "👉 Klik untuk Generate Script! 🔥"), "")</f>
        <v/>
      </c>
      <c r="I376" s="144" t="n"/>
      <c r="J376" s="148" t="n"/>
      <c r="K376" s="140">
        <f>IF(AND(B376&lt;&gt;"", C376&lt;&gt;"", D376&lt;&gt;"", E376&lt;&gt;"", F376&lt;&gt;"", G376&lt;&gt;"", J376&lt;&gt;"", 'CONTENT PILLAR MAPPING'!C278&lt;&gt;"", 'CONTENT PILLAR MAPPING'!E278&lt;&gt;"", 'CONTENT PILLAR MAPPING'!F278&lt;&gt;"", 'CONTENT PILLAR MAPPING'!C281&lt;&gt;"", 'CONTENT PILLAR MAPPING'!C286&lt;&gt;"", 'CONTENT PILLAR MAPPING'!D286&lt;&gt;"", 'CONTENT PILLAR MAPPING'!E286&lt;&gt;"", 'CONTENT PILLAR MAPPING'!D294&lt;&gt;"", 'CONTENT PILLAR MAPPING'!D295&lt;&gt;""),
CONCATENATE(
"Sebagai seorang top konten kreator dengan niche utama '", 'CONTENT PILLAR MAPPING'!C278, "', spesifik kategori '", 'CONTENT PILLAR MAPPING'!E278, "', dan super spesifik '", 'CONTENT PILLAR MAPPING'!F278, "', yang dikenal sebagai '", 'CONTENT PILLAR MAPPING'!C281, "'.", CHAR(10),
"Saya memiliki Tone of Voice: '", 'CONTENT PILLAR MAPPING'!C286, "', Brand Archetype: '", 'CONTENT PILLAR MAPPING'!D286, "', dan Deskripsi Gaya Komunikasi: '", 'CONTENT PILLAR MAPPING'!E286, "'.", CHAR(10),
"Target audiens saya adalah: '", 'CONTENT PILLAR MAPPING'!D294, "', dengan segmentasi audiens: '", 'CONTENT PILLAR MAPPING'!D295, "'.", CHAR(10), CHAR(10),
"Mohon buatkan script konten yang **sangat powerful, menarik, inovatif, dan siap pakai** dengan judul ide '", B376, "'.", CHAR(10),
"Konten ini memiliki pilar '", C376, "', nilai tambah utama '", F376, "', dan akan menggunakan storytelling framework '", G376, "'.", CHAR(10),
"Gambaran singkat ide kontennya adalah: '", J376, "'.", CHAR(10),
"Konten ini akan diunggah di platform '", E376, "' dengan format '", D376,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MAPPING'!C281, "'.** Sesuaikan dengan gaya komunikasi saya, dengan fokus pada nilai tambah '", F376,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MAPPING'!D294, ", khusus ", 'CONTENT PILLAR MAPPING'!D295, ") dan membantu mereka menyelesaikan masalah atau mencapai tujuan mereka.", CHAR(10),
"✔ Membantuku membangun personal branding yang kuat dan sustainable, sesuai dengan Positioning saya sebagai '", 'CONTENT PILLAR MAPPING'!C281, "' dan Brand Archetype '", 'CONTENT PILLAR MAPPING'!D286, "'.", CHAR(10),
"✔ Kemas dalam bentuk tabel agar rapi, mudah di baca dan dipahami, dengan kolom 'Judul Konten', 'Pilar', 'Format', 'Draft Script', 'CTA', 'Saran Visual', dan 'Full Caption'. (Kosongkan kolom Link Prompt jika ada)."
),
"")</f>
        <v/>
      </c>
      <c r="L376" s="199" t="n"/>
      <c r="M376" s="199" t="n"/>
      <c r="N376" s="102" t="n"/>
      <c r="O376" s="102" t="n"/>
      <c r="P376" s="102" t="n"/>
      <c r="Q376" s="102" t="n"/>
      <c r="R376" s="102" t="n"/>
      <c r="S376" s="102" t="n"/>
      <c r="T376" s="102" t="n"/>
      <c r="U376" s="102" t="n"/>
      <c r="V376" s="102" t="n"/>
      <c r="W376" s="102" t="n"/>
      <c r="X376" s="102" t="n"/>
      <c r="Y376" s="102" t="n"/>
      <c r="Z376" s="102" t="n"/>
      <c r="AA376" s="102" t="n"/>
      <c r="AB376" s="102" t="n"/>
      <c r="AC376" s="102" t="n"/>
      <c r="AD376" s="102" t="n"/>
    </row>
    <row r="377" ht="15.75" customHeight="1" s="205">
      <c r="A377" s="102" t="n"/>
      <c r="B377" s="142" t="n"/>
      <c r="C377" s="143" t="n"/>
      <c r="D377" s="143" t="n"/>
      <c r="E377" s="143" t="n"/>
      <c r="F377" s="143" t="n"/>
      <c r="G377" s="144" t="n"/>
      <c r="H377" s="145">
        <f>IF(K377&lt;&gt;"", HYPERLINK("https://chatgpt.com/?prompt=" &amp; SUBSTITUTE(SUBSTITUTE(K377, " ", "+"), "&amp;", "dan") &amp; "&amp;force-refresh=true&amp;timestamp=" &amp; TEXT(NOW(), "yyyymmddhhmmss"), "👉 Klik untuk Generate Script! 🔥"), "")</f>
        <v/>
      </c>
      <c r="I377" s="143" t="n"/>
      <c r="J377" s="146" t="n"/>
      <c r="K377" s="130">
        <f>IF(AND(B377&lt;&gt;"", C377&lt;&gt;"", D377&lt;&gt;"", E377&lt;&gt;"", F377&lt;&gt;"", G377&lt;&gt;"", J377&lt;&gt;"", 'CONTENT PILLAR MAPPING'!C280&lt;&gt;"", 'CONTENT PILLAR MAPPING'!E280&lt;&gt;"", 'CONTENT PILLAR MAPPING'!F280&lt;&gt;"", 'CONTENT PILLAR MAPPING'!C283&lt;&gt;"", 'CONTENT PILLAR MAPPING'!C288&lt;&gt;"", 'CONTENT PILLAR MAPPING'!D288&lt;&gt;"", 'CONTENT PILLAR MAPPING'!E288&lt;&gt;"", 'CONTENT PILLAR MAPPING'!D296&lt;&gt;"", 'CONTENT PILLAR MAPPING'!D297&lt;&gt;""),
CONCATENATE(
"Sebagai seorang top konten kreator dengan niche utama '", 'CONTENT PILLAR MAPPING'!C280, "', spesifik kategori '", 'CONTENT PILLAR MAPPING'!E280, "', dan super spesifik '", 'CONTENT PILLAR MAPPING'!F280, "', yang dikenal sebagai '", 'CONTENT PILLAR MAPPING'!C283, "'.", CHAR(10),
"Saya memiliki Tone of Voice: '", 'CONTENT PILLAR MAPPING'!C288, "', Brand Archetype: '", 'CONTENT PILLAR MAPPING'!D288, "', dan Deskripsi Gaya Komunikasi: '", 'CONTENT PILLAR MAPPING'!E288, "'.", CHAR(10),
"Target audiens saya adalah: '", 'CONTENT PILLAR MAPPING'!D296, "', dengan segmentasi audiens: '", 'CONTENT PILLAR MAPPING'!D297, "'.", CHAR(10), CHAR(10),
"Mohon buatkan script konten yang **sangat powerful, menarik, inovatif, dan siap pakai** dengan judul ide '", B377, "'.", CHAR(10),
"Konten ini memiliki pilar '", C377, "', nilai tambah utama '", F377, "', dan akan menggunakan storytelling framework '", G377, "'.", CHAR(10),
"Gambaran singkat ide kontennya adalah: '", J377, "'.", CHAR(10),
"Konten ini akan diunggah di platform '", E377, "' dengan format '", D377,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MAPPING'!C283, "'.** Sesuaikan dengan gaya komunikasi saya, dengan fokus pada nilai tambah '", F377,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MAPPING'!D296, ", khusus ", 'CONTENT PILLAR MAPPING'!D297, ") dan membantu mereka menyelesaikan masalah atau mencapai tujuan mereka.", CHAR(10),
"✔ Membantuku membangun personal branding yang kuat dan sustainable, sesuai dengan Positioning saya sebagai '", 'CONTENT PILLAR MAPPING'!C283, "' dan Brand Archetype '", 'CONTENT PILLAR MAPPING'!D288, "'.", CHAR(10),
"✔ Kemas dalam bentuk tabel agar rapi, mudah di baca dan dipahami, dengan kolom 'Judul Konten', 'Pilar', 'Format', 'Draft Script', 'CTA', 'Saran Visual', dan 'Full Caption'. (Kosongkan kolom Link Prompt jika ada)."
),
"")</f>
        <v/>
      </c>
      <c r="L377" s="91" t="n"/>
      <c r="M377" s="91" t="n"/>
      <c r="N377" s="102" t="n"/>
      <c r="O377" s="102" t="n"/>
      <c r="P377" s="102" t="n"/>
      <c r="Q377" s="102" t="n"/>
      <c r="R377" s="102" t="n"/>
      <c r="S377" s="102" t="n"/>
      <c r="T377" s="102" t="n"/>
      <c r="U377" s="102" t="n"/>
      <c r="V377" s="102" t="n"/>
      <c r="W377" s="102" t="n"/>
      <c r="X377" s="102" t="n"/>
      <c r="Y377" s="102" t="n"/>
      <c r="Z377" s="102" t="n"/>
      <c r="AA377" s="102" t="n"/>
      <c r="AB377" s="102" t="n"/>
      <c r="AC377" s="102" t="n"/>
      <c r="AD377" s="102" t="n"/>
    </row>
    <row r="378" ht="15.75" customHeight="1" s="205">
      <c r="A378" s="102" t="n"/>
      <c r="B378" s="147" t="n"/>
      <c r="C378" s="144" t="n"/>
      <c r="D378" s="144" t="n"/>
      <c r="E378" s="144" t="n"/>
      <c r="F378" s="144" t="n"/>
      <c r="G378" s="144" t="n"/>
      <c r="H378" s="141">
        <f>IF(K378&lt;&gt;"", HYPERLINK("https://chatgpt.com/?prompt=" &amp; SUBSTITUTE(SUBSTITUTE(K378, " ", "+"), "&amp;", "dan") &amp; "&amp;force-refresh=true&amp;timestamp=" &amp; TEXT(NOW(), "yyyymmddhhmmss"), "👉 Klik untuk Generate Script! 🔥"), "")</f>
        <v/>
      </c>
      <c r="I378" s="144" t="n"/>
      <c r="J378" s="148" t="n"/>
      <c r="K378" s="140">
        <f>IF(AND(B378&lt;&gt;"", C378&lt;&gt;"", D378&lt;&gt;"", E378&lt;&gt;"", F378&lt;&gt;"", G378&lt;&gt;"", J378&lt;&gt;"", 'CONTENT PILLAR MAPPING'!C280&lt;&gt;"", 'CONTENT PILLAR MAPPING'!E280&lt;&gt;"", 'CONTENT PILLAR MAPPING'!F280&lt;&gt;"", 'CONTENT PILLAR MAPPING'!C283&lt;&gt;"", 'CONTENT PILLAR MAPPING'!C288&lt;&gt;"", 'CONTENT PILLAR MAPPING'!D288&lt;&gt;"", 'CONTENT PILLAR MAPPING'!E288&lt;&gt;"", 'CONTENT PILLAR MAPPING'!D296&lt;&gt;"", 'CONTENT PILLAR MAPPING'!D297&lt;&gt;""),
CONCATENATE(
"Sebagai seorang top konten kreator dengan niche utama '", 'CONTENT PILLAR MAPPING'!C280, "', spesifik kategori '", 'CONTENT PILLAR MAPPING'!E280, "', dan super spesifik '", 'CONTENT PILLAR MAPPING'!F280, "', yang dikenal sebagai '", 'CONTENT PILLAR MAPPING'!C283, "'.", CHAR(10),
"Saya memiliki Tone of Voice: '", 'CONTENT PILLAR MAPPING'!C288, "', Brand Archetype: '", 'CONTENT PILLAR MAPPING'!D288, "', dan Deskripsi Gaya Komunikasi: '", 'CONTENT PILLAR MAPPING'!E288, "'.", CHAR(10),
"Target audiens saya adalah: '", 'CONTENT PILLAR MAPPING'!D296, "', dengan segmentasi audiens: '", 'CONTENT PILLAR MAPPING'!D297, "'.", CHAR(10), CHAR(10),
"Mohon buatkan script konten yang **sangat powerful, menarik, inovatif, dan siap pakai** dengan judul ide '", B378, "'.", CHAR(10),
"Konten ini memiliki pilar '", C378, "', nilai tambah utama '", F378, "', dan akan menggunakan storytelling framework '", G378, "'.", CHAR(10),
"Gambaran singkat ide kontennya adalah: '", J378, "'.", CHAR(10),
"Konten ini akan diunggah di platform '", E378, "' dengan format '", D378,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MAPPING'!C283, "'.** Sesuaikan dengan gaya komunikasi saya, dengan fokus pada nilai tambah '", F378,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MAPPING'!D296, ", khusus ", 'CONTENT PILLAR MAPPING'!D297, ") dan membantu mereka menyelesaikan masalah atau mencapai tujuan mereka.", CHAR(10),
"✔ Membantuku membangun personal branding yang kuat dan sustainable, sesuai dengan Positioning saya sebagai '", 'CONTENT PILLAR MAPPING'!C283, "' dan Brand Archetype '", 'CONTENT PILLAR MAPPING'!D288, "'.", CHAR(10),
"✔ Kemas dalam bentuk tabel agar rapi, mudah di baca dan dipahami, dengan kolom 'Judul Konten', 'Pilar', 'Format', 'Draft Script', 'CTA', 'Saran Visual', dan 'Full Caption'. (Kosongkan kolom Link Prompt jika ada)."
),
"")</f>
        <v/>
      </c>
      <c r="L378" s="199" t="n"/>
      <c r="M378" s="199" t="n"/>
      <c r="N378" s="102" t="n"/>
      <c r="O378" s="102" t="n"/>
      <c r="P378" s="102" t="n"/>
      <c r="Q378" s="102" t="n"/>
      <c r="R378" s="102" t="n"/>
      <c r="S378" s="102" t="n"/>
      <c r="T378" s="102" t="n"/>
      <c r="U378" s="102" t="n"/>
      <c r="V378" s="102" t="n"/>
      <c r="W378" s="102" t="n"/>
      <c r="X378" s="102" t="n"/>
      <c r="Y378" s="102" t="n"/>
      <c r="Z378" s="102" t="n"/>
      <c r="AA378" s="102" t="n"/>
      <c r="AB378" s="102" t="n"/>
      <c r="AC378" s="102" t="n"/>
      <c r="AD378" s="102" t="n"/>
    </row>
    <row r="379" ht="15.75" customHeight="1" s="205">
      <c r="A379" s="102" t="n"/>
      <c r="B379" s="142" t="n"/>
      <c r="C379" s="143" t="n"/>
      <c r="D379" s="143" t="n"/>
      <c r="E379" s="143" t="n"/>
      <c r="F379" s="143" t="n"/>
      <c r="G379" s="144" t="n"/>
      <c r="H379" s="145">
        <f>IF(K379&lt;&gt;"", HYPERLINK("https://chatgpt.com/?prompt=" &amp; SUBSTITUTE(SUBSTITUTE(K379, " ", "+"), "&amp;", "dan") &amp; "&amp;force-refresh=true&amp;timestamp=" &amp; TEXT(NOW(), "yyyymmddhhmmss"), "👉 Klik untuk Generate Script! 🔥"), "")</f>
        <v/>
      </c>
      <c r="I379" s="143" t="n"/>
      <c r="J379" s="146" t="n"/>
      <c r="K379" s="130">
        <f>IF(AND(B379&lt;&gt;"", C379&lt;&gt;"", D379&lt;&gt;"", E379&lt;&gt;"", F379&lt;&gt;"", G379&lt;&gt;"", J379&lt;&gt;"", 'CONTENT PILLAR MAPPING'!C282&lt;&gt;"", 'CONTENT PILLAR MAPPING'!E282&lt;&gt;"", 'CONTENT PILLAR MAPPING'!F282&lt;&gt;"", 'CONTENT PILLAR MAPPING'!C285&lt;&gt;"", 'CONTENT PILLAR MAPPING'!C290&lt;&gt;"", 'CONTENT PILLAR MAPPING'!D290&lt;&gt;"", 'CONTENT PILLAR MAPPING'!E290&lt;&gt;"", 'CONTENT PILLAR MAPPING'!D298&lt;&gt;"", 'CONTENT PILLAR MAPPING'!D299&lt;&gt;""),
CONCATENATE(
"Sebagai seorang top konten kreator dengan niche utama '", 'CONTENT PILLAR MAPPING'!C282, "', spesifik kategori '", 'CONTENT PILLAR MAPPING'!E282, "', dan super spesifik '", 'CONTENT PILLAR MAPPING'!F282, "', yang dikenal sebagai '", 'CONTENT PILLAR MAPPING'!C285, "'.", CHAR(10),
"Saya memiliki Tone of Voice: '", 'CONTENT PILLAR MAPPING'!C290, "', Brand Archetype: '", 'CONTENT PILLAR MAPPING'!D290, "', dan Deskripsi Gaya Komunikasi: '", 'CONTENT PILLAR MAPPING'!E290, "'.", CHAR(10),
"Target audiens saya adalah: '", 'CONTENT PILLAR MAPPING'!D298, "', dengan segmentasi audiens: '", 'CONTENT PILLAR MAPPING'!D299, "'.", CHAR(10), CHAR(10),
"Mohon buatkan script konten yang **sangat powerful, menarik, inovatif, dan siap pakai** dengan judul ide '", B379, "'.", CHAR(10),
"Konten ini memiliki pilar '", C379, "', nilai tambah utama '", F379, "', dan akan menggunakan storytelling framework '", G379, "'.", CHAR(10),
"Gambaran singkat ide kontennya adalah: '", J379, "'.", CHAR(10),
"Konten ini akan diunggah di platform '", E379, "' dengan format '", D379,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MAPPING'!C285, "'.** Sesuaikan dengan gaya komunikasi saya, dengan fokus pada nilai tambah '", F379,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MAPPING'!D298, ", khusus ", 'CONTENT PILLAR MAPPING'!D299, ") dan membantu mereka menyelesaikan masalah atau mencapai tujuan mereka.", CHAR(10),
"✔ Membantuku membangun personal branding yang kuat dan sustainable, sesuai dengan Positioning saya sebagai '", 'CONTENT PILLAR MAPPING'!C285, "' dan Brand Archetype '", 'CONTENT PILLAR MAPPING'!D290, "'.", CHAR(10),
"✔ Kemas dalam bentuk tabel agar rapi, mudah di baca dan dipahami, dengan kolom 'Judul Konten', 'Pilar', 'Format', 'Draft Script', 'CTA', 'Saran Visual', dan 'Full Caption'. (Kosongkan kolom Link Prompt jika ada)."
),
"")</f>
        <v/>
      </c>
      <c r="L379" s="91" t="n"/>
      <c r="M379" s="91" t="n"/>
      <c r="N379" s="102" t="n"/>
      <c r="O379" s="102" t="n"/>
      <c r="P379" s="102" t="n"/>
      <c r="Q379" s="102" t="n"/>
      <c r="R379" s="102" t="n"/>
      <c r="S379" s="102" t="n"/>
      <c r="T379" s="102" t="n"/>
      <c r="U379" s="102" t="n"/>
      <c r="V379" s="102" t="n"/>
      <c r="W379" s="102" t="n"/>
      <c r="X379" s="102" t="n"/>
      <c r="Y379" s="102" t="n"/>
      <c r="Z379" s="102" t="n"/>
      <c r="AA379" s="102" t="n"/>
      <c r="AB379" s="102" t="n"/>
      <c r="AC379" s="102" t="n"/>
      <c r="AD379" s="102" t="n"/>
    </row>
    <row r="380" ht="15.75" customHeight="1" s="205">
      <c r="A380" s="102" t="n"/>
      <c r="B380" s="147" t="n"/>
      <c r="C380" s="144" t="n"/>
      <c r="D380" s="144" t="n"/>
      <c r="E380" s="144" t="n"/>
      <c r="F380" s="144" t="n"/>
      <c r="G380" s="144" t="n"/>
      <c r="H380" s="141">
        <f>IF(K380&lt;&gt;"", HYPERLINK("https://chatgpt.com/?prompt=" &amp; SUBSTITUTE(SUBSTITUTE(K380, " ", "+"), "&amp;", "dan") &amp; "&amp;force-refresh=true&amp;timestamp=" &amp; TEXT(NOW(), "yyyymmddhhmmss"), "👉 Klik untuk Generate Script! 🔥"), "")</f>
        <v/>
      </c>
      <c r="I380" s="144" t="n"/>
      <c r="J380" s="148" t="n"/>
      <c r="K380" s="140">
        <f>IF(AND(B380&lt;&gt;"", C380&lt;&gt;"", D380&lt;&gt;"", E380&lt;&gt;"", F380&lt;&gt;"", G380&lt;&gt;"", J380&lt;&gt;"", 'CONTENT PILLAR MAPPING'!C282&lt;&gt;"", 'CONTENT PILLAR MAPPING'!E282&lt;&gt;"", 'CONTENT PILLAR MAPPING'!F282&lt;&gt;"", 'CONTENT PILLAR MAPPING'!C285&lt;&gt;"", 'CONTENT PILLAR MAPPING'!C290&lt;&gt;"", 'CONTENT PILLAR MAPPING'!D290&lt;&gt;"", 'CONTENT PILLAR MAPPING'!E290&lt;&gt;"", 'CONTENT PILLAR MAPPING'!D298&lt;&gt;"", 'CONTENT PILLAR MAPPING'!D299&lt;&gt;""),
CONCATENATE(
"Sebagai seorang top konten kreator dengan niche utama '", 'CONTENT PILLAR MAPPING'!C282, "', spesifik kategori '", 'CONTENT PILLAR MAPPING'!E282, "', dan super spesifik '", 'CONTENT PILLAR MAPPING'!F282, "', yang dikenal sebagai '", 'CONTENT PILLAR MAPPING'!C285, "'.", CHAR(10),
"Saya memiliki Tone of Voice: '", 'CONTENT PILLAR MAPPING'!C290, "', Brand Archetype: '", 'CONTENT PILLAR MAPPING'!D290, "', dan Deskripsi Gaya Komunikasi: '", 'CONTENT PILLAR MAPPING'!E290, "'.", CHAR(10),
"Target audiens saya adalah: '", 'CONTENT PILLAR MAPPING'!D298, "', dengan segmentasi audiens: '", 'CONTENT PILLAR MAPPING'!D299, "'.", CHAR(10), CHAR(10),
"Mohon buatkan script konten yang **sangat powerful, menarik, inovatif, dan siap pakai** dengan judul ide '", B380, "'.", CHAR(10),
"Konten ini memiliki pilar '", C380, "', nilai tambah utama '", F380, "', dan akan menggunakan storytelling framework '", G380, "'.", CHAR(10),
"Gambaran singkat ide kontennya adalah: '", J380, "'.", CHAR(10),
"Konten ini akan diunggah di platform '", E380, "' dengan format '", D380,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MAPPING'!C285, "'.** Sesuaikan dengan gaya komunikasi saya, dengan fokus pada nilai tambah '", F380,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MAPPING'!D298, ", khusus ", 'CONTENT PILLAR MAPPING'!D299, ") dan membantu mereka menyelesaikan masalah atau mencapai tujuan mereka.", CHAR(10),
"✔ Membantuku membangun personal branding yang kuat dan sustainable, sesuai dengan Positioning saya sebagai '", 'CONTENT PILLAR MAPPING'!C285, "' dan Brand Archetype '", 'CONTENT PILLAR MAPPING'!D290, "'.", CHAR(10),
"✔ Kemas dalam bentuk tabel agar rapi, mudah di baca dan dipahami, dengan kolom 'Judul Konten', 'Pilar', 'Format', 'Draft Script', 'CTA', 'Saran Visual', dan 'Full Caption'. (Kosongkan kolom Link Prompt jika ada)."
),
"")</f>
        <v/>
      </c>
      <c r="L380" s="199" t="n"/>
      <c r="M380" s="199" t="n"/>
      <c r="N380" s="102" t="n"/>
      <c r="O380" s="102" t="n"/>
      <c r="P380" s="102" t="n"/>
      <c r="Q380" s="102" t="n"/>
      <c r="R380" s="102" t="n"/>
      <c r="S380" s="102" t="n"/>
      <c r="T380" s="102" t="n"/>
      <c r="U380" s="102" t="n"/>
      <c r="V380" s="102" t="n"/>
      <c r="W380" s="102" t="n"/>
      <c r="X380" s="102" t="n"/>
      <c r="Y380" s="102" t="n"/>
      <c r="Z380" s="102" t="n"/>
      <c r="AA380" s="102" t="n"/>
      <c r="AB380" s="102" t="n"/>
      <c r="AC380" s="102" t="n"/>
      <c r="AD380" s="102" t="n"/>
    </row>
    <row r="381" ht="15.75" customHeight="1" s="205">
      <c r="A381" s="102" t="n"/>
      <c r="B381" s="142" t="n"/>
      <c r="C381" s="143" t="n"/>
      <c r="D381" s="143" t="n"/>
      <c r="E381" s="143" t="n"/>
      <c r="F381" s="143" t="n"/>
      <c r="G381" s="144" t="n"/>
      <c r="H381" s="145">
        <f>IF(K381&lt;&gt;"", HYPERLINK("https://chatgpt.com/?prompt=" &amp; SUBSTITUTE(SUBSTITUTE(K381, " ", "+"), "&amp;", "dan") &amp; "&amp;force-refresh=true&amp;timestamp=" &amp; TEXT(NOW(), "yyyymmddhhmmss"), "👉 Klik untuk Generate Script! 🔥"), "")</f>
        <v/>
      </c>
      <c r="I381" s="143" t="n"/>
      <c r="J381" s="146" t="n"/>
      <c r="K381" s="130">
        <f>IF(AND(B381&lt;&gt;"", C381&lt;&gt;"", D381&lt;&gt;"", E381&lt;&gt;"", F381&lt;&gt;"", G381&lt;&gt;"", J381&lt;&gt;"", 'CONTENT PILLAR MAPPING'!C284&lt;&gt;"", 'CONTENT PILLAR MAPPING'!E284&lt;&gt;"", 'CONTENT PILLAR MAPPING'!F284&lt;&gt;"", 'CONTENT PILLAR MAPPING'!C287&lt;&gt;"", 'CONTENT PILLAR MAPPING'!C292&lt;&gt;"", 'CONTENT PILLAR MAPPING'!D292&lt;&gt;"", 'CONTENT PILLAR MAPPING'!E292&lt;&gt;"", 'CONTENT PILLAR MAPPING'!D300&lt;&gt;"", 'CONTENT PILLAR MAPPING'!D301&lt;&gt;""),
CONCATENATE(
"Sebagai seorang top konten kreator dengan niche utama '", 'CONTENT PILLAR MAPPING'!C284, "', spesifik kategori '", 'CONTENT PILLAR MAPPING'!E284, "', dan super spesifik '", 'CONTENT PILLAR MAPPING'!F284, "', yang dikenal sebagai '", 'CONTENT PILLAR MAPPING'!C287, "'.", CHAR(10),
"Saya memiliki Tone of Voice: '", 'CONTENT PILLAR MAPPING'!C292, "', Brand Archetype: '", 'CONTENT PILLAR MAPPING'!D292, "', dan Deskripsi Gaya Komunikasi: '", 'CONTENT PILLAR MAPPING'!E292, "'.", CHAR(10),
"Target audiens saya adalah: '", 'CONTENT PILLAR MAPPING'!D300, "', dengan segmentasi audiens: '", 'CONTENT PILLAR MAPPING'!D301, "'.", CHAR(10), CHAR(10),
"Mohon buatkan script konten yang **sangat powerful, menarik, inovatif, dan siap pakai** dengan judul ide '", B381, "'.", CHAR(10),
"Konten ini memiliki pilar '", C381, "', nilai tambah utama '", F381, "', dan akan menggunakan storytelling framework '", G381, "'.", CHAR(10),
"Gambaran singkat ide kontennya adalah: '", J381, "'.", CHAR(10),
"Konten ini akan diunggah di platform '", E381, "' dengan format '", D381,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MAPPING'!C287, "'.** Sesuaikan dengan gaya komunikasi saya, dengan fokus pada nilai tambah '", F381,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MAPPING'!D300, ", khusus ", 'CONTENT PILLAR MAPPING'!D301, ") dan membantu mereka menyelesaikan masalah atau mencapai tujuan mereka.", CHAR(10),
"✔ Membantuku membangun personal branding yang kuat dan sustainable, sesuai dengan Positioning saya sebagai '", 'CONTENT PILLAR MAPPING'!C287, "' dan Brand Archetype '", 'CONTENT PILLAR MAPPING'!D292, "'.", CHAR(10),
"✔ Kemas dalam bentuk tabel agar rapi, mudah di baca dan dipahami, dengan kolom 'Judul Konten', 'Pilar', 'Format', 'Draft Script', 'CTA', 'Saran Visual', dan 'Full Caption'. (Kosongkan kolom Link Prompt jika ada)."
),
"")</f>
        <v/>
      </c>
      <c r="L381" s="91" t="n"/>
      <c r="M381" s="91" t="n"/>
      <c r="N381" s="102" t="n"/>
      <c r="O381" s="102" t="n"/>
      <c r="P381" s="102" t="n"/>
      <c r="Q381" s="102" t="n"/>
      <c r="R381" s="102" t="n"/>
      <c r="S381" s="102" t="n"/>
      <c r="T381" s="102" t="n"/>
      <c r="U381" s="102" t="n"/>
      <c r="V381" s="102" t="n"/>
      <c r="W381" s="102" t="n"/>
      <c r="X381" s="102" t="n"/>
      <c r="Y381" s="102" t="n"/>
      <c r="Z381" s="102" t="n"/>
      <c r="AA381" s="102" t="n"/>
      <c r="AB381" s="102" t="n"/>
      <c r="AC381" s="102" t="n"/>
      <c r="AD381" s="102" t="n"/>
    </row>
    <row r="382" ht="15.75" customHeight="1" s="205">
      <c r="A382" s="102" t="n"/>
      <c r="B382" s="147" t="n"/>
      <c r="C382" s="144" t="n"/>
      <c r="D382" s="144" t="n"/>
      <c r="E382" s="144" t="n"/>
      <c r="F382" s="144" t="n"/>
      <c r="G382" s="144" t="n"/>
      <c r="H382" s="141">
        <f>IF(K382&lt;&gt;"", HYPERLINK("https://chatgpt.com/?prompt=" &amp; SUBSTITUTE(SUBSTITUTE(K382, " ", "+"), "&amp;", "dan") &amp; "&amp;force-refresh=true&amp;timestamp=" &amp; TEXT(NOW(), "yyyymmddhhmmss"), "👉 Klik untuk Generate Script! 🔥"), "")</f>
        <v/>
      </c>
      <c r="I382" s="144" t="n"/>
      <c r="J382" s="148" t="n"/>
      <c r="K382" s="140">
        <f>IF(AND(B382&lt;&gt;"", C382&lt;&gt;"", D382&lt;&gt;"", E382&lt;&gt;"", F382&lt;&gt;"", G382&lt;&gt;"", J382&lt;&gt;"", 'CONTENT PILLAR MAPPING'!C284&lt;&gt;"", 'CONTENT PILLAR MAPPING'!E284&lt;&gt;"", 'CONTENT PILLAR MAPPING'!F284&lt;&gt;"", 'CONTENT PILLAR MAPPING'!C287&lt;&gt;"", 'CONTENT PILLAR MAPPING'!C292&lt;&gt;"", 'CONTENT PILLAR MAPPING'!D292&lt;&gt;"", 'CONTENT PILLAR MAPPING'!E292&lt;&gt;"", 'CONTENT PILLAR MAPPING'!D300&lt;&gt;"", 'CONTENT PILLAR MAPPING'!D301&lt;&gt;""),
CONCATENATE(
"Sebagai seorang top konten kreator dengan niche utama '", 'CONTENT PILLAR MAPPING'!C284, "', spesifik kategori '", 'CONTENT PILLAR MAPPING'!E284, "', dan super spesifik '", 'CONTENT PILLAR MAPPING'!F284, "', yang dikenal sebagai '", 'CONTENT PILLAR MAPPING'!C287, "'.", CHAR(10),
"Saya memiliki Tone of Voice: '", 'CONTENT PILLAR MAPPING'!C292, "', Brand Archetype: '", 'CONTENT PILLAR MAPPING'!D292, "', dan Deskripsi Gaya Komunikasi: '", 'CONTENT PILLAR MAPPING'!E292, "'.", CHAR(10),
"Target audiens saya adalah: '", 'CONTENT PILLAR MAPPING'!D300, "', dengan segmentasi audiens: '", 'CONTENT PILLAR MAPPING'!D301, "'.", CHAR(10), CHAR(10),
"Mohon buatkan script konten yang **sangat powerful, menarik, inovatif, dan siap pakai** dengan judul ide '", B382, "'.", CHAR(10),
"Konten ini memiliki pilar '", C382, "', nilai tambah utama '", F382, "', dan akan menggunakan storytelling framework '", G382, "'.", CHAR(10),
"Gambaran singkat ide kontennya adalah: '", J382, "'.", CHAR(10),
"Konten ini akan diunggah di platform '", E382, "' dengan format '", D382,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MAPPING'!C287, "'.** Sesuaikan dengan gaya komunikasi saya, dengan fokus pada nilai tambah '", F382,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MAPPING'!D300, ", khusus ", 'CONTENT PILLAR MAPPING'!D301, ") dan membantu mereka menyelesaikan masalah atau mencapai tujuan mereka.", CHAR(10),
"✔ Membantuku membangun personal branding yang kuat dan sustainable, sesuai dengan Positioning saya sebagai '", 'CONTENT PILLAR MAPPING'!C287, "' dan Brand Archetype '", 'CONTENT PILLAR MAPPING'!D292, "'.", CHAR(10),
"✔ Kemas dalam bentuk tabel agar rapi, mudah di baca dan dipahami, dengan kolom 'Judul Konten', 'Pilar', 'Format', 'Draft Script', 'CTA', 'Saran Visual', dan 'Full Caption'. (Kosongkan kolom Link Prompt jika ada)."
),
"")</f>
        <v/>
      </c>
      <c r="L382" s="199" t="n"/>
      <c r="M382" s="199" t="n"/>
      <c r="N382" s="102" t="n"/>
      <c r="O382" s="102" t="n"/>
      <c r="P382" s="102" t="n"/>
      <c r="Q382" s="102" t="n"/>
      <c r="R382" s="102" t="n"/>
      <c r="S382" s="102" t="n"/>
      <c r="T382" s="102" t="n"/>
      <c r="U382" s="102" t="n"/>
      <c r="V382" s="102" t="n"/>
      <c r="W382" s="102" t="n"/>
      <c r="X382" s="102" t="n"/>
      <c r="Y382" s="102" t="n"/>
      <c r="Z382" s="102" t="n"/>
      <c r="AA382" s="102" t="n"/>
      <c r="AB382" s="102" t="n"/>
      <c r="AC382" s="102" t="n"/>
      <c r="AD382" s="102" t="n"/>
    </row>
    <row r="383" ht="15.75" customHeight="1" s="205">
      <c r="A383" s="102" t="n"/>
      <c r="B383" s="142" t="n"/>
      <c r="C383" s="143" t="n"/>
      <c r="D383" s="143" t="n"/>
      <c r="E383" s="143" t="n"/>
      <c r="F383" s="143" t="n"/>
      <c r="G383" s="144" t="n"/>
      <c r="H383" s="145">
        <f>IF(K383&lt;&gt;"", HYPERLINK("https://chatgpt.com/?prompt=" &amp; SUBSTITUTE(SUBSTITUTE(K383, " ", "+"), "&amp;", "dan") &amp; "&amp;force-refresh=true&amp;timestamp=" &amp; TEXT(NOW(), "yyyymmddhhmmss"), "👉 Klik untuk Generate Script! 🔥"), "")</f>
        <v/>
      </c>
      <c r="I383" s="143" t="n"/>
      <c r="J383" s="146" t="n"/>
      <c r="K383" s="130">
        <f>IF(AND(B383&lt;&gt;"", C383&lt;&gt;"", D383&lt;&gt;"", E383&lt;&gt;"", F383&lt;&gt;"", G383&lt;&gt;"", J383&lt;&gt;"", 'CONTENT PILLAR MAPPING'!C286&lt;&gt;"", 'CONTENT PILLAR MAPPING'!E286&lt;&gt;"", 'CONTENT PILLAR MAPPING'!F286&lt;&gt;"", 'CONTENT PILLAR MAPPING'!C289&lt;&gt;"", 'CONTENT PILLAR MAPPING'!C294&lt;&gt;"", 'CONTENT PILLAR MAPPING'!D294&lt;&gt;"", 'CONTENT PILLAR MAPPING'!E294&lt;&gt;"", 'CONTENT PILLAR MAPPING'!D302&lt;&gt;"", 'CONTENT PILLAR MAPPING'!D303&lt;&gt;""),
CONCATENATE(
"Sebagai seorang top konten kreator dengan niche utama '", 'CONTENT PILLAR MAPPING'!C286, "', spesifik kategori '", 'CONTENT PILLAR MAPPING'!E286, "', dan super spesifik '", 'CONTENT PILLAR MAPPING'!F286, "', yang dikenal sebagai '", 'CONTENT PILLAR MAPPING'!C289, "'.", CHAR(10),
"Saya memiliki Tone of Voice: '", 'CONTENT PILLAR MAPPING'!C294, "', Brand Archetype: '", 'CONTENT PILLAR MAPPING'!D294, "', dan Deskripsi Gaya Komunikasi: '", 'CONTENT PILLAR MAPPING'!E294, "'.", CHAR(10),
"Target audiens saya adalah: '", 'CONTENT PILLAR MAPPING'!D302, "', dengan segmentasi audiens: '", 'CONTENT PILLAR MAPPING'!D303, "'.", CHAR(10), CHAR(10),
"Mohon buatkan script konten yang **sangat powerful, menarik, inovatif, dan siap pakai** dengan judul ide '", B383, "'.", CHAR(10),
"Konten ini memiliki pilar '", C383, "', nilai tambah utama '", F383, "', dan akan menggunakan storytelling framework '", G383, "'.", CHAR(10),
"Gambaran singkat ide kontennya adalah: '", J383, "'.", CHAR(10),
"Konten ini akan diunggah di platform '", E383, "' dengan format '", D383,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MAPPING'!C289, "'.** Sesuaikan dengan gaya komunikasi saya, dengan fokus pada nilai tambah '", F383,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MAPPING'!D302, ", khusus ", 'CONTENT PILLAR MAPPING'!D303, ") dan membantu mereka menyelesaikan masalah atau mencapai tujuan mereka.", CHAR(10),
"✔ Membantuku membangun personal branding yang kuat dan sustainable, sesuai dengan Positioning saya sebagai '", 'CONTENT PILLAR MAPPING'!C289, "' dan Brand Archetype '", 'CONTENT PILLAR MAPPING'!D294, "'.", CHAR(10),
"✔ Kemas dalam bentuk tabel agar rapi, mudah di baca dan dipahami, dengan kolom 'Judul Konten', 'Pilar', 'Format', 'Draft Script', 'CTA', 'Saran Visual', dan 'Full Caption'. (Kosongkan kolom Link Prompt jika ada)."
),
"")</f>
        <v/>
      </c>
      <c r="L383" s="91" t="n"/>
      <c r="M383" s="91" t="n"/>
      <c r="N383" s="102" t="n"/>
      <c r="O383" s="102" t="n"/>
      <c r="P383" s="102" t="n"/>
      <c r="Q383" s="102" t="n"/>
      <c r="R383" s="102" t="n"/>
      <c r="S383" s="102" t="n"/>
      <c r="T383" s="102" t="n"/>
      <c r="U383" s="102" t="n"/>
      <c r="V383" s="102" t="n"/>
      <c r="W383" s="102" t="n"/>
      <c r="X383" s="102" t="n"/>
      <c r="Y383" s="102" t="n"/>
      <c r="Z383" s="102" t="n"/>
      <c r="AA383" s="102" t="n"/>
      <c r="AB383" s="102" t="n"/>
      <c r="AC383" s="102" t="n"/>
      <c r="AD383" s="102" t="n"/>
    </row>
    <row r="384" ht="15.75" customHeight="1" s="205">
      <c r="A384" s="102" t="n"/>
      <c r="B384" s="147" t="n"/>
      <c r="C384" s="144" t="n"/>
      <c r="D384" s="144" t="n"/>
      <c r="E384" s="144" t="n"/>
      <c r="F384" s="144" t="n"/>
      <c r="G384" s="144" t="n"/>
      <c r="H384" s="141">
        <f>IF(K384&lt;&gt;"", HYPERLINK("https://chatgpt.com/?prompt=" &amp; SUBSTITUTE(SUBSTITUTE(K384, " ", "+"), "&amp;", "dan") &amp; "&amp;force-refresh=true&amp;timestamp=" &amp; TEXT(NOW(), "yyyymmddhhmmss"), "👉 Klik untuk Generate Script! 🔥"), "")</f>
        <v/>
      </c>
      <c r="I384" s="144" t="n"/>
      <c r="J384" s="148" t="n"/>
      <c r="K384" s="140">
        <f>IF(AND(B384&lt;&gt;"", C384&lt;&gt;"", D384&lt;&gt;"", E384&lt;&gt;"", F384&lt;&gt;"", G384&lt;&gt;"", J384&lt;&gt;"", 'CONTENT PILLAR MAPPING'!C286&lt;&gt;"", 'CONTENT PILLAR MAPPING'!E286&lt;&gt;"", 'CONTENT PILLAR MAPPING'!F286&lt;&gt;"", 'CONTENT PILLAR MAPPING'!C289&lt;&gt;"", 'CONTENT PILLAR MAPPING'!C294&lt;&gt;"", 'CONTENT PILLAR MAPPING'!D294&lt;&gt;"", 'CONTENT PILLAR MAPPING'!E294&lt;&gt;"", 'CONTENT PILLAR MAPPING'!D302&lt;&gt;"", 'CONTENT PILLAR MAPPING'!D303&lt;&gt;""),
CONCATENATE(
"Sebagai seorang top konten kreator dengan niche utama '", 'CONTENT PILLAR MAPPING'!C286, "', spesifik kategori '", 'CONTENT PILLAR MAPPING'!E286, "', dan super spesifik '", 'CONTENT PILLAR MAPPING'!F286, "', yang dikenal sebagai '", 'CONTENT PILLAR MAPPING'!C289, "'.", CHAR(10),
"Saya memiliki Tone of Voice: '", 'CONTENT PILLAR MAPPING'!C294, "', Brand Archetype: '", 'CONTENT PILLAR MAPPING'!D294, "', dan Deskripsi Gaya Komunikasi: '", 'CONTENT PILLAR MAPPING'!E294, "'.", CHAR(10),
"Target audiens saya adalah: '", 'CONTENT PILLAR MAPPING'!D302, "', dengan segmentasi audiens: '", 'CONTENT PILLAR MAPPING'!D303, "'.", CHAR(10), CHAR(10),
"Mohon buatkan script konten yang **sangat powerful, menarik, inovatif, dan siap pakai** dengan judul ide '", B384, "'.", CHAR(10),
"Konten ini memiliki pilar '", C384, "', nilai tambah utama '", F384, "', dan akan menggunakan storytelling framework '", G384, "'.", CHAR(10),
"Gambaran singkat ide kontennya adalah: '", J384, "'.", CHAR(10),
"Konten ini akan diunggah di platform '", E384, "' dengan format '", D384,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MAPPING'!C289, "'.** Sesuaikan dengan gaya komunikasi saya, dengan fokus pada nilai tambah '", F384,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MAPPING'!D302, ", khusus ", 'CONTENT PILLAR MAPPING'!D303, ") dan membantu mereka menyelesaikan masalah atau mencapai tujuan mereka.", CHAR(10),
"✔ Membantuku membangun personal branding yang kuat dan sustainable, sesuai dengan Positioning saya sebagai '", 'CONTENT PILLAR MAPPING'!C289, "' dan Brand Archetype '", 'CONTENT PILLAR MAPPING'!D294, "'.", CHAR(10),
"✔ Kemas dalam bentuk tabel agar rapi, mudah di baca dan dipahami, dengan kolom 'Judul Konten', 'Pilar', 'Format', 'Draft Script', 'CTA', 'Saran Visual', dan 'Full Caption'. (Kosongkan kolom Link Prompt jika ada)."
),
"")</f>
        <v/>
      </c>
      <c r="L384" s="199" t="n"/>
      <c r="M384" s="199" t="n"/>
      <c r="N384" s="102" t="n"/>
      <c r="O384" s="102" t="n"/>
      <c r="P384" s="102" t="n"/>
      <c r="Q384" s="102" t="n"/>
      <c r="R384" s="102" t="n"/>
      <c r="S384" s="102" t="n"/>
      <c r="T384" s="102" t="n"/>
      <c r="U384" s="102" t="n"/>
      <c r="V384" s="102" t="n"/>
      <c r="W384" s="102" t="n"/>
      <c r="X384" s="102" t="n"/>
      <c r="Y384" s="102" t="n"/>
      <c r="Z384" s="102" t="n"/>
      <c r="AA384" s="102" t="n"/>
      <c r="AB384" s="102" t="n"/>
      <c r="AC384" s="102" t="n"/>
      <c r="AD384" s="102" t="n"/>
    </row>
    <row r="385" ht="15.75" customHeight="1" s="205">
      <c r="A385" s="102" t="n"/>
      <c r="B385" s="142" t="n"/>
      <c r="C385" s="143" t="n"/>
      <c r="D385" s="143" t="n"/>
      <c r="E385" s="143" t="n"/>
      <c r="F385" s="143" t="n"/>
      <c r="G385" s="144" t="n"/>
      <c r="H385" s="145">
        <f>IF(K385&lt;&gt;"", HYPERLINK("https://chatgpt.com/?prompt=" &amp; SUBSTITUTE(SUBSTITUTE(K385, " ", "+"), "&amp;", "dan") &amp; "&amp;force-refresh=true&amp;timestamp=" &amp; TEXT(NOW(), "yyyymmddhhmmss"), "👉 Klik untuk Generate Script! 🔥"), "")</f>
        <v/>
      </c>
      <c r="I385" s="143" t="n"/>
      <c r="J385" s="146" t="n"/>
      <c r="K385" s="130">
        <f>IF(AND(B385&lt;&gt;"", C385&lt;&gt;"", D385&lt;&gt;"", E385&lt;&gt;"", F385&lt;&gt;"", G385&lt;&gt;"", J385&lt;&gt;"", 'CONTENT PILLAR MAPPING'!C288&lt;&gt;"", 'CONTENT PILLAR MAPPING'!E288&lt;&gt;"", 'CONTENT PILLAR MAPPING'!F288&lt;&gt;"", 'CONTENT PILLAR MAPPING'!C291&lt;&gt;"", 'CONTENT PILLAR MAPPING'!C296&lt;&gt;"", 'CONTENT PILLAR MAPPING'!D296&lt;&gt;"", 'CONTENT PILLAR MAPPING'!E296&lt;&gt;"", 'CONTENT PILLAR MAPPING'!D304&lt;&gt;"", 'CONTENT PILLAR MAPPING'!D305&lt;&gt;""),
CONCATENATE(
"Sebagai seorang top konten kreator dengan niche utama '", 'CONTENT PILLAR MAPPING'!C288, "', spesifik kategori '", 'CONTENT PILLAR MAPPING'!E288, "', dan super spesifik '", 'CONTENT PILLAR MAPPING'!F288, "', yang dikenal sebagai '", 'CONTENT PILLAR MAPPING'!C291, "'.", CHAR(10),
"Saya memiliki Tone of Voice: '", 'CONTENT PILLAR MAPPING'!C296, "', Brand Archetype: '", 'CONTENT PILLAR MAPPING'!D296, "', dan Deskripsi Gaya Komunikasi: '", 'CONTENT PILLAR MAPPING'!E296, "'.", CHAR(10),
"Target audiens saya adalah: '", 'CONTENT PILLAR MAPPING'!D304, "', dengan segmentasi audiens: '", 'CONTENT PILLAR MAPPING'!D305, "'.", CHAR(10), CHAR(10),
"Mohon buatkan script konten yang **sangat powerful, menarik, inovatif, dan siap pakai** dengan judul ide '", B385, "'.", CHAR(10),
"Konten ini memiliki pilar '", C385, "', nilai tambah utama '", F385, "', dan akan menggunakan storytelling framework '", G385, "'.", CHAR(10),
"Gambaran singkat ide kontennya adalah: '", J385, "'.", CHAR(10),
"Konten ini akan diunggah di platform '", E385, "' dengan format '", D385,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MAPPING'!C291, "'.** Sesuaikan dengan gaya komunikasi saya, dengan fokus pada nilai tambah '", F385,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MAPPING'!D304, ", khusus ", 'CONTENT PILLAR MAPPING'!D305, ") dan membantu mereka menyelesaikan masalah atau mencapai tujuan mereka.", CHAR(10),
"✔ Membantuku membangun personal branding yang kuat dan sustainable, sesuai dengan Positioning saya sebagai '", 'CONTENT PILLAR MAPPING'!C291, "' dan Brand Archetype '", 'CONTENT PILLAR MAPPING'!D296, "'.", CHAR(10),
"✔ Kemas dalam bentuk tabel agar rapi, mudah di baca dan dipahami, dengan kolom 'Judul Konten', 'Pilar', 'Format', 'Draft Script', 'CTA', 'Saran Visual', dan 'Full Caption'. (Kosongkan kolom Link Prompt jika ada)."
),
"")</f>
        <v/>
      </c>
      <c r="L385" s="91" t="n"/>
      <c r="M385" s="91" t="n"/>
      <c r="N385" s="102" t="n"/>
      <c r="O385" s="102" t="n"/>
      <c r="P385" s="102" t="n"/>
      <c r="Q385" s="102" t="n"/>
      <c r="R385" s="102" t="n"/>
      <c r="S385" s="102" t="n"/>
      <c r="T385" s="102" t="n"/>
      <c r="U385" s="102" t="n"/>
      <c r="V385" s="102" t="n"/>
      <c r="W385" s="102" t="n"/>
      <c r="X385" s="102" t="n"/>
      <c r="Y385" s="102" t="n"/>
      <c r="Z385" s="102" t="n"/>
      <c r="AA385" s="102" t="n"/>
      <c r="AB385" s="102" t="n"/>
      <c r="AC385" s="102" t="n"/>
      <c r="AD385" s="102" t="n"/>
    </row>
    <row r="386" ht="15.75" customHeight="1" s="205">
      <c r="A386" s="102" t="n"/>
      <c r="B386" s="147" t="n"/>
      <c r="C386" s="144" t="n"/>
      <c r="D386" s="144" t="n"/>
      <c r="E386" s="144" t="n"/>
      <c r="F386" s="144" t="n"/>
      <c r="G386" s="144" t="n"/>
      <c r="H386" s="141">
        <f>IF(K386&lt;&gt;"", HYPERLINK("https://chatgpt.com/?prompt=" &amp; SUBSTITUTE(SUBSTITUTE(K386, " ", "+"), "&amp;", "dan") &amp; "&amp;force-refresh=true&amp;timestamp=" &amp; TEXT(NOW(), "yyyymmddhhmmss"), "👉 Klik untuk Generate Script! 🔥"), "")</f>
        <v/>
      </c>
      <c r="I386" s="144" t="n"/>
      <c r="J386" s="148" t="n"/>
      <c r="K386" s="140">
        <f>IF(AND(B386&lt;&gt;"", C386&lt;&gt;"", D386&lt;&gt;"", E386&lt;&gt;"", F386&lt;&gt;"", G386&lt;&gt;"", J386&lt;&gt;"", 'CONTENT PILLAR MAPPING'!C288&lt;&gt;"", 'CONTENT PILLAR MAPPING'!E288&lt;&gt;"", 'CONTENT PILLAR MAPPING'!F288&lt;&gt;"", 'CONTENT PILLAR MAPPING'!C291&lt;&gt;"", 'CONTENT PILLAR MAPPING'!C296&lt;&gt;"", 'CONTENT PILLAR MAPPING'!D296&lt;&gt;"", 'CONTENT PILLAR MAPPING'!E296&lt;&gt;"", 'CONTENT PILLAR MAPPING'!D304&lt;&gt;"", 'CONTENT PILLAR MAPPING'!D305&lt;&gt;""),
CONCATENATE(
"Sebagai seorang top konten kreator dengan niche utama '", 'CONTENT PILLAR MAPPING'!C288, "', spesifik kategori '", 'CONTENT PILLAR MAPPING'!E288, "', dan super spesifik '", 'CONTENT PILLAR MAPPING'!F288, "', yang dikenal sebagai '", 'CONTENT PILLAR MAPPING'!C291, "'.", CHAR(10),
"Saya memiliki Tone of Voice: '", 'CONTENT PILLAR MAPPING'!C296, "', Brand Archetype: '", 'CONTENT PILLAR MAPPING'!D296, "', dan Deskripsi Gaya Komunikasi: '", 'CONTENT PILLAR MAPPING'!E296, "'.", CHAR(10),
"Target audiens saya adalah: '", 'CONTENT PILLAR MAPPING'!D304, "', dengan segmentasi audiens: '", 'CONTENT PILLAR MAPPING'!D305, "'.", CHAR(10), CHAR(10),
"Mohon buatkan script konten yang **sangat powerful, menarik, inovatif, dan siap pakai** dengan judul ide '", B386, "'.", CHAR(10),
"Konten ini memiliki pilar '", C386, "', nilai tambah utama '", F386, "', dan akan menggunakan storytelling framework '", G386, "'.", CHAR(10),
"Gambaran singkat ide kontennya adalah: '", J386, "'.", CHAR(10),
"Konten ini akan diunggah di platform '", E386, "' dengan format '", D386,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MAPPING'!C291, "'.** Sesuaikan dengan gaya komunikasi saya, dengan fokus pada nilai tambah '", F386,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MAPPING'!D304, ", khusus ", 'CONTENT PILLAR MAPPING'!D305, ") dan membantu mereka menyelesaikan masalah atau mencapai tujuan mereka.", CHAR(10),
"✔ Membantuku membangun personal branding yang kuat dan sustainable, sesuai dengan Positioning saya sebagai '", 'CONTENT PILLAR MAPPING'!C291, "' dan Brand Archetype '", 'CONTENT PILLAR MAPPING'!D296, "'.", CHAR(10),
"✔ Kemas dalam bentuk tabel agar rapi, mudah di baca dan dipahami, dengan kolom 'Judul Konten', 'Pilar', 'Format', 'Draft Script', 'CTA', 'Saran Visual', dan 'Full Caption'. (Kosongkan kolom Link Prompt jika ada)."
),
"")</f>
        <v/>
      </c>
      <c r="L386" s="199" t="n"/>
      <c r="M386" s="199" t="n"/>
      <c r="N386" s="102" t="n"/>
      <c r="O386" s="102" t="n"/>
      <c r="P386" s="102" t="n"/>
      <c r="Q386" s="102" t="n"/>
      <c r="R386" s="102" t="n"/>
      <c r="S386" s="102" t="n"/>
      <c r="T386" s="102" t="n"/>
      <c r="U386" s="102" t="n"/>
      <c r="V386" s="102" t="n"/>
      <c r="W386" s="102" t="n"/>
      <c r="X386" s="102" t="n"/>
      <c r="Y386" s="102" t="n"/>
      <c r="Z386" s="102" t="n"/>
      <c r="AA386" s="102" t="n"/>
      <c r="AB386" s="102" t="n"/>
      <c r="AC386" s="102" t="n"/>
      <c r="AD386" s="102" t="n"/>
    </row>
    <row r="387" ht="15.75" customHeight="1" s="205">
      <c r="A387" s="102" t="n"/>
      <c r="B387" s="142" t="n"/>
      <c r="C387" s="143" t="n"/>
      <c r="D387" s="143" t="n"/>
      <c r="E387" s="143" t="n"/>
      <c r="F387" s="143" t="n"/>
      <c r="G387" s="144" t="n"/>
      <c r="H387" s="145">
        <f>IF(K387&lt;&gt;"", HYPERLINK("https://chatgpt.com/?prompt=" &amp; SUBSTITUTE(SUBSTITUTE(K387, " ", "+"), "&amp;", "dan") &amp; "&amp;force-refresh=true&amp;timestamp=" &amp; TEXT(NOW(), "yyyymmddhhmmss"), "👉 Klik untuk Generate Script! 🔥"), "")</f>
        <v/>
      </c>
      <c r="I387" s="143" t="n"/>
      <c r="J387" s="146" t="n"/>
      <c r="K387" s="130">
        <f>IF(AND(B387&lt;&gt;"", C387&lt;&gt;"", D387&lt;&gt;"", E387&lt;&gt;"", F387&lt;&gt;"", G387&lt;&gt;"", J387&lt;&gt;"", 'CONTENT PILLAR MAPPING'!C290&lt;&gt;"", 'CONTENT PILLAR MAPPING'!E290&lt;&gt;"", 'CONTENT PILLAR MAPPING'!F290&lt;&gt;"", 'CONTENT PILLAR MAPPING'!C293&lt;&gt;"", 'CONTENT PILLAR MAPPING'!C298&lt;&gt;"", 'CONTENT PILLAR MAPPING'!D298&lt;&gt;"", 'CONTENT PILLAR MAPPING'!E298&lt;&gt;"", 'CONTENT PILLAR MAPPING'!D306&lt;&gt;"", 'CONTENT PILLAR MAPPING'!D307&lt;&gt;""),
CONCATENATE(
"Sebagai seorang top konten kreator dengan niche utama '", 'CONTENT PILLAR MAPPING'!C290, "', spesifik kategori '", 'CONTENT PILLAR MAPPING'!E290, "', dan super spesifik '", 'CONTENT PILLAR MAPPING'!F290, "', yang dikenal sebagai '", 'CONTENT PILLAR MAPPING'!C293, "'.", CHAR(10),
"Saya memiliki Tone of Voice: '", 'CONTENT PILLAR MAPPING'!C298, "', Brand Archetype: '", 'CONTENT PILLAR MAPPING'!D298, "', dan Deskripsi Gaya Komunikasi: '", 'CONTENT PILLAR MAPPING'!E298, "'.", CHAR(10),
"Target audiens saya adalah: '", 'CONTENT PILLAR MAPPING'!D306, "', dengan segmentasi audiens: '", 'CONTENT PILLAR MAPPING'!D307, "'.", CHAR(10), CHAR(10),
"Mohon buatkan script konten yang **sangat powerful, menarik, inovatif, dan siap pakai** dengan judul ide '", B387, "'.", CHAR(10),
"Konten ini memiliki pilar '", C387, "', nilai tambah utama '", F387, "', dan akan menggunakan storytelling framework '", G387, "'.", CHAR(10),
"Gambaran singkat ide kontennya adalah: '", J387, "'.", CHAR(10),
"Konten ini akan diunggah di platform '", E387, "' dengan format '", D387,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MAPPING'!C293, "'.** Sesuaikan dengan gaya komunikasi saya, dengan fokus pada nilai tambah '", F387,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MAPPING'!D306, ", khusus ", 'CONTENT PILLAR MAPPING'!D307, ") dan membantu mereka menyelesaikan masalah atau mencapai tujuan mereka.", CHAR(10),
"✔ Membantuku membangun personal branding yang kuat dan sustainable, sesuai dengan Positioning saya sebagai '", 'CONTENT PILLAR MAPPING'!C293, "' dan Brand Archetype '", 'CONTENT PILLAR MAPPING'!D298, "'.", CHAR(10),
"✔ Kemas dalam bentuk tabel agar rapi, mudah di baca dan dipahami, dengan kolom 'Judul Konten', 'Pilar', 'Format', 'Draft Script', 'CTA', 'Saran Visual', dan 'Full Caption'. (Kosongkan kolom Link Prompt jika ada)."
),
"")</f>
        <v/>
      </c>
      <c r="L387" s="91" t="n"/>
      <c r="M387" s="91" t="n"/>
      <c r="N387" s="102" t="n"/>
      <c r="O387" s="102" t="n"/>
      <c r="P387" s="102" t="n"/>
      <c r="Q387" s="102" t="n"/>
      <c r="R387" s="102" t="n"/>
      <c r="S387" s="102" t="n"/>
      <c r="T387" s="102" t="n"/>
      <c r="U387" s="102" t="n"/>
      <c r="V387" s="102" t="n"/>
      <c r="W387" s="102" t="n"/>
      <c r="X387" s="102" t="n"/>
      <c r="Y387" s="102" t="n"/>
      <c r="Z387" s="102" t="n"/>
      <c r="AA387" s="102" t="n"/>
      <c r="AB387" s="102" t="n"/>
      <c r="AC387" s="102" t="n"/>
      <c r="AD387" s="102" t="n"/>
    </row>
    <row r="388" ht="15.75" customHeight="1" s="205">
      <c r="A388" s="102" t="n"/>
      <c r="B388" s="147" t="n"/>
      <c r="C388" s="144" t="n"/>
      <c r="D388" s="144" t="n"/>
      <c r="E388" s="144" t="n"/>
      <c r="F388" s="144" t="n"/>
      <c r="G388" s="144" t="n"/>
      <c r="H388" s="141">
        <f>IF(K388&lt;&gt;"", HYPERLINK("https://chatgpt.com/?prompt=" &amp; SUBSTITUTE(SUBSTITUTE(K388, " ", "+"), "&amp;", "dan") &amp; "&amp;force-refresh=true&amp;timestamp=" &amp; TEXT(NOW(), "yyyymmddhhmmss"), "👉 Klik untuk Generate Script! 🔥"), "")</f>
        <v/>
      </c>
      <c r="I388" s="144" t="n"/>
      <c r="J388" s="148" t="n"/>
      <c r="K388" s="140">
        <f>IF(AND(B388&lt;&gt;"", C388&lt;&gt;"", D388&lt;&gt;"", E388&lt;&gt;"", F388&lt;&gt;"", G388&lt;&gt;"", J388&lt;&gt;"", 'CONTENT PILLAR MAPPING'!C290&lt;&gt;"", 'CONTENT PILLAR MAPPING'!E290&lt;&gt;"", 'CONTENT PILLAR MAPPING'!F290&lt;&gt;"", 'CONTENT PILLAR MAPPING'!C293&lt;&gt;"", 'CONTENT PILLAR MAPPING'!C298&lt;&gt;"", 'CONTENT PILLAR MAPPING'!D298&lt;&gt;"", 'CONTENT PILLAR MAPPING'!E298&lt;&gt;"", 'CONTENT PILLAR MAPPING'!D306&lt;&gt;"", 'CONTENT PILLAR MAPPING'!D307&lt;&gt;""),
CONCATENATE(
"Sebagai seorang top konten kreator dengan niche utama '", 'CONTENT PILLAR MAPPING'!C290, "', spesifik kategori '", 'CONTENT PILLAR MAPPING'!E290, "', dan super spesifik '", 'CONTENT PILLAR MAPPING'!F290, "', yang dikenal sebagai '", 'CONTENT PILLAR MAPPING'!C293, "'.", CHAR(10),
"Saya memiliki Tone of Voice: '", 'CONTENT PILLAR MAPPING'!C298, "', Brand Archetype: '", 'CONTENT PILLAR MAPPING'!D298, "', dan Deskripsi Gaya Komunikasi: '", 'CONTENT PILLAR MAPPING'!E298, "'.", CHAR(10),
"Target audiens saya adalah: '", 'CONTENT PILLAR MAPPING'!D306, "', dengan segmentasi audiens: '", 'CONTENT PILLAR MAPPING'!D307, "'.", CHAR(10), CHAR(10),
"Mohon buatkan script konten yang **sangat powerful, menarik, inovatif, dan siap pakai** dengan judul ide '", B388, "'.", CHAR(10),
"Konten ini memiliki pilar '", C388, "', nilai tambah utama '", F388, "', dan akan menggunakan storytelling framework '", G388, "'.", CHAR(10),
"Gambaran singkat ide kontennya adalah: '", J388, "'.", CHAR(10),
"Konten ini akan diunggah di platform '", E388, "' dengan format '", D388,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MAPPING'!C293, "'.** Sesuaikan dengan gaya komunikasi saya, dengan fokus pada nilai tambah '", F388,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MAPPING'!D306, ", khusus ", 'CONTENT PILLAR MAPPING'!D307, ") dan membantu mereka menyelesaikan masalah atau mencapai tujuan mereka.", CHAR(10),
"✔ Membantuku membangun personal branding yang kuat dan sustainable, sesuai dengan Positioning saya sebagai '", 'CONTENT PILLAR MAPPING'!C293, "' dan Brand Archetype '", 'CONTENT PILLAR MAPPING'!D298, "'.", CHAR(10),
"✔ Kemas dalam bentuk tabel agar rapi, mudah di baca dan dipahami, dengan kolom 'Judul Konten', 'Pilar', 'Format', 'Draft Script', 'CTA', 'Saran Visual', dan 'Full Caption'. (Kosongkan kolom Link Prompt jika ada)."
),
"")</f>
        <v/>
      </c>
      <c r="L388" s="199" t="n"/>
      <c r="M388" s="199" t="n"/>
      <c r="N388" s="102" t="n"/>
      <c r="O388" s="102" t="n"/>
      <c r="P388" s="102" t="n"/>
      <c r="Q388" s="102" t="n"/>
      <c r="R388" s="102" t="n"/>
      <c r="S388" s="102" t="n"/>
      <c r="T388" s="102" t="n"/>
      <c r="U388" s="102" t="n"/>
      <c r="V388" s="102" t="n"/>
      <c r="W388" s="102" t="n"/>
      <c r="X388" s="102" t="n"/>
      <c r="Y388" s="102" t="n"/>
      <c r="Z388" s="102" t="n"/>
      <c r="AA388" s="102" t="n"/>
      <c r="AB388" s="102" t="n"/>
      <c r="AC388" s="102" t="n"/>
      <c r="AD388" s="102" t="n"/>
    </row>
    <row r="389" ht="15.75" customHeight="1" s="205">
      <c r="A389" s="102" t="n"/>
      <c r="B389" s="142" t="n"/>
      <c r="C389" s="143" t="n"/>
      <c r="D389" s="143" t="n"/>
      <c r="E389" s="143" t="n"/>
      <c r="F389" s="143" t="n"/>
      <c r="G389" s="144" t="n"/>
      <c r="H389" s="145">
        <f>IF(K389&lt;&gt;"", HYPERLINK("https://chatgpt.com/?prompt=" &amp; SUBSTITUTE(SUBSTITUTE(K389, " ", "+"), "&amp;", "dan") &amp; "&amp;force-refresh=true&amp;timestamp=" &amp; TEXT(NOW(), "yyyymmddhhmmss"), "👉 Klik untuk Generate Script! 🔥"), "")</f>
        <v/>
      </c>
      <c r="I389" s="143" t="n"/>
      <c r="J389" s="146" t="n"/>
      <c r="K389" s="130">
        <f>IF(AND(B389&lt;&gt;"", C389&lt;&gt;"", D389&lt;&gt;"", E389&lt;&gt;"", F389&lt;&gt;"", G389&lt;&gt;"", J389&lt;&gt;"", 'CONTENT PILLAR MAPPING'!C292&lt;&gt;"", 'CONTENT PILLAR MAPPING'!E292&lt;&gt;"", 'CONTENT PILLAR MAPPING'!F292&lt;&gt;"", 'CONTENT PILLAR MAPPING'!C295&lt;&gt;"", 'CONTENT PILLAR MAPPING'!C300&lt;&gt;"", 'CONTENT PILLAR MAPPING'!D300&lt;&gt;"", 'CONTENT PILLAR MAPPING'!E300&lt;&gt;"", 'CONTENT PILLAR MAPPING'!D308&lt;&gt;"", 'CONTENT PILLAR MAPPING'!D309&lt;&gt;""),
CONCATENATE(
"Sebagai seorang top konten kreator dengan niche utama '", 'CONTENT PILLAR MAPPING'!C292, "', spesifik kategori '", 'CONTENT PILLAR MAPPING'!E292, "', dan super spesifik '", 'CONTENT PILLAR MAPPING'!F292, "', yang dikenal sebagai '", 'CONTENT PILLAR MAPPING'!C295, "'.", CHAR(10),
"Saya memiliki Tone of Voice: '", 'CONTENT PILLAR MAPPING'!C300, "', Brand Archetype: '", 'CONTENT PILLAR MAPPING'!D300, "', dan Deskripsi Gaya Komunikasi: '", 'CONTENT PILLAR MAPPING'!E300, "'.", CHAR(10),
"Target audiens saya adalah: '", 'CONTENT PILLAR MAPPING'!D308, "', dengan segmentasi audiens: '", 'CONTENT PILLAR MAPPING'!D309, "'.", CHAR(10), CHAR(10),
"Mohon buatkan script konten yang **sangat powerful, menarik, inovatif, dan siap pakai** dengan judul ide '", B389, "'.", CHAR(10),
"Konten ini memiliki pilar '", C389, "', nilai tambah utama '", F389, "', dan akan menggunakan storytelling framework '", G389, "'.", CHAR(10),
"Gambaran singkat ide kontennya adalah: '", J389, "'.", CHAR(10),
"Konten ini akan diunggah di platform '", E389, "' dengan format '", D389,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MAPPING'!C295, "'.** Sesuaikan dengan gaya komunikasi saya, dengan fokus pada nilai tambah '", F389,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MAPPING'!D308, ", khusus ", 'CONTENT PILLAR MAPPING'!D309, ") dan membantu mereka menyelesaikan masalah atau mencapai tujuan mereka.", CHAR(10),
"✔ Membantuku membangun personal branding yang kuat dan sustainable, sesuai dengan Positioning saya sebagai '", 'CONTENT PILLAR MAPPING'!C295, "' dan Brand Archetype '", 'CONTENT PILLAR MAPPING'!D300, "'.", CHAR(10),
"✔ Kemas dalam bentuk tabel agar rapi, mudah di baca dan dipahami, dengan kolom 'Judul Konten', 'Pilar', 'Format', 'Draft Script', 'CTA', 'Saran Visual', dan 'Full Caption'. (Kosongkan kolom Link Prompt jika ada)."
),
"")</f>
        <v/>
      </c>
      <c r="L389" s="91" t="n"/>
      <c r="M389" s="91" t="n"/>
      <c r="N389" s="102" t="n"/>
      <c r="O389" s="102" t="n"/>
      <c r="P389" s="102" t="n"/>
      <c r="Q389" s="102" t="n"/>
      <c r="R389" s="102" t="n"/>
      <c r="S389" s="102" t="n"/>
      <c r="T389" s="102" t="n"/>
      <c r="U389" s="102" t="n"/>
      <c r="V389" s="102" t="n"/>
      <c r="W389" s="102" t="n"/>
      <c r="X389" s="102" t="n"/>
      <c r="Y389" s="102" t="n"/>
      <c r="Z389" s="102" t="n"/>
      <c r="AA389" s="102" t="n"/>
      <c r="AB389" s="102" t="n"/>
      <c r="AC389" s="102" t="n"/>
      <c r="AD389" s="102" t="n"/>
    </row>
    <row r="390" ht="15.75" customHeight="1" s="205">
      <c r="A390" s="102" t="n"/>
      <c r="B390" s="147" t="n"/>
      <c r="C390" s="144" t="n"/>
      <c r="D390" s="144" t="n"/>
      <c r="E390" s="144" t="n"/>
      <c r="F390" s="144" t="n"/>
      <c r="G390" s="144" t="n"/>
      <c r="H390" s="141">
        <f>IF(K390&lt;&gt;"", HYPERLINK("https://chatgpt.com/?prompt=" &amp; SUBSTITUTE(SUBSTITUTE(K390, " ", "+"), "&amp;", "dan") &amp; "&amp;force-refresh=true&amp;timestamp=" &amp; TEXT(NOW(), "yyyymmddhhmmss"), "👉 Klik untuk Generate Script! 🔥"), "")</f>
        <v/>
      </c>
      <c r="I390" s="144" t="n"/>
      <c r="J390" s="148" t="n"/>
      <c r="K390" s="140">
        <f>IF(AND(B390&lt;&gt;"", C390&lt;&gt;"", D390&lt;&gt;"", E390&lt;&gt;"", F390&lt;&gt;"", G390&lt;&gt;"", J390&lt;&gt;"", 'CONTENT PILLAR MAPPING'!C292&lt;&gt;"", 'CONTENT PILLAR MAPPING'!E292&lt;&gt;"", 'CONTENT PILLAR MAPPING'!F292&lt;&gt;"", 'CONTENT PILLAR MAPPING'!C295&lt;&gt;"", 'CONTENT PILLAR MAPPING'!C300&lt;&gt;"", 'CONTENT PILLAR MAPPING'!D300&lt;&gt;"", 'CONTENT PILLAR MAPPING'!E300&lt;&gt;"", 'CONTENT PILLAR MAPPING'!D308&lt;&gt;"", 'CONTENT PILLAR MAPPING'!D309&lt;&gt;""),
CONCATENATE(
"Sebagai seorang top konten kreator dengan niche utama '", 'CONTENT PILLAR MAPPING'!C292, "', spesifik kategori '", 'CONTENT PILLAR MAPPING'!E292, "', dan super spesifik '", 'CONTENT PILLAR MAPPING'!F292, "', yang dikenal sebagai '", 'CONTENT PILLAR MAPPING'!C295, "'.", CHAR(10),
"Saya memiliki Tone of Voice: '", 'CONTENT PILLAR MAPPING'!C300, "', Brand Archetype: '", 'CONTENT PILLAR MAPPING'!D300, "', dan Deskripsi Gaya Komunikasi: '", 'CONTENT PILLAR MAPPING'!E300, "'.", CHAR(10),
"Target audiens saya adalah: '", 'CONTENT PILLAR MAPPING'!D308, "', dengan segmentasi audiens: '", 'CONTENT PILLAR MAPPING'!D309, "'.", CHAR(10), CHAR(10),
"Mohon buatkan script konten yang **sangat powerful, menarik, inovatif, dan siap pakai** dengan judul ide '", B390, "'.", CHAR(10),
"Konten ini memiliki pilar '", C390, "', nilai tambah utama '", F390, "', dan akan menggunakan storytelling framework '", G390, "'.", CHAR(10),
"Gambaran singkat ide kontennya adalah: '", J390, "'.", CHAR(10),
"Konten ini akan diunggah di platform '", E390, "' dengan format '", D390,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MAPPING'!C295, "'.** Sesuaikan dengan gaya komunikasi saya, dengan fokus pada nilai tambah '", F390,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MAPPING'!D308, ", khusus ", 'CONTENT PILLAR MAPPING'!D309, ") dan membantu mereka menyelesaikan masalah atau mencapai tujuan mereka.", CHAR(10),
"✔ Membantuku membangun personal branding yang kuat dan sustainable, sesuai dengan Positioning saya sebagai '", 'CONTENT PILLAR MAPPING'!C295, "' dan Brand Archetype '", 'CONTENT PILLAR MAPPING'!D300, "'.", CHAR(10),
"✔ Kemas dalam bentuk tabel agar rapi, mudah di baca dan dipahami, dengan kolom 'Judul Konten', 'Pilar', 'Format', 'Draft Script', 'CTA', 'Saran Visual', dan 'Full Caption'. (Kosongkan kolom Link Prompt jika ada)."
),
"")</f>
        <v/>
      </c>
      <c r="L390" s="199" t="n"/>
      <c r="M390" s="199" t="n"/>
      <c r="N390" s="102" t="n"/>
      <c r="O390" s="102" t="n"/>
      <c r="P390" s="102" t="n"/>
      <c r="Q390" s="102" t="n"/>
      <c r="R390" s="102" t="n"/>
      <c r="S390" s="102" t="n"/>
      <c r="T390" s="102" t="n"/>
      <c r="U390" s="102" t="n"/>
      <c r="V390" s="102" t="n"/>
      <c r="W390" s="102" t="n"/>
      <c r="X390" s="102" t="n"/>
      <c r="Y390" s="102" t="n"/>
      <c r="Z390" s="102" t="n"/>
      <c r="AA390" s="102" t="n"/>
      <c r="AB390" s="102" t="n"/>
      <c r="AC390" s="102" t="n"/>
      <c r="AD390" s="102" t="n"/>
    </row>
    <row r="391" ht="15.75" customHeight="1" s="205">
      <c r="A391" s="102" t="n"/>
      <c r="B391" s="142" t="n"/>
      <c r="C391" s="143" t="n"/>
      <c r="D391" s="143" t="n"/>
      <c r="E391" s="143" t="n"/>
      <c r="F391" s="143" t="n"/>
      <c r="G391" s="144" t="n"/>
      <c r="H391" s="145">
        <f>IF(K391&lt;&gt;"", HYPERLINK("https://chatgpt.com/?prompt=" &amp; SUBSTITUTE(SUBSTITUTE(K391, " ", "+"), "&amp;", "dan") &amp; "&amp;force-refresh=true&amp;timestamp=" &amp; TEXT(NOW(), "yyyymmddhhmmss"), "👉 Klik untuk Generate Script! 🔥"), "")</f>
        <v/>
      </c>
      <c r="I391" s="143" t="n"/>
      <c r="J391" s="146" t="n"/>
      <c r="K391" s="130">
        <f>IF(AND(B391&lt;&gt;"", C391&lt;&gt;"", D391&lt;&gt;"", E391&lt;&gt;"", F391&lt;&gt;"", G391&lt;&gt;"", J391&lt;&gt;"", 'CONTENT PILLAR MAPPING'!C294&lt;&gt;"", 'CONTENT PILLAR MAPPING'!E294&lt;&gt;"", 'CONTENT PILLAR MAPPING'!F294&lt;&gt;"", 'CONTENT PILLAR MAPPING'!C297&lt;&gt;"", 'CONTENT PILLAR MAPPING'!C302&lt;&gt;"", 'CONTENT PILLAR MAPPING'!D302&lt;&gt;"", 'CONTENT PILLAR MAPPING'!E302&lt;&gt;"", 'CONTENT PILLAR MAPPING'!D310&lt;&gt;"", 'CONTENT PILLAR MAPPING'!D311&lt;&gt;""),
CONCATENATE(
"Sebagai seorang top konten kreator dengan niche utama '", 'CONTENT PILLAR MAPPING'!C294, "', spesifik kategori '", 'CONTENT PILLAR MAPPING'!E294, "', dan super spesifik '", 'CONTENT PILLAR MAPPING'!F294, "', yang dikenal sebagai '", 'CONTENT PILLAR MAPPING'!C297, "'.", CHAR(10),
"Saya memiliki Tone of Voice: '", 'CONTENT PILLAR MAPPING'!C302, "', Brand Archetype: '", 'CONTENT PILLAR MAPPING'!D302, "', dan Deskripsi Gaya Komunikasi: '", 'CONTENT PILLAR MAPPING'!E302, "'.", CHAR(10),
"Target audiens saya adalah: '", 'CONTENT PILLAR MAPPING'!D310, "', dengan segmentasi audiens: '", 'CONTENT PILLAR MAPPING'!D311, "'.", CHAR(10), CHAR(10),
"Mohon buatkan script konten yang **sangat powerful, menarik, inovatif, dan siap pakai** dengan judul ide '", B391, "'.", CHAR(10),
"Konten ini memiliki pilar '", C391, "', nilai tambah utama '", F391, "', dan akan menggunakan storytelling framework '", G391, "'.", CHAR(10),
"Gambaran singkat ide kontennya adalah: '", J391, "'.", CHAR(10),
"Konten ini akan diunggah di platform '", E391, "' dengan format '", D391,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MAPPING'!C297, "'.** Sesuaikan dengan gaya komunikasi saya, dengan fokus pada nilai tambah '", F391,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MAPPING'!D310, ", khusus ", 'CONTENT PILLAR MAPPING'!D311, ") dan membantu mereka menyelesaikan masalah atau mencapai tujuan mereka.", CHAR(10),
"✔ Membantuku membangun personal branding yang kuat dan sustainable, sesuai dengan Positioning saya sebagai '", 'CONTENT PILLAR MAPPING'!C297, "' dan Brand Archetype '", 'CONTENT PILLAR MAPPING'!D302, "'.", CHAR(10),
"✔ Kemas dalam bentuk tabel agar rapi, mudah di baca dan dipahami, dengan kolom 'Judul Konten', 'Pilar', 'Format', 'Draft Script', 'CTA', 'Saran Visual', dan 'Full Caption'. (Kosongkan kolom Link Prompt jika ada)."
),
"")</f>
        <v/>
      </c>
      <c r="L391" s="91" t="n"/>
      <c r="M391" s="91" t="n"/>
      <c r="N391" s="102" t="n"/>
      <c r="O391" s="102" t="n"/>
      <c r="P391" s="102" t="n"/>
      <c r="Q391" s="102" t="n"/>
      <c r="R391" s="102" t="n"/>
      <c r="S391" s="102" t="n"/>
      <c r="T391" s="102" t="n"/>
      <c r="U391" s="102" t="n"/>
      <c r="V391" s="102" t="n"/>
      <c r="W391" s="102" t="n"/>
      <c r="X391" s="102" t="n"/>
      <c r="Y391" s="102" t="n"/>
      <c r="Z391" s="102" t="n"/>
      <c r="AA391" s="102" t="n"/>
      <c r="AB391" s="102" t="n"/>
      <c r="AC391" s="102" t="n"/>
      <c r="AD391" s="102" t="n"/>
    </row>
    <row r="392" ht="15.75" customHeight="1" s="205">
      <c r="A392" s="102" t="n"/>
      <c r="B392" s="147" t="n"/>
      <c r="C392" s="144" t="n"/>
      <c r="D392" s="144" t="n"/>
      <c r="E392" s="144" t="n"/>
      <c r="F392" s="144" t="n"/>
      <c r="G392" s="144" t="n"/>
      <c r="H392" s="141">
        <f>IF(K392&lt;&gt;"", HYPERLINK("https://chatgpt.com/?prompt=" &amp; SUBSTITUTE(SUBSTITUTE(K392, " ", "+"), "&amp;", "dan") &amp; "&amp;force-refresh=true&amp;timestamp=" &amp; TEXT(NOW(), "yyyymmddhhmmss"), "👉 Klik untuk Generate Script! 🔥"), "")</f>
        <v/>
      </c>
      <c r="I392" s="144" t="n"/>
      <c r="J392" s="148" t="n"/>
      <c r="K392" s="140">
        <f>IF(AND(B392&lt;&gt;"", C392&lt;&gt;"", D392&lt;&gt;"", E392&lt;&gt;"", F392&lt;&gt;"", G392&lt;&gt;"", J392&lt;&gt;"", 'CONTENT PILLAR MAPPING'!C294&lt;&gt;"", 'CONTENT PILLAR MAPPING'!E294&lt;&gt;"", 'CONTENT PILLAR MAPPING'!F294&lt;&gt;"", 'CONTENT PILLAR MAPPING'!C297&lt;&gt;"", 'CONTENT PILLAR MAPPING'!C302&lt;&gt;"", 'CONTENT PILLAR MAPPING'!D302&lt;&gt;"", 'CONTENT PILLAR MAPPING'!E302&lt;&gt;"", 'CONTENT PILLAR MAPPING'!D310&lt;&gt;"", 'CONTENT PILLAR MAPPING'!D311&lt;&gt;""),
CONCATENATE(
"Sebagai seorang top konten kreator dengan niche utama '", 'CONTENT PILLAR MAPPING'!C294, "', spesifik kategori '", 'CONTENT PILLAR MAPPING'!E294, "', dan super spesifik '", 'CONTENT PILLAR MAPPING'!F294, "', yang dikenal sebagai '", 'CONTENT PILLAR MAPPING'!C297, "'.", CHAR(10),
"Saya memiliki Tone of Voice: '", 'CONTENT PILLAR MAPPING'!C302, "', Brand Archetype: '", 'CONTENT PILLAR MAPPING'!D302, "', dan Deskripsi Gaya Komunikasi: '", 'CONTENT PILLAR MAPPING'!E302, "'.", CHAR(10),
"Target audiens saya adalah: '", 'CONTENT PILLAR MAPPING'!D310, "', dengan segmentasi audiens: '", 'CONTENT PILLAR MAPPING'!D311, "'.", CHAR(10), CHAR(10),
"Mohon buatkan script konten yang **sangat powerful, menarik, inovatif, dan siap pakai** dengan judul ide '", B392, "'.", CHAR(10),
"Konten ini memiliki pilar '", C392, "', nilai tambah utama '", F392, "', dan akan menggunakan storytelling framework '", G392, "'.", CHAR(10),
"Gambaran singkat ide kontennya adalah: '", J392, "'.", CHAR(10),
"Konten ini akan diunggah di platform '", E392, "' dengan format '", D392,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MAPPING'!C297, "'.** Sesuaikan dengan gaya komunikasi saya, dengan fokus pada nilai tambah '", F392,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MAPPING'!D310, ", khusus ", 'CONTENT PILLAR MAPPING'!D311, ") dan membantu mereka menyelesaikan masalah atau mencapai tujuan mereka.", CHAR(10),
"✔ Membantuku membangun personal branding yang kuat dan sustainable, sesuai dengan Positioning saya sebagai '", 'CONTENT PILLAR MAPPING'!C297, "' dan Brand Archetype '", 'CONTENT PILLAR MAPPING'!D302, "'.", CHAR(10),
"✔ Kemas dalam bentuk tabel agar rapi, mudah di baca dan dipahami, dengan kolom 'Judul Konten', 'Pilar', 'Format', 'Draft Script', 'CTA', 'Saran Visual', dan 'Full Caption'. (Kosongkan kolom Link Prompt jika ada)."
),
"")</f>
        <v/>
      </c>
      <c r="L392" s="199" t="n"/>
      <c r="M392" s="199" t="n"/>
      <c r="N392" s="102" t="n"/>
      <c r="O392" s="102" t="n"/>
      <c r="P392" s="102" t="n"/>
      <c r="Q392" s="102" t="n"/>
      <c r="R392" s="102" t="n"/>
      <c r="S392" s="102" t="n"/>
      <c r="T392" s="102" t="n"/>
      <c r="U392" s="102" t="n"/>
      <c r="V392" s="102" t="n"/>
      <c r="W392" s="102" t="n"/>
      <c r="X392" s="102" t="n"/>
      <c r="Y392" s="102" t="n"/>
      <c r="Z392" s="102" t="n"/>
      <c r="AA392" s="102" t="n"/>
      <c r="AB392" s="102" t="n"/>
      <c r="AC392" s="102" t="n"/>
      <c r="AD392" s="102" t="n"/>
    </row>
    <row r="393" ht="15.75" customHeight="1" s="205">
      <c r="A393" s="102" t="n"/>
      <c r="B393" s="142" t="n"/>
      <c r="C393" s="143" t="n"/>
      <c r="D393" s="143" t="n"/>
      <c r="E393" s="143" t="n"/>
      <c r="F393" s="143" t="n"/>
      <c r="G393" s="144" t="n"/>
      <c r="H393" s="145">
        <f>IF(K393&lt;&gt;"", HYPERLINK("https://chatgpt.com/?prompt=" &amp; SUBSTITUTE(SUBSTITUTE(K393, " ", "+"), "&amp;", "dan") &amp; "&amp;force-refresh=true&amp;timestamp=" &amp; TEXT(NOW(), "yyyymmddhhmmss"), "👉 Klik untuk Generate Script! 🔥"), "")</f>
        <v/>
      </c>
      <c r="I393" s="143" t="n"/>
      <c r="J393" s="146" t="n"/>
      <c r="K393" s="130">
        <f>IF(AND(B393&lt;&gt;"", C393&lt;&gt;"", D393&lt;&gt;"", E393&lt;&gt;"", F393&lt;&gt;"", G393&lt;&gt;"", J393&lt;&gt;"", 'CONTENT PILLAR MAPPING'!C296&lt;&gt;"", 'CONTENT PILLAR MAPPING'!E296&lt;&gt;"", 'CONTENT PILLAR MAPPING'!F296&lt;&gt;"", 'CONTENT PILLAR MAPPING'!C299&lt;&gt;"", 'CONTENT PILLAR MAPPING'!C304&lt;&gt;"", 'CONTENT PILLAR MAPPING'!D304&lt;&gt;"", 'CONTENT PILLAR MAPPING'!E304&lt;&gt;"", 'CONTENT PILLAR MAPPING'!D312&lt;&gt;"", 'CONTENT PILLAR MAPPING'!D313&lt;&gt;""),
CONCATENATE(
"Sebagai seorang top konten kreator dengan niche utama '", 'CONTENT PILLAR MAPPING'!C296, "', spesifik kategori '", 'CONTENT PILLAR MAPPING'!E296, "', dan super spesifik '", 'CONTENT PILLAR MAPPING'!F296, "', yang dikenal sebagai '", 'CONTENT PILLAR MAPPING'!C299, "'.", CHAR(10),
"Saya memiliki Tone of Voice: '", 'CONTENT PILLAR MAPPING'!C304, "', Brand Archetype: '", 'CONTENT PILLAR MAPPING'!D304, "', dan Deskripsi Gaya Komunikasi: '", 'CONTENT PILLAR MAPPING'!E304, "'.", CHAR(10),
"Target audiens saya adalah: '", 'CONTENT PILLAR MAPPING'!D312, "', dengan segmentasi audiens: '", 'CONTENT PILLAR MAPPING'!D313, "'.", CHAR(10), CHAR(10),
"Mohon buatkan script konten yang **sangat powerful, menarik, inovatif, dan siap pakai** dengan judul ide '", B393, "'.", CHAR(10),
"Konten ini memiliki pilar '", C393, "', nilai tambah utama '", F393, "', dan akan menggunakan storytelling framework '", G393, "'.", CHAR(10),
"Gambaran singkat ide kontennya adalah: '", J393, "'.", CHAR(10),
"Konten ini akan diunggah di platform '", E393, "' dengan format '", D393,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MAPPING'!C299, "'.** Sesuaikan dengan gaya komunikasi saya, dengan fokus pada nilai tambah '", F393,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MAPPING'!D312, ", khusus ", 'CONTENT PILLAR MAPPING'!D313, ") dan membantu mereka menyelesaikan masalah atau mencapai tujuan mereka.", CHAR(10),
"✔ Membantuku membangun personal branding yang kuat dan sustainable, sesuai dengan Positioning saya sebagai '", 'CONTENT PILLAR MAPPING'!C299, "' dan Brand Archetype '", 'CONTENT PILLAR MAPPING'!D304, "'.", CHAR(10),
"✔ Kemas dalam bentuk tabel agar rapi, mudah di baca dan dipahami, dengan kolom 'Judul Konten', 'Pilar', 'Format', 'Draft Script', 'CTA', 'Saran Visual', dan 'Full Caption'. (Kosongkan kolom Link Prompt jika ada)."
),
"")</f>
        <v/>
      </c>
      <c r="L393" s="91" t="n"/>
      <c r="M393" s="91" t="n"/>
      <c r="N393" s="102" t="n"/>
      <c r="O393" s="102" t="n"/>
      <c r="P393" s="102" t="n"/>
      <c r="Q393" s="102" t="n"/>
      <c r="R393" s="102" t="n"/>
      <c r="S393" s="102" t="n"/>
      <c r="T393" s="102" t="n"/>
      <c r="U393" s="102" t="n"/>
      <c r="V393" s="102" t="n"/>
      <c r="W393" s="102" t="n"/>
      <c r="X393" s="102" t="n"/>
      <c r="Y393" s="102" t="n"/>
      <c r="Z393" s="102" t="n"/>
      <c r="AA393" s="102" t="n"/>
      <c r="AB393" s="102" t="n"/>
      <c r="AC393" s="102" t="n"/>
      <c r="AD393" s="102" t="n"/>
    </row>
    <row r="394" ht="15.75" customHeight="1" s="205">
      <c r="A394" s="102" t="n"/>
      <c r="B394" s="147" t="n"/>
      <c r="C394" s="144" t="n"/>
      <c r="D394" s="144" t="n"/>
      <c r="E394" s="144" t="n"/>
      <c r="F394" s="144" t="n"/>
      <c r="G394" s="144" t="n"/>
      <c r="H394" s="141">
        <f>IF(K394&lt;&gt;"", HYPERLINK("https://chatgpt.com/?prompt=" &amp; SUBSTITUTE(SUBSTITUTE(K394, " ", "+"), "&amp;", "dan") &amp; "&amp;force-refresh=true&amp;timestamp=" &amp; TEXT(NOW(), "yyyymmddhhmmss"), "👉 Klik untuk Generate Script! 🔥"), "")</f>
        <v/>
      </c>
      <c r="I394" s="144" t="n"/>
      <c r="J394" s="148" t="n"/>
      <c r="K394" s="140">
        <f>IF(AND(B394&lt;&gt;"", C394&lt;&gt;"", D394&lt;&gt;"", E394&lt;&gt;"", F394&lt;&gt;"", G394&lt;&gt;"", J394&lt;&gt;"", 'CONTENT PILLAR MAPPING'!C296&lt;&gt;"", 'CONTENT PILLAR MAPPING'!E296&lt;&gt;"", 'CONTENT PILLAR MAPPING'!F296&lt;&gt;"", 'CONTENT PILLAR MAPPING'!C299&lt;&gt;"", 'CONTENT PILLAR MAPPING'!C304&lt;&gt;"", 'CONTENT PILLAR MAPPING'!D304&lt;&gt;"", 'CONTENT PILLAR MAPPING'!E304&lt;&gt;"", 'CONTENT PILLAR MAPPING'!D312&lt;&gt;"", 'CONTENT PILLAR MAPPING'!D313&lt;&gt;""),
CONCATENATE(
"Sebagai seorang top konten kreator dengan niche utama '", 'CONTENT PILLAR MAPPING'!C296, "', spesifik kategori '", 'CONTENT PILLAR MAPPING'!E296, "', dan super spesifik '", 'CONTENT PILLAR MAPPING'!F296, "', yang dikenal sebagai '", 'CONTENT PILLAR MAPPING'!C299, "'.", CHAR(10),
"Saya memiliki Tone of Voice: '", 'CONTENT PILLAR MAPPING'!C304, "', Brand Archetype: '", 'CONTENT PILLAR MAPPING'!D304, "', dan Deskripsi Gaya Komunikasi: '", 'CONTENT PILLAR MAPPING'!E304, "'.", CHAR(10),
"Target audiens saya adalah: '", 'CONTENT PILLAR MAPPING'!D312, "', dengan segmentasi audiens: '", 'CONTENT PILLAR MAPPING'!D313, "'.", CHAR(10), CHAR(10),
"Mohon buatkan script konten yang **sangat powerful, menarik, inovatif, dan siap pakai** dengan judul ide '", B394, "'.", CHAR(10),
"Konten ini memiliki pilar '", C394, "', nilai tambah utama '", F394, "', dan akan menggunakan storytelling framework '", G394, "'.", CHAR(10),
"Gambaran singkat ide kontennya adalah: '", J394, "'.", CHAR(10),
"Konten ini akan diunggah di platform '", E394, "' dengan format '", D394,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MAPPING'!C299, "'.** Sesuaikan dengan gaya komunikasi saya, dengan fokus pada nilai tambah '", F394,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MAPPING'!D312, ", khusus ", 'CONTENT PILLAR MAPPING'!D313, ") dan membantu mereka menyelesaikan masalah atau mencapai tujuan mereka.", CHAR(10),
"✔ Membantuku membangun personal branding yang kuat dan sustainable, sesuai dengan Positioning saya sebagai '", 'CONTENT PILLAR MAPPING'!C299, "' dan Brand Archetype '", 'CONTENT PILLAR MAPPING'!D304, "'.", CHAR(10),
"✔ Kemas dalam bentuk tabel agar rapi, mudah di baca dan dipahami, dengan kolom 'Judul Konten', 'Pilar', 'Format', 'Draft Script', 'CTA', 'Saran Visual', dan 'Full Caption'. (Kosongkan kolom Link Prompt jika ada)."
),
"")</f>
        <v/>
      </c>
      <c r="L394" s="199" t="n"/>
      <c r="M394" s="199" t="n"/>
      <c r="N394" s="102" t="n"/>
      <c r="O394" s="102" t="n"/>
      <c r="P394" s="102" t="n"/>
      <c r="Q394" s="102" t="n"/>
      <c r="R394" s="102" t="n"/>
      <c r="S394" s="102" t="n"/>
      <c r="T394" s="102" t="n"/>
      <c r="U394" s="102" t="n"/>
      <c r="V394" s="102" t="n"/>
      <c r="W394" s="102" t="n"/>
      <c r="X394" s="102" t="n"/>
      <c r="Y394" s="102" t="n"/>
      <c r="Z394" s="102" t="n"/>
      <c r="AA394" s="102" t="n"/>
      <c r="AB394" s="102" t="n"/>
      <c r="AC394" s="102" t="n"/>
      <c r="AD394" s="102" t="n"/>
    </row>
    <row r="395" ht="15.75" customHeight="1" s="205">
      <c r="A395" s="102" t="n"/>
      <c r="B395" s="142" t="n"/>
      <c r="C395" s="143" t="n"/>
      <c r="D395" s="143" t="n"/>
      <c r="E395" s="143" t="n"/>
      <c r="F395" s="143" t="n"/>
      <c r="G395" s="144" t="n"/>
      <c r="H395" s="145">
        <f>IF(K395&lt;&gt;"", HYPERLINK("https://chatgpt.com/?prompt=" &amp; SUBSTITUTE(SUBSTITUTE(K395, " ", "+"), "&amp;", "dan") &amp; "&amp;force-refresh=true&amp;timestamp=" &amp; TEXT(NOW(), "yyyymmddhhmmss"), "👉 Klik untuk Generate Script! 🔥"), "")</f>
        <v/>
      </c>
      <c r="I395" s="143" t="n"/>
      <c r="J395" s="146" t="n"/>
      <c r="K395" s="130">
        <f>IF(AND(B395&lt;&gt;"", C395&lt;&gt;"", D395&lt;&gt;"", E395&lt;&gt;"", F395&lt;&gt;"", G395&lt;&gt;"", J395&lt;&gt;"", 'CONTENT PILLAR MAPPING'!C298&lt;&gt;"", 'CONTENT PILLAR MAPPING'!E298&lt;&gt;"", 'CONTENT PILLAR MAPPING'!F298&lt;&gt;"", 'CONTENT PILLAR MAPPING'!C301&lt;&gt;"", 'CONTENT PILLAR MAPPING'!C306&lt;&gt;"", 'CONTENT PILLAR MAPPING'!D306&lt;&gt;"", 'CONTENT PILLAR MAPPING'!E306&lt;&gt;"", 'CONTENT PILLAR MAPPING'!D314&lt;&gt;"", 'CONTENT PILLAR MAPPING'!D315&lt;&gt;""),
CONCATENATE(
"Sebagai seorang top konten kreator dengan niche utama '", 'CONTENT PILLAR MAPPING'!C298, "', spesifik kategori '", 'CONTENT PILLAR MAPPING'!E298, "', dan super spesifik '", 'CONTENT PILLAR MAPPING'!F298, "', yang dikenal sebagai '", 'CONTENT PILLAR MAPPING'!C301, "'.", CHAR(10),
"Saya memiliki Tone of Voice: '", 'CONTENT PILLAR MAPPING'!C306, "', Brand Archetype: '", 'CONTENT PILLAR MAPPING'!D306, "', dan Deskripsi Gaya Komunikasi: '", 'CONTENT PILLAR MAPPING'!E306, "'.", CHAR(10),
"Target audiens saya adalah: '", 'CONTENT PILLAR MAPPING'!D314, "', dengan segmentasi audiens: '", 'CONTENT PILLAR MAPPING'!D315, "'.", CHAR(10), CHAR(10),
"Mohon buatkan script konten yang **sangat powerful, menarik, inovatif, dan siap pakai** dengan judul ide '", B395, "'.", CHAR(10),
"Konten ini memiliki pilar '", C395, "', nilai tambah utama '", F395, "', dan akan menggunakan storytelling framework '", G395, "'.", CHAR(10),
"Gambaran singkat ide kontennya adalah: '", J395, "'.", CHAR(10),
"Konten ini akan diunggah di platform '", E395, "' dengan format '", D395,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MAPPING'!C301, "'.** Sesuaikan dengan gaya komunikasi saya, dengan fokus pada nilai tambah '", F395,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MAPPING'!D314, ", khusus ", 'CONTENT PILLAR MAPPING'!D315, ") dan membantu mereka menyelesaikan masalah atau mencapai tujuan mereka.", CHAR(10),
"✔ Membantuku membangun personal branding yang kuat dan sustainable, sesuai dengan Positioning saya sebagai '", 'CONTENT PILLAR MAPPING'!C301, "' dan Brand Archetype '", 'CONTENT PILLAR MAPPING'!D306, "'.", CHAR(10),
"✔ Kemas dalam bentuk tabel agar rapi, mudah di baca dan dipahami, dengan kolom 'Judul Konten', 'Pilar', 'Format', 'Draft Script', 'CTA', 'Saran Visual', dan 'Full Caption'. (Kosongkan kolom Link Prompt jika ada)."
),
"")</f>
        <v/>
      </c>
      <c r="L395" s="91" t="n"/>
      <c r="M395" s="91" t="n"/>
      <c r="N395" s="102" t="n"/>
      <c r="O395" s="102" t="n"/>
      <c r="P395" s="102" t="n"/>
      <c r="Q395" s="102" t="n"/>
      <c r="R395" s="102" t="n"/>
      <c r="S395" s="102" t="n"/>
      <c r="T395" s="102" t="n"/>
      <c r="U395" s="102" t="n"/>
      <c r="V395" s="102" t="n"/>
      <c r="W395" s="102" t="n"/>
      <c r="X395" s="102" t="n"/>
      <c r="Y395" s="102" t="n"/>
      <c r="Z395" s="102" t="n"/>
      <c r="AA395" s="102" t="n"/>
      <c r="AB395" s="102" t="n"/>
      <c r="AC395" s="102" t="n"/>
      <c r="AD395" s="102" t="n"/>
    </row>
    <row r="396" ht="15.75" customHeight="1" s="205">
      <c r="A396" s="102" t="n"/>
      <c r="B396" s="147" t="n"/>
      <c r="C396" s="144" t="n"/>
      <c r="D396" s="144" t="n"/>
      <c r="E396" s="144" t="n"/>
      <c r="F396" s="144" t="n"/>
      <c r="G396" s="144" t="n"/>
      <c r="H396" s="141">
        <f>IF(K396&lt;&gt;"", HYPERLINK("https://chatgpt.com/?prompt=" &amp; SUBSTITUTE(SUBSTITUTE(K396, " ", "+"), "&amp;", "dan") &amp; "&amp;force-refresh=true&amp;timestamp=" &amp; TEXT(NOW(), "yyyymmddhhmmss"), "👉 Klik untuk Generate Script! 🔥"), "")</f>
        <v/>
      </c>
      <c r="I396" s="144" t="n"/>
      <c r="J396" s="148" t="n"/>
      <c r="K396" s="140">
        <f>IF(AND(B396&lt;&gt;"", C396&lt;&gt;"", D396&lt;&gt;"", E396&lt;&gt;"", F396&lt;&gt;"", G396&lt;&gt;"", J396&lt;&gt;"", 'CONTENT PILLAR MAPPING'!C298&lt;&gt;"", 'CONTENT PILLAR MAPPING'!E298&lt;&gt;"", 'CONTENT PILLAR MAPPING'!F298&lt;&gt;"", 'CONTENT PILLAR MAPPING'!C301&lt;&gt;"", 'CONTENT PILLAR MAPPING'!C306&lt;&gt;"", 'CONTENT PILLAR MAPPING'!D306&lt;&gt;"", 'CONTENT PILLAR MAPPING'!E306&lt;&gt;"", 'CONTENT PILLAR MAPPING'!D314&lt;&gt;"", 'CONTENT PILLAR MAPPING'!D315&lt;&gt;""),
CONCATENATE(
"Sebagai seorang top konten kreator dengan niche utama '", 'CONTENT PILLAR MAPPING'!C298, "', spesifik kategori '", 'CONTENT PILLAR MAPPING'!E298, "', dan super spesifik '", 'CONTENT PILLAR MAPPING'!F298, "', yang dikenal sebagai '", 'CONTENT PILLAR MAPPING'!C301, "'.", CHAR(10),
"Saya memiliki Tone of Voice: '", 'CONTENT PILLAR MAPPING'!C306, "', Brand Archetype: '", 'CONTENT PILLAR MAPPING'!D306, "', dan Deskripsi Gaya Komunikasi: '", 'CONTENT PILLAR MAPPING'!E306, "'.", CHAR(10),
"Target audiens saya adalah: '", 'CONTENT PILLAR MAPPING'!D314, "', dengan segmentasi audiens: '", 'CONTENT PILLAR MAPPING'!D315, "'.", CHAR(10), CHAR(10),
"Mohon buatkan script konten yang **sangat powerful, menarik, inovatif, dan siap pakai** dengan judul ide '", B396, "'.", CHAR(10),
"Konten ini memiliki pilar '", C396, "', nilai tambah utama '", F396, "', dan akan menggunakan storytelling framework '", G396, "'.", CHAR(10),
"Gambaran singkat ide kontennya adalah: '", J396, "'.", CHAR(10),
"Konten ini akan diunggah di platform '", E396, "' dengan format '", D396,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MAPPING'!C301, "'.** Sesuaikan dengan gaya komunikasi saya, dengan fokus pada nilai tambah '", F396,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MAPPING'!D314, ", khusus ", 'CONTENT PILLAR MAPPING'!D315, ") dan membantu mereka menyelesaikan masalah atau mencapai tujuan mereka.", CHAR(10),
"✔ Membantuku membangun personal branding yang kuat dan sustainable, sesuai dengan Positioning saya sebagai '", 'CONTENT PILLAR MAPPING'!C301, "' dan Brand Archetype '", 'CONTENT PILLAR MAPPING'!D306, "'.", CHAR(10),
"✔ Kemas dalam bentuk tabel agar rapi, mudah di baca dan dipahami, dengan kolom 'Judul Konten', 'Pilar', 'Format', 'Draft Script', 'CTA', 'Saran Visual', dan 'Full Caption'. (Kosongkan kolom Link Prompt jika ada)."
),
"")</f>
        <v/>
      </c>
      <c r="L396" s="199" t="n"/>
      <c r="M396" s="199" t="n"/>
      <c r="N396" s="102" t="n"/>
      <c r="O396" s="102" t="n"/>
      <c r="P396" s="102" t="n"/>
      <c r="Q396" s="102" t="n"/>
      <c r="R396" s="102" t="n"/>
      <c r="S396" s="102" t="n"/>
      <c r="T396" s="102" t="n"/>
      <c r="U396" s="102" t="n"/>
      <c r="V396" s="102" t="n"/>
      <c r="W396" s="102" t="n"/>
      <c r="X396" s="102" t="n"/>
      <c r="Y396" s="102" t="n"/>
      <c r="Z396" s="102" t="n"/>
      <c r="AA396" s="102" t="n"/>
      <c r="AB396" s="102" t="n"/>
      <c r="AC396" s="102" t="n"/>
      <c r="AD396" s="102" t="n"/>
    </row>
    <row r="397" ht="15.75" customHeight="1" s="205">
      <c r="A397" s="102" t="n"/>
      <c r="B397" s="142" t="n"/>
      <c r="C397" s="143" t="n"/>
      <c r="D397" s="143" t="n"/>
      <c r="E397" s="143" t="n"/>
      <c r="F397" s="143" t="n"/>
      <c r="G397" s="144" t="n"/>
      <c r="H397" s="145">
        <f>IF(K397&lt;&gt;"", HYPERLINK("https://chatgpt.com/?prompt=" &amp; SUBSTITUTE(SUBSTITUTE(K397, " ", "+"), "&amp;", "dan") &amp; "&amp;force-refresh=true&amp;timestamp=" &amp; TEXT(NOW(), "yyyymmddhhmmss"), "👉 Klik untuk Generate Script! 🔥"), "")</f>
        <v/>
      </c>
      <c r="I397" s="143" t="n"/>
      <c r="J397" s="146" t="n"/>
      <c r="K397" s="130">
        <f>IF(AND(B397&lt;&gt;"", C397&lt;&gt;"", D397&lt;&gt;"", E397&lt;&gt;"", F397&lt;&gt;"", G397&lt;&gt;"", J397&lt;&gt;"", 'CONTENT PILLAR MAPPING'!C300&lt;&gt;"", 'CONTENT PILLAR MAPPING'!E300&lt;&gt;"", 'CONTENT PILLAR MAPPING'!F300&lt;&gt;"", 'CONTENT PILLAR MAPPING'!C303&lt;&gt;"", 'CONTENT PILLAR MAPPING'!C308&lt;&gt;"", 'CONTENT PILLAR MAPPING'!D308&lt;&gt;"", 'CONTENT PILLAR MAPPING'!E308&lt;&gt;"", 'CONTENT PILLAR MAPPING'!D316&lt;&gt;"", 'CONTENT PILLAR MAPPING'!D317&lt;&gt;""),
CONCATENATE(
"Sebagai seorang top konten kreator dengan niche utama '", 'CONTENT PILLAR MAPPING'!C300, "', spesifik kategori '", 'CONTENT PILLAR MAPPING'!E300, "', dan super spesifik '", 'CONTENT PILLAR MAPPING'!F300, "', yang dikenal sebagai '", 'CONTENT PILLAR MAPPING'!C303, "'.", CHAR(10),
"Saya memiliki Tone of Voice: '", 'CONTENT PILLAR MAPPING'!C308, "', Brand Archetype: '", 'CONTENT PILLAR MAPPING'!D308, "', dan Deskripsi Gaya Komunikasi: '", 'CONTENT PILLAR MAPPING'!E308, "'.", CHAR(10),
"Target audiens saya adalah: '", 'CONTENT PILLAR MAPPING'!D316, "', dengan segmentasi audiens: '", 'CONTENT PILLAR MAPPING'!D317, "'.", CHAR(10), CHAR(10),
"Mohon buatkan script konten yang **sangat powerful, menarik, inovatif, dan siap pakai** dengan judul ide '", B397, "'.", CHAR(10),
"Konten ini memiliki pilar '", C397, "', nilai tambah utama '", F397, "', dan akan menggunakan storytelling framework '", G397, "'.", CHAR(10),
"Gambaran singkat ide kontennya adalah: '", J397, "'.", CHAR(10),
"Konten ini akan diunggah di platform '", E397, "' dengan format '", D397,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MAPPING'!C303, "'.** Sesuaikan dengan gaya komunikasi saya, dengan fokus pada nilai tambah '", F397,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MAPPING'!D316, ", khusus ", 'CONTENT PILLAR MAPPING'!D317, ") dan membantu mereka menyelesaikan masalah atau mencapai tujuan mereka.", CHAR(10),
"✔ Membantuku membangun personal branding yang kuat dan sustainable, sesuai dengan Positioning saya sebagai '", 'CONTENT PILLAR MAPPING'!C303, "' dan Brand Archetype '", 'CONTENT PILLAR MAPPING'!D308, "'.", CHAR(10),
"✔ Kemas dalam bentuk tabel agar rapi, mudah di baca dan dipahami, dengan kolom 'Judul Konten', 'Pilar', 'Format', 'Draft Script', 'CTA', 'Saran Visual', dan 'Full Caption'. (Kosongkan kolom Link Prompt jika ada)."
),
"")</f>
        <v/>
      </c>
      <c r="L397" s="91" t="n"/>
      <c r="M397" s="91" t="n"/>
      <c r="N397" s="102" t="n"/>
      <c r="O397" s="102" t="n"/>
      <c r="P397" s="102" t="n"/>
      <c r="Q397" s="102" t="n"/>
      <c r="R397" s="102" t="n"/>
      <c r="S397" s="102" t="n"/>
      <c r="T397" s="102" t="n"/>
      <c r="U397" s="102" t="n"/>
      <c r="V397" s="102" t="n"/>
      <c r="W397" s="102" t="n"/>
      <c r="X397" s="102" t="n"/>
      <c r="Y397" s="102" t="n"/>
      <c r="Z397" s="102" t="n"/>
      <c r="AA397" s="102" t="n"/>
      <c r="AB397" s="102" t="n"/>
      <c r="AC397" s="102" t="n"/>
      <c r="AD397" s="102" t="n"/>
    </row>
    <row r="398" ht="15.75" customHeight="1" s="205">
      <c r="A398" s="102" t="n"/>
      <c r="B398" s="147" t="n"/>
      <c r="C398" s="144" t="n"/>
      <c r="D398" s="144" t="n"/>
      <c r="E398" s="144" t="n"/>
      <c r="F398" s="144" t="n"/>
      <c r="G398" s="144" t="n"/>
      <c r="H398" s="141">
        <f>IF(K398&lt;&gt;"", HYPERLINK("https://chatgpt.com/?prompt=" &amp; SUBSTITUTE(SUBSTITUTE(K398, " ", "+"), "&amp;", "dan") &amp; "&amp;force-refresh=true&amp;timestamp=" &amp; TEXT(NOW(), "yyyymmddhhmmss"), "👉 Klik untuk Generate Script! 🔥"), "")</f>
        <v/>
      </c>
      <c r="I398" s="144" t="n"/>
      <c r="J398" s="148" t="n"/>
      <c r="K398" s="140">
        <f>IF(AND(B398&lt;&gt;"", C398&lt;&gt;"", D398&lt;&gt;"", E398&lt;&gt;"", F398&lt;&gt;"", G398&lt;&gt;"", J398&lt;&gt;"", 'CONTENT PILLAR MAPPING'!C300&lt;&gt;"", 'CONTENT PILLAR MAPPING'!E300&lt;&gt;"", 'CONTENT PILLAR MAPPING'!F300&lt;&gt;"", 'CONTENT PILLAR MAPPING'!C303&lt;&gt;"", 'CONTENT PILLAR MAPPING'!C308&lt;&gt;"", 'CONTENT PILLAR MAPPING'!D308&lt;&gt;"", 'CONTENT PILLAR MAPPING'!E308&lt;&gt;"", 'CONTENT PILLAR MAPPING'!D316&lt;&gt;"", 'CONTENT PILLAR MAPPING'!D317&lt;&gt;""),
CONCATENATE(
"Sebagai seorang top konten kreator dengan niche utama '", 'CONTENT PILLAR MAPPING'!C300, "', spesifik kategori '", 'CONTENT PILLAR MAPPING'!E300, "', dan super spesifik '", 'CONTENT PILLAR MAPPING'!F300, "', yang dikenal sebagai '", 'CONTENT PILLAR MAPPING'!C303, "'.", CHAR(10),
"Saya memiliki Tone of Voice: '", 'CONTENT PILLAR MAPPING'!C308, "', Brand Archetype: '", 'CONTENT PILLAR MAPPING'!D308, "', dan Deskripsi Gaya Komunikasi: '", 'CONTENT PILLAR MAPPING'!E308, "'.", CHAR(10),
"Target audiens saya adalah: '", 'CONTENT PILLAR MAPPING'!D316, "', dengan segmentasi audiens: '", 'CONTENT PILLAR MAPPING'!D317, "'.", CHAR(10), CHAR(10),
"Mohon buatkan script konten yang **sangat powerful, menarik, inovatif, dan siap pakai** dengan judul ide '", B398, "'.", CHAR(10),
"Konten ini memiliki pilar '", C398, "', nilai tambah utama '", F398, "', dan akan menggunakan storytelling framework '", G398, "'.", CHAR(10),
"Gambaran singkat ide kontennya adalah: '", J398, "'.", CHAR(10),
"Konten ini akan diunggah di platform '", E398, "' dengan format '", D398,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MAPPING'!C303, "'.** Sesuaikan dengan gaya komunikasi saya, dengan fokus pada nilai tambah '", F398,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MAPPING'!D316, ", khusus ", 'CONTENT PILLAR MAPPING'!D317, ") dan membantu mereka menyelesaikan masalah atau mencapai tujuan mereka.", CHAR(10),
"✔ Membantuku membangun personal branding yang kuat dan sustainable, sesuai dengan Positioning saya sebagai '", 'CONTENT PILLAR MAPPING'!C303, "' dan Brand Archetype '", 'CONTENT PILLAR MAPPING'!D308, "'.", CHAR(10),
"✔ Kemas dalam bentuk tabel agar rapi, mudah di baca dan dipahami, dengan kolom 'Judul Konten', 'Pilar', 'Format', 'Draft Script', 'CTA', 'Saran Visual', dan 'Full Caption'. (Kosongkan kolom Link Prompt jika ada)."
),
"")</f>
        <v/>
      </c>
      <c r="L398" s="199" t="n"/>
      <c r="M398" s="199" t="n"/>
      <c r="N398" s="102" t="n"/>
      <c r="O398" s="102" t="n"/>
      <c r="P398" s="102" t="n"/>
      <c r="Q398" s="102" t="n"/>
      <c r="R398" s="102" t="n"/>
      <c r="S398" s="102" t="n"/>
      <c r="T398" s="102" t="n"/>
      <c r="U398" s="102" t="n"/>
      <c r="V398" s="102" t="n"/>
      <c r="W398" s="102" t="n"/>
      <c r="X398" s="102" t="n"/>
      <c r="Y398" s="102" t="n"/>
      <c r="Z398" s="102" t="n"/>
      <c r="AA398" s="102" t="n"/>
      <c r="AB398" s="102" t="n"/>
      <c r="AC398" s="102" t="n"/>
      <c r="AD398" s="102" t="n"/>
    </row>
    <row r="399" ht="15.75" customHeight="1" s="205">
      <c r="A399" s="102" t="n"/>
      <c r="B399" s="142" t="n"/>
      <c r="C399" s="143" t="n"/>
      <c r="D399" s="143" t="n"/>
      <c r="E399" s="143" t="n"/>
      <c r="F399" s="143" t="n"/>
      <c r="G399" s="144" t="n"/>
      <c r="H399" s="145">
        <f>IF(K399&lt;&gt;"", HYPERLINK("https://chatgpt.com/?prompt=" &amp; SUBSTITUTE(SUBSTITUTE(K399, " ", "+"), "&amp;", "dan") &amp; "&amp;force-refresh=true&amp;timestamp=" &amp; TEXT(NOW(), "yyyymmddhhmmss"), "👉 Klik untuk Generate Script! 🔥"), "")</f>
        <v/>
      </c>
      <c r="I399" s="143" t="n"/>
      <c r="J399" s="146" t="n"/>
      <c r="K399" s="130">
        <f>IF(AND(B399&lt;&gt;"", C399&lt;&gt;"", D399&lt;&gt;"", E399&lt;&gt;"", F399&lt;&gt;"", G399&lt;&gt;"", J399&lt;&gt;"", 'CONTENT PILLAR MAPPING'!C302&lt;&gt;"", 'CONTENT PILLAR MAPPING'!E302&lt;&gt;"", 'CONTENT PILLAR MAPPING'!F302&lt;&gt;"", 'CONTENT PILLAR MAPPING'!C305&lt;&gt;"", 'CONTENT PILLAR MAPPING'!C310&lt;&gt;"", 'CONTENT PILLAR MAPPING'!D310&lt;&gt;"", 'CONTENT PILLAR MAPPING'!E310&lt;&gt;"", 'CONTENT PILLAR MAPPING'!D318&lt;&gt;"", 'CONTENT PILLAR MAPPING'!D319&lt;&gt;""),
CONCATENATE(
"Sebagai seorang top konten kreator dengan niche utama '", 'CONTENT PILLAR MAPPING'!C302, "', spesifik kategori '", 'CONTENT PILLAR MAPPING'!E302, "', dan super spesifik '", 'CONTENT PILLAR MAPPING'!F302, "', yang dikenal sebagai '", 'CONTENT PILLAR MAPPING'!C305, "'.", CHAR(10),
"Saya memiliki Tone of Voice: '", 'CONTENT PILLAR MAPPING'!C310, "', Brand Archetype: '", 'CONTENT PILLAR MAPPING'!D310, "', dan Deskripsi Gaya Komunikasi: '", 'CONTENT PILLAR MAPPING'!E310, "'.", CHAR(10),
"Target audiens saya adalah: '", 'CONTENT PILLAR MAPPING'!D318, "', dengan segmentasi audiens: '", 'CONTENT PILLAR MAPPING'!D319, "'.", CHAR(10), CHAR(10),
"Mohon buatkan script konten yang **sangat powerful, menarik, inovatif, dan siap pakai** dengan judul ide '", B399, "'.", CHAR(10),
"Konten ini memiliki pilar '", C399, "', nilai tambah utama '", F399, "', dan akan menggunakan storytelling framework '", G399, "'.", CHAR(10),
"Gambaran singkat ide kontennya adalah: '", J399, "'.", CHAR(10),
"Konten ini akan diunggah di platform '", E399, "' dengan format '", D399,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MAPPING'!C305, "'.** Sesuaikan dengan gaya komunikasi saya, dengan fokus pada nilai tambah '", F399,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MAPPING'!D318, ", khusus ", 'CONTENT PILLAR MAPPING'!D319, ") dan membantu mereka menyelesaikan masalah atau mencapai tujuan mereka.", CHAR(10),
"✔ Membantuku membangun personal branding yang kuat dan sustainable, sesuai dengan Positioning saya sebagai '", 'CONTENT PILLAR MAPPING'!C305, "' dan Brand Archetype '", 'CONTENT PILLAR MAPPING'!D310, "'.", CHAR(10),
"✔ Kemas dalam bentuk tabel agar rapi, mudah di baca dan dipahami, dengan kolom 'Judul Konten', 'Pilar', 'Format', 'Draft Script', 'CTA', 'Saran Visual', dan 'Full Caption'. (Kosongkan kolom Link Prompt jika ada)."
),
"")</f>
        <v/>
      </c>
      <c r="L399" s="91" t="n"/>
      <c r="M399" s="91" t="n"/>
      <c r="N399" s="102" t="n"/>
      <c r="O399" s="102" t="n"/>
      <c r="P399" s="102" t="n"/>
      <c r="Q399" s="102" t="n"/>
      <c r="R399" s="102" t="n"/>
      <c r="S399" s="102" t="n"/>
      <c r="T399" s="102" t="n"/>
      <c r="U399" s="102" t="n"/>
      <c r="V399" s="102" t="n"/>
      <c r="W399" s="102" t="n"/>
      <c r="X399" s="102" t="n"/>
      <c r="Y399" s="102" t="n"/>
      <c r="Z399" s="102" t="n"/>
      <c r="AA399" s="102" t="n"/>
      <c r="AB399" s="102" t="n"/>
      <c r="AC399" s="102" t="n"/>
      <c r="AD399" s="102" t="n"/>
    </row>
    <row r="400" ht="15.75" customHeight="1" s="205">
      <c r="A400" s="102" t="n"/>
      <c r="B400" s="147" t="n"/>
      <c r="C400" s="144" t="n"/>
      <c r="D400" s="144" t="n"/>
      <c r="E400" s="144" t="n"/>
      <c r="F400" s="144" t="n"/>
      <c r="G400" s="144" t="n"/>
      <c r="H400" s="141">
        <f>IF(K400&lt;&gt;"", HYPERLINK("https://chatgpt.com/?prompt=" &amp; SUBSTITUTE(SUBSTITUTE(K400, " ", "+"), "&amp;", "dan") &amp; "&amp;force-refresh=true&amp;timestamp=" &amp; TEXT(NOW(), "yyyymmddhhmmss"), "👉 Klik untuk Generate Script! 🔥"), "")</f>
        <v/>
      </c>
      <c r="I400" s="144" t="n"/>
      <c r="J400" s="148" t="n"/>
      <c r="K400" s="140">
        <f>IF(AND(B400&lt;&gt;"", C400&lt;&gt;"", D400&lt;&gt;"", E400&lt;&gt;"", F400&lt;&gt;"", G400&lt;&gt;"", J400&lt;&gt;"", 'CONTENT PILLAR MAPPING'!C302&lt;&gt;"", 'CONTENT PILLAR MAPPING'!E302&lt;&gt;"", 'CONTENT PILLAR MAPPING'!F302&lt;&gt;"", 'CONTENT PILLAR MAPPING'!C305&lt;&gt;"", 'CONTENT PILLAR MAPPING'!C310&lt;&gt;"", 'CONTENT PILLAR MAPPING'!D310&lt;&gt;"", 'CONTENT PILLAR MAPPING'!E310&lt;&gt;"", 'CONTENT PILLAR MAPPING'!D318&lt;&gt;"", 'CONTENT PILLAR MAPPING'!D319&lt;&gt;""),
CONCATENATE(
"Sebagai seorang top konten kreator dengan niche utama '", 'CONTENT PILLAR MAPPING'!C302, "', spesifik kategori '", 'CONTENT PILLAR MAPPING'!E302, "', dan super spesifik '", 'CONTENT PILLAR MAPPING'!F302, "', yang dikenal sebagai '", 'CONTENT PILLAR MAPPING'!C305, "'.", CHAR(10),
"Saya memiliki Tone of Voice: '", 'CONTENT PILLAR MAPPING'!C310, "', Brand Archetype: '", 'CONTENT PILLAR MAPPING'!D310, "', dan Deskripsi Gaya Komunikasi: '", 'CONTENT PILLAR MAPPING'!E310, "'.", CHAR(10),
"Target audiens saya adalah: '", 'CONTENT PILLAR MAPPING'!D318, "', dengan segmentasi audiens: '", 'CONTENT PILLAR MAPPING'!D319, "'.", CHAR(10), CHAR(10),
"Mohon buatkan script konten yang **sangat powerful, menarik, inovatif, dan siap pakai** dengan judul ide '", B400, "'.", CHAR(10),
"Konten ini memiliki pilar '", C400, "', nilai tambah utama '", F400, "', dan akan menggunakan storytelling framework '", G400, "'.", CHAR(10),
"Gambaran singkat ide kontennya adalah: '", J400, "'.", CHAR(10),
"Konten ini akan diunggah di platform '", E400, "' dengan format '", D400,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MAPPING'!C305, "'.** Sesuaikan dengan gaya komunikasi saya, dengan fokus pada nilai tambah '", F400,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MAPPING'!D318, ", khusus ", 'CONTENT PILLAR MAPPING'!D319, ") dan membantu mereka menyelesaikan masalah atau mencapai tujuan mereka.", CHAR(10),
"✔ Membantuku membangun personal branding yang kuat dan sustainable, sesuai dengan Positioning saya sebagai '", 'CONTENT PILLAR MAPPING'!C305, "' dan Brand Archetype '", 'CONTENT PILLAR MAPPING'!D310, "'.", CHAR(10),
"✔ Kemas dalam bentuk tabel agar rapi, mudah di baca dan dipahami, dengan kolom 'Judul Konten', 'Pilar', 'Format', 'Draft Script', 'CTA', 'Saran Visual', dan 'Full Caption'. (Kosongkan kolom Link Prompt jika ada)."
),
"")</f>
        <v/>
      </c>
      <c r="L400" s="199" t="n"/>
      <c r="M400" s="199" t="n"/>
      <c r="N400" s="102" t="n"/>
      <c r="O400" s="102" t="n"/>
      <c r="P400" s="102" t="n"/>
      <c r="Q400" s="102" t="n"/>
      <c r="R400" s="102" t="n"/>
      <c r="S400" s="102" t="n"/>
      <c r="T400" s="102" t="n"/>
      <c r="U400" s="102" t="n"/>
      <c r="V400" s="102" t="n"/>
      <c r="W400" s="102" t="n"/>
      <c r="X400" s="102" t="n"/>
      <c r="Y400" s="102" t="n"/>
      <c r="Z400" s="102" t="n"/>
      <c r="AA400" s="102" t="n"/>
      <c r="AB400" s="102" t="n"/>
      <c r="AC400" s="102" t="n"/>
      <c r="AD400" s="102" t="n"/>
    </row>
    <row r="401" ht="15.75" customHeight="1" s="205">
      <c r="A401" s="102" t="n"/>
      <c r="B401" s="142" t="n"/>
      <c r="C401" s="143" t="n"/>
      <c r="D401" s="143" t="n"/>
      <c r="E401" s="143" t="n"/>
      <c r="F401" s="143" t="n"/>
      <c r="G401" s="144" t="n"/>
      <c r="H401" s="145">
        <f>IF(K401&lt;&gt;"", HYPERLINK("https://chatgpt.com/?prompt=" &amp; SUBSTITUTE(SUBSTITUTE(K401, " ", "+"), "&amp;", "dan") &amp; "&amp;force-refresh=true&amp;timestamp=" &amp; TEXT(NOW(), "yyyymmddhhmmss"), "👉 Klik untuk Generate Script! 🔥"), "")</f>
        <v/>
      </c>
      <c r="I401" s="143" t="n"/>
      <c r="J401" s="146" t="n"/>
      <c r="K401" s="130">
        <f>IF(AND(B401&lt;&gt;"", C401&lt;&gt;"", D401&lt;&gt;"", E401&lt;&gt;"", F401&lt;&gt;"", G401&lt;&gt;"", J401&lt;&gt;"", 'CONTENT PILLAR MAPPING'!C304&lt;&gt;"", 'CONTENT PILLAR MAPPING'!E304&lt;&gt;"", 'CONTENT PILLAR MAPPING'!F304&lt;&gt;"", 'CONTENT PILLAR MAPPING'!C307&lt;&gt;"", 'CONTENT PILLAR MAPPING'!C312&lt;&gt;"", 'CONTENT PILLAR MAPPING'!D312&lt;&gt;"", 'CONTENT PILLAR MAPPING'!E312&lt;&gt;"", 'CONTENT PILLAR MAPPING'!D320&lt;&gt;"", 'CONTENT PILLAR MAPPING'!D321&lt;&gt;""),
CONCATENATE(
"Sebagai seorang top konten kreator dengan niche utama '", 'CONTENT PILLAR MAPPING'!C304, "', spesifik kategori '", 'CONTENT PILLAR MAPPING'!E304, "', dan super spesifik '", 'CONTENT PILLAR MAPPING'!F304, "', yang dikenal sebagai '", 'CONTENT PILLAR MAPPING'!C307, "'.", CHAR(10),
"Saya memiliki Tone of Voice: '", 'CONTENT PILLAR MAPPING'!C312, "', Brand Archetype: '", 'CONTENT PILLAR MAPPING'!D312, "', dan Deskripsi Gaya Komunikasi: '", 'CONTENT PILLAR MAPPING'!E312, "'.", CHAR(10),
"Target audiens saya adalah: '", 'CONTENT PILLAR MAPPING'!D320, "', dengan segmentasi audiens: '", 'CONTENT PILLAR MAPPING'!D321, "'.", CHAR(10), CHAR(10),
"Mohon buatkan script konten yang **sangat powerful, menarik, inovatif, dan siap pakai** dengan judul ide '", B401, "'.", CHAR(10),
"Konten ini memiliki pilar '", C401, "', nilai tambah utama '", F401, "', dan akan menggunakan storytelling framework '", G401, "'.", CHAR(10),
"Gambaran singkat ide kontennya adalah: '", J401, "'.", CHAR(10),
"Konten ini akan diunggah di platform '", E401, "' dengan format '", D401,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MAPPING'!C307, "'.** Sesuaikan dengan gaya komunikasi saya, dengan fokus pada nilai tambah '", F401,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MAPPING'!D320, ", khusus ", 'CONTENT PILLAR MAPPING'!D321, ") dan membantu mereka menyelesaikan masalah atau mencapai tujuan mereka.", CHAR(10),
"✔ Membantuku membangun personal branding yang kuat dan sustainable, sesuai dengan Positioning saya sebagai '", 'CONTENT PILLAR MAPPING'!C307, "' dan Brand Archetype '", 'CONTENT PILLAR MAPPING'!D312, "'.", CHAR(10),
"✔ Kemas dalam bentuk tabel agar rapi, mudah di baca dan dipahami, dengan kolom 'Judul Konten', 'Pilar', 'Format', 'Draft Script', 'CTA', 'Saran Visual', dan 'Full Caption'. (Kosongkan kolom Link Prompt jika ada)."
),
"")</f>
        <v/>
      </c>
      <c r="L401" s="91" t="n"/>
      <c r="M401" s="91" t="n"/>
      <c r="N401" s="102" t="n"/>
      <c r="O401" s="102" t="n"/>
      <c r="P401" s="102" t="n"/>
      <c r="Q401" s="102" t="n"/>
      <c r="R401" s="102" t="n"/>
      <c r="S401" s="102" t="n"/>
      <c r="T401" s="102" t="n"/>
      <c r="U401" s="102" t="n"/>
      <c r="V401" s="102" t="n"/>
      <c r="W401" s="102" t="n"/>
      <c r="X401" s="102" t="n"/>
      <c r="Y401" s="102" t="n"/>
      <c r="Z401" s="102" t="n"/>
      <c r="AA401" s="102" t="n"/>
      <c r="AB401" s="102" t="n"/>
      <c r="AC401" s="102" t="n"/>
      <c r="AD401" s="102" t="n"/>
    </row>
    <row r="402" ht="15.75" customHeight="1" s="205">
      <c r="A402" s="102" t="n"/>
      <c r="B402" s="147" t="n"/>
      <c r="C402" s="144" t="n"/>
      <c r="D402" s="144" t="n"/>
      <c r="E402" s="144" t="n"/>
      <c r="F402" s="144" t="n"/>
      <c r="G402" s="144" t="n"/>
      <c r="H402" s="141">
        <f>IF(K402&lt;&gt;"", HYPERLINK("https://chatgpt.com/?prompt=" &amp; SUBSTITUTE(SUBSTITUTE(K402, " ", "+"), "&amp;", "dan") &amp; "&amp;force-refresh=true&amp;timestamp=" &amp; TEXT(NOW(), "yyyymmddhhmmss"), "👉 Klik untuk Generate Script! 🔥"), "")</f>
        <v/>
      </c>
      <c r="I402" s="144" t="n"/>
      <c r="J402" s="148" t="n"/>
      <c r="K402" s="140">
        <f>IF(AND(B402&lt;&gt;"", C402&lt;&gt;"", D402&lt;&gt;"", E402&lt;&gt;"", F402&lt;&gt;"", G402&lt;&gt;"", J402&lt;&gt;"", 'CONTENT PILLAR MAPPING'!C304&lt;&gt;"", 'CONTENT PILLAR MAPPING'!E304&lt;&gt;"", 'CONTENT PILLAR MAPPING'!F304&lt;&gt;"", 'CONTENT PILLAR MAPPING'!C307&lt;&gt;"", 'CONTENT PILLAR MAPPING'!C312&lt;&gt;"", 'CONTENT PILLAR MAPPING'!D312&lt;&gt;"", 'CONTENT PILLAR MAPPING'!E312&lt;&gt;"", 'CONTENT PILLAR MAPPING'!D320&lt;&gt;"", 'CONTENT PILLAR MAPPING'!D321&lt;&gt;""),
CONCATENATE(
"Sebagai seorang top konten kreator dengan niche utama '", 'CONTENT PILLAR MAPPING'!C304, "', spesifik kategori '", 'CONTENT PILLAR MAPPING'!E304, "', dan super spesifik '", 'CONTENT PILLAR MAPPING'!F304, "', yang dikenal sebagai '", 'CONTENT PILLAR MAPPING'!C307, "'.", CHAR(10),
"Saya memiliki Tone of Voice: '", 'CONTENT PILLAR MAPPING'!C312, "', Brand Archetype: '", 'CONTENT PILLAR MAPPING'!D312, "', dan Deskripsi Gaya Komunikasi: '", 'CONTENT PILLAR MAPPING'!E312, "'.", CHAR(10),
"Target audiens saya adalah: '", 'CONTENT PILLAR MAPPING'!D320, "', dengan segmentasi audiens: '", 'CONTENT PILLAR MAPPING'!D321, "'.", CHAR(10), CHAR(10),
"Mohon buatkan script konten yang **sangat powerful, menarik, inovatif, dan siap pakai** dengan judul ide '", B402, "'.", CHAR(10),
"Konten ini memiliki pilar '", C402, "', nilai tambah utama '", F402, "', dan akan menggunakan storytelling framework '", G402, "'.", CHAR(10),
"Gambaran singkat ide kontennya adalah: '", J402, "'.", CHAR(10),
"Konten ini akan diunggah di platform '", E402, "' dengan format '", D402,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MAPPING'!C307, "'.** Sesuaikan dengan gaya komunikasi saya, dengan fokus pada nilai tambah '", F402,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MAPPING'!D320, ", khusus ", 'CONTENT PILLAR MAPPING'!D321, ") dan membantu mereka menyelesaikan masalah atau mencapai tujuan mereka.", CHAR(10),
"✔ Membantuku membangun personal branding yang kuat dan sustainable, sesuai dengan Positioning saya sebagai '", 'CONTENT PILLAR MAPPING'!C307, "' dan Brand Archetype '", 'CONTENT PILLAR MAPPING'!D312, "'.", CHAR(10),
"✔ Kemas dalam bentuk tabel agar rapi, mudah di baca dan dipahami, dengan kolom 'Judul Konten', 'Pilar', 'Format', 'Draft Script', 'CTA', 'Saran Visual', dan 'Full Caption'. (Kosongkan kolom Link Prompt jika ada)."
),
"")</f>
        <v/>
      </c>
      <c r="L402" s="199" t="n"/>
      <c r="M402" s="199" t="n"/>
      <c r="N402" s="102" t="n"/>
      <c r="O402" s="102" t="n"/>
      <c r="P402" s="102" t="n"/>
      <c r="Q402" s="102" t="n"/>
      <c r="R402" s="102" t="n"/>
      <c r="S402" s="102" t="n"/>
      <c r="T402" s="102" t="n"/>
      <c r="U402" s="102" t="n"/>
      <c r="V402" s="102" t="n"/>
      <c r="W402" s="102" t="n"/>
      <c r="X402" s="102" t="n"/>
      <c r="Y402" s="102" t="n"/>
      <c r="Z402" s="102" t="n"/>
      <c r="AA402" s="102" t="n"/>
      <c r="AB402" s="102" t="n"/>
      <c r="AC402" s="102" t="n"/>
      <c r="AD402" s="102" t="n"/>
    </row>
    <row r="403" ht="15.75" customHeight="1" s="205">
      <c r="A403" s="102" t="n"/>
      <c r="B403" s="142" t="n"/>
      <c r="C403" s="143" t="n"/>
      <c r="D403" s="143" t="n"/>
      <c r="E403" s="143" t="n"/>
      <c r="F403" s="143" t="n"/>
      <c r="G403" s="144" t="n"/>
      <c r="H403" s="145">
        <f>IF(K403&lt;&gt;"", HYPERLINK("https://chatgpt.com/?prompt=" &amp; SUBSTITUTE(SUBSTITUTE(K403, " ", "+"), "&amp;", "dan") &amp; "&amp;force-refresh=true&amp;timestamp=" &amp; TEXT(NOW(), "yyyymmddhhmmss"), "👉 Klik untuk Generate Script! 🔥"), "")</f>
        <v/>
      </c>
      <c r="I403" s="143" t="n"/>
      <c r="J403" s="146" t="n"/>
      <c r="K403" s="130">
        <f>IF(AND(B403&lt;&gt;"", C403&lt;&gt;"", D403&lt;&gt;"", E403&lt;&gt;"", F403&lt;&gt;"", G403&lt;&gt;"", J403&lt;&gt;"", 'CONTENT PILLAR MAPPING'!C306&lt;&gt;"", 'CONTENT PILLAR MAPPING'!E306&lt;&gt;"", 'CONTENT PILLAR MAPPING'!F306&lt;&gt;"", 'CONTENT PILLAR MAPPING'!C309&lt;&gt;"", 'CONTENT PILLAR MAPPING'!C314&lt;&gt;"", 'CONTENT PILLAR MAPPING'!D314&lt;&gt;"", 'CONTENT PILLAR MAPPING'!E314&lt;&gt;"", 'CONTENT PILLAR MAPPING'!D322&lt;&gt;"", 'CONTENT PILLAR MAPPING'!D323&lt;&gt;""),
CONCATENATE(
"Sebagai seorang top konten kreator dengan niche utama '", 'CONTENT PILLAR MAPPING'!C306, "', spesifik kategori '", 'CONTENT PILLAR MAPPING'!E306, "', dan super spesifik '", 'CONTENT PILLAR MAPPING'!F306, "', yang dikenal sebagai '", 'CONTENT PILLAR MAPPING'!C309, "'.", CHAR(10),
"Saya memiliki Tone of Voice: '", 'CONTENT PILLAR MAPPING'!C314, "', Brand Archetype: '", 'CONTENT PILLAR MAPPING'!D314, "', dan Deskripsi Gaya Komunikasi: '", 'CONTENT PILLAR MAPPING'!E314, "'.", CHAR(10),
"Target audiens saya adalah: '", 'CONTENT PILLAR MAPPING'!D322, "', dengan segmentasi audiens: '", 'CONTENT PILLAR MAPPING'!D323, "'.", CHAR(10), CHAR(10),
"Mohon buatkan script konten yang **sangat powerful, menarik, inovatif, dan siap pakai** dengan judul ide '", B403, "'.", CHAR(10),
"Konten ini memiliki pilar '", C403, "', nilai tambah utama '", F403, "', dan akan menggunakan storytelling framework '", G403, "'.", CHAR(10),
"Gambaran singkat ide kontennya adalah: '", J403, "'.", CHAR(10),
"Konten ini akan diunggah di platform '", E403, "' dengan format '", D403,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MAPPING'!C309, "'.** Sesuaikan dengan gaya komunikasi saya, dengan fokus pada nilai tambah '", F403,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MAPPING'!D322, ", khusus ", 'CONTENT PILLAR MAPPING'!D323, ") dan membantu mereka menyelesaikan masalah atau mencapai tujuan mereka.", CHAR(10),
"✔ Membantuku membangun personal branding yang kuat dan sustainable, sesuai dengan Positioning saya sebagai '", 'CONTENT PILLAR MAPPING'!C309, "' dan Brand Archetype '", 'CONTENT PILLAR MAPPING'!D314, "'.", CHAR(10),
"✔ Kemas dalam bentuk tabel agar rapi, mudah di baca dan dipahami, dengan kolom 'Judul Konten', 'Pilar', 'Format', 'Draft Script', 'CTA', 'Saran Visual', dan 'Full Caption'. (Kosongkan kolom Link Prompt jika ada)."
),
"")</f>
        <v/>
      </c>
      <c r="L403" s="91" t="n"/>
      <c r="M403" s="91" t="n"/>
      <c r="N403" s="102" t="n"/>
      <c r="O403" s="102" t="n"/>
      <c r="P403" s="102" t="n"/>
      <c r="Q403" s="102" t="n"/>
      <c r="R403" s="102" t="n"/>
      <c r="S403" s="102" t="n"/>
      <c r="T403" s="102" t="n"/>
      <c r="U403" s="102" t="n"/>
      <c r="V403" s="102" t="n"/>
      <c r="W403" s="102" t="n"/>
      <c r="X403" s="102" t="n"/>
      <c r="Y403" s="102" t="n"/>
      <c r="Z403" s="102" t="n"/>
      <c r="AA403" s="102" t="n"/>
      <c r="AB403" s="102" t="n"/>
      <c r="AC403" s="102" t="n"/>
      <c r="AD403" s="102" t="n"/>
    </row>
    <row r="404" ht="15.75" customHeight="1" s="205">
      <c r="A404" s="102" t="n"/>
      <c r="B404" s="147" t="n"/>
      <c r="C404" s="144" t="n"/>
      <c r="D404" s="144" t="n"/>
      <c r="E404" s="144" t="n"/>
      <c r="F404" s="144" t="n"/>
      <c r="G404" s="144" t="n"/>
      <c r="H404" s="141">
        <f>IF(K404&lt;&gt;"", HYPERLINK("https://chatgpt.com/?prompt=" &amp; SUBSTITUTE(SUBSTITUTE(K404, " ", "+"), "&amp;", "dan") &amp; "&amp;force-refresh=true&amp;timestamp=" &amp; TEXT(NOW(), "yyyymmddhhmmss"), "👉 Klik untuk Generate Script! 🔥"), "")</f>
        <v/>
      </c>
      <c r="I404" s="144" t="n"/>
      <c r="J404" s="148" t="n"/>
      <c r="K404" s="140">
        <f>IF(AND(B404&lt;&gt;"", C404&lt;&gt;"", D404&lt;&gt;"", E404&lt;&gt;"", F404&lt;&gt;"", G404&lt;&gt;"", J404&lt;&gt;"", 'CONTENT PILLAR MAPPING'!C306&lt;&gt;"", 'CONTENT PILLAR MAPPING'!E306&lt;&gt;"", 'CONTENT PILLAR MAPPING'!F306&lt;&gt;"", 'CONTENT PILLAR MAPPING'!C309&lt;&gt;"", 'CONTENT PILLAR MAPPING'!C314&lt;&gt;"", 'CONTENT PILLAR MAPPING'!D314&lt;&gt;"", 'CONTENT PILLAR MAPPING'!E314&lt;&gt;"", 'CONTENT PILLAR MAPPING'!D322&lt;&gt;"", 'CONTENT PILLAR MAPPING'!D323&lt;&gt;""),
CONCATENATE(
"Sebagai seorang top konten kreator dengan niche utama '", 'CONTENT PILLAR MAPPING'!C306, "', spesifik kategori '", 'CONTENT PILLAR MAPPING'!E306, "', dan super spesifik '", 'CONTENT PILLAR MAPPING'!F306, "', yang dikenal sebagai '", 'CONTENT PILLAR MAPPING'!C309, "'.", CHAR(10),
"Saya memiliki Tone of Voice: '", 'CONTENT PILLAR MAPPING'!C314, "', Brand Archetype: '", 'CONTENT PILLAR MAPPING'!D314, "', dan Deskripsi Gaya Komunikasi: '", 'CONTENT PILLAR MAPPING'!E314, "'.", CHAR(10),
"Target audiens saya adalah: '", 'CONTENT PILLAR MAPPING'!D322, "', dengan segmentasi audiens: '", 'CONTENT PILLAR MAPPING'!D323, "'.", CHAR(10), CHAR(10),
"Mohon buatkan script konten yang **sangat powerful, menarik, inovatif, dan siap pakai** dengan judul ide '", B404, "'.", CHAR(10),
"Konten ini memiliki pilar '", C404, "', nilai tambah utama '", F404, "', dan akan menggunakan storytelling framework '", G404, "'.", CHAR(10),
"Gambaran singkat ide kontennya adalah: '", J404, "'.", CHAR(10),
"Konten ini akan diunggah di platform '", E404, "' dengan format '", D404,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MAPPING'!C309, "'.** Sesuaikan dengan gaya komunikasi saya, dengan fokus pada nilai tambah '", F404,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MAPPING'!D322, ", khusus ", 'CONTENT PILLAR MAPPING'!D323, ") dan membantu mereka menyelesaikan masalah atau mencapai tujuan mereka.", CHAR(10),
"✔ Membantuku membangun personal branding yang kuat dan sustainable, sesuai dengan Positioning saya sebagai '", 'CONTENT PILLAR MAPPING'!C309, "' dan Brand Archetype '", 'CONTENT PILLAR MAPPING'!D314, "'.", CHAR(10),
"✔ Kemas dalam bentuk tabel agar rapi, mudah di baca dan dipahami, dengan kolom 'Judul Konten', 'Pilar', 'Format', 'Draft Script', 'CTA', 'Saran Visual', dan 'Full Caption'. (Kosongkan kolom Link Prompt jika ada)."
),
"")</f>
        <v/>
      </c>
      <c r="L404" s="199" t="n"/>
      <c r="M404" s="199" t="n"/>
      <c r="N404" s="102" t="n"/>
      <c r="O404" s="102" t="n"/>
      <c r="P404" s="102" t="n"/>
      <c r="Q404" s="102" t="n"/>
      <c r="R404" s="102" t="n"/>
      <c r="S404" s="102" t="n"/>
      <c r="T404" s="102" t="n"/>
      <c r="U404" s="102" t="n"/>
      <c r="V404" s="102" t="n"/>
      <c r="W404" s="102" t="n"/>
      <c r="X404" s="102" t="n"/>
      <c r="Y404" s="102" t="n"/>
      <c r="Z404" s="102" t="n"/>
      <c r="AA404" s="102" t="n"/>
      <c r="AB404" s="102" t="n"/>
      <c r="AC404" s="102" t="n"/>
      <c r="AD404" s="102" t="n"/>
    </row>
    <row r="405" ht="15.75" customHeight="1" s="205">
      <c r="A405" s="102" t="n"/>
      <c r="B405" s="142" t="n"/>
      <c r="C405" s="143" t="n"/>
      <c r="D405" s="143" t="n"/>
      <c r="E405" s="143" t="n"/>
      <c r="F405" s="143" t="n"/>
      <c r="G405" s="144" t="n"/>
      <c r="H405" s="145">
        <f>IF(K405&lt;&gt;"", HYPERLINK("https://chatgpt.com/?prompt=" &amp; SUBSTITUTE(SUBSTITUTE(K405, " ", "+"), "&amp;", "dan") &amp; "&amp;force-refresh=true&amp;timestamp=" &amp; TEXT(NOW(), "yyyymmddhhmmss"), "👉 Klik untuk Generate Script! 🔥"), "")</f>
        <v/>
      </c>
      <c r="I405" s="143" t="n"/>
      <c r="J405" s="146" t="n"/>
      <c r="K405" s="130">
        <f>IF(AND(B405&lt;&gt;"", C405&lt;&gt;"", D405&lt;&gt;"", E405&lt;&gt;"", F405&lt;&gt;"", G405&lt;&gt;"", J405&lt;&gt;"", 'CONTENT PILLAR MAPPING'!C308&lt;&gt;"", 'CONTENT PILLAR MAPPING'!E308&lt;&gt;"", 'CONTENT PILLAR MAPPING'!F308&lt;&gt;"", 'CONTENT PILLAR MAPPING'!C311&lt;&gt;"", 'CONTENT PILLAR MAPPING'!C316&lt;&gt;"", 'CONTENT PILLAR MAPPING'!D316&lt;&gt;"", 'CONTENT PILLAR MAPPING'!E316&lt;&gt;"", 'CONTENT PILLAR MAPPING'!D324&lt;&gt;"", 'CONTENT PILLAR MAPPING'!D325&lt;&gt;""),
CONCATENATE(
"Sebagai seorang top konten kreator dengan niche utama '", 'CONTENT PILLAR MAPPING'!C308, "', spesifik kategori '", 'CONTENT PILLAR MAPPING'!E308, "', dan super spesifik '", 'CONTENT PILLAR MAPPING'!F308, "', yang dikenal sebagai '", 'CONTENT PILLAR MAPPING'!C311, "'.", CHAR(10),
"Saya memiliki Tone of Voice: '", 'CONTENT PILLAR MAPPING'!C316, "', Brand Archetype: '", 'CONTENT PILLAR MAPPING'!D316, "', dan Deskripsi Gaya Komunikasi: '", 'CONTENT PILLAR MAPPING'!E316, "'.", CHAR(10),
"Target audiens saya adalah: '", 'CONTENT PILLAR MAPPING'!D324, "', dengan segmentasi audiens: '", 'CONTENT PILLAR MAPPING'!D325, "'.", CHAR(10), CHAR(10),
"Mohon buatkan script konten yang **sangat powerful, menarik, inovatif, dan siap pakai** dengan judul ide '", B405, "'.", CHAR(10),
"Konten ini memiliki pilar '", C405, "', nilai tambah utama '", F405, "', dan akan menggunakan storytelling framework '", G405, "'.", CHAR(10),
"Gambaran singkat ide kontennya adalah: '", J405, "'.", CHAR(10),
"Konten ini akan diunggah di platform '", E405, "' dengan format '", D405,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MAPPING'!C311, "'.** Sesuaikan dengan gaya komunikasi saya, dengan fokus pada nilai tambah '", F405,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MAPPING'!D324, ", khusus ", 'CONTENT PILLAR MAPPING'!D325, ") dan membantu mereka menyelesaikan masalah atau mencapai tujuan mereka.", CHAR(10),
"✔ Membantuku membangun personal branding yang kuat dan sustainable, sesuai dengan Positioning saya sebagai '", 'CONTENT PILLAR MAPPING'!C311, "' dan Brand Archetype '", 'CONTENT PILLAR MAPPING'!D316, "'.", CHAR(10),
"✔ Kemas dalam bentuk tabel agar rapi, mudah di baca dan dipahami, dengan kolom 'Judul Konten', 'Pilar', 'Format', 'Draft Script', 'CTA', 'Saran Visual', dan 'Full Caption'. (Kosongkan kolom Link Prompt jika ada)."
),
"")</f>
        <v/>
      </c>
      <c r="L405" s="91" t="n"/>
      <c r="M405" s="91" t="n"/>
      <c r="N405" s="102" t="n"/>
      <c r="O405" s="102" t="n"/>
      <c r="P405" s="102" t="n"/>
      <c r="Q405" s="102" t="n"/>
      <c r="R405" s="102" t="n"/>
      <c r="S405" s="102" t="n"/>
      <c r="T405" s="102" t="n"/>
      <c r="U405" s="102" t="n"/>
      <c r="V405" s="102" t="n"/>
      <c r="W405" s="102" t="n"/>
      <c r="X405" s="102" t="n"/>
      <c r="Y405" s="102" t="n"/>
      <c r="Z405" s="102" t="n"/>
      <c r="AA405" s="102" t="n"/>
      <c r="AB405" s="102" t="n"/>
      <c r="AC405" s="102" t="n"/>
      <c r="AD405" s="102" t="n"/>
    </row>
    <row r="406" ht="15.75" customHeight="1" s="205">
      <c r="A406" s="102" t="n"/>
      <c r="B406" s="147" t="n"/>
      <c r="C406" s="144" t="n"/>
      <c r="D406" s="144" t="n"/>
      <c r="E406" s="144" t="n"/>
      <c r="F406" s="144" t="n"/>
      <c r="G406" s="144" t="n"/>
      <c r="H406" s="141">
        <f>IF(K406&lt;&gt;"", HYPERLINK("https://chatgpt.com/?prompt=" &amp; SUBSTITUTE(SUBSTITUTE(K406, " ", "+"), "&amp;", "dan") &amp; "&amp;force-refresh=true&amp;timestamp=" &amp; TEXT(NOW(), "yyyymmddhhmmss"), "👉 Klik untuk Generate Script! 🔥"), "")</f>
        <v/>
      </c>
      <c r="I406" s="144" t="n"/>
      <c r="J406" s="148" t="n"/>
      <c r="K406" s="140">
        <f>IF(AND(B406&lt;&gt;"", C406&lt;&gt;"", D406&lt;&gt;"", E406&lt;&gt;"", F406&lt;&gt;"", G406&lt;&gt;"", J406&lt;&gt;"", 'CONTENT PILLAR MAPPING'!C308&lt;&gt;"", 'CONTENT PILLAR MAPPING'!E308&lt;&gt;"", 'CONTENT PILLAR MAPPING'!F308&lt;&gt;"", 'CONTENT PILLAR MAPPING'!C311&lt;&gt;"", 'CONTENT PILLAR MAPPING'!C316&lt;&gt;"", 'CONTENT PILLAR MAPPING'!D316&lt;&gt;"", 'CONTENT PILLAR MAPPING'!E316&lt;&gt;"", 'CONTENT PILLAR MAPPING'!D324&lt;&gt;"", 'CONTENT PILLAR MAPPING'!D325&lt;&gt;""),
CONCATENATE(
"Sebagai seorang top konten kreator dengan niche utama '", 'CONTENT PILLAR MAPPING'!C308, "', spesifik kategori '", 'CONTENT PILLAR MAPPING'!E308, "', dan super spesifik '", 'CONTENT PILLAR MAPPING'!F308, "', yang dikenal sebagai '", 'CONTENT PILLAR MAPPING'!C311, "'.", CHAR(10),
"Saya memiliki Tone of Voice: '", 'CONTENT PILLAR MAPPING'!C316, "', Brand Archetype: '", 'CONTENT PILLAR MAPPING'!D316, "', dan Deskripsi Gaya Komunikasi: '", 'CONTENT PILLAR MAPPING'!E316, "'.", CHAR(10),
"Target audiens saya adalah: '", 'CONTENT PILLAR MAPPING'!D324, "', dengan segmentasi audiens: '", 'CONTENT PILLAR MAPPING'!D325, "'.", CHAR(10), CHAR(10),
"Mohon buatkan script konten yang **sangat powerful, menarik, inovatif, dan siap pakai** dengan judul ide '", B406, "'.", CHAR(10),
"Konten ini memiliki pilar '", C406, "', nilai tambah utama '", F406, "', dan akan menggunakan storytelling framework '", G406, "'.", CHAR(10),
"Gambaran singkat ide kontennya adalah: '", J406, "'.", CHAR(10),
"Konten ini akan diunggah di platform '", E406, "' dengan format '", D406,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MAPPING'!C311, "'.** Sesuaikan dengan gaya komunikasi saya, dengan fokus pada nilai tambah '", F406,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MAPPING'!D324, ", khusus ", 'CONTENT PILLAR MAPPING'!D325, ") dan membantu mereka menyelesaikan masalah atau mencapai tujuan mereka.", CHAR(10),
"✔ Membantuku membangun personal branding yang kuat dan sustainable, sesuai dengan Positioning saya sebagai '", 'CONTENT PILLAR MAPPING'!C311, "' dan Brand Archetype '", 'CONTENT PILLAR MAPPING'!D316, "'.", CHAR(10),
"✔ Kemas dalam bentuk tabel agar rapi, mudah di baca dan dipahami, dengan kolom 'Judul Konten', 'Pilar', 'Format', 'Draft Script', 'CTA', 'Saran Visual', dan 'Full Caption'. (Kosongkan kolom Link Prompt jika ada)."
),
"")</f>
        <v/>
      </c>
      <c r="L406" s="199" t="n"/>
      <c r="M406" s="199" t="n"/>
      <c r="N406" s="102" t="n"/>
      <c r="O406" s="102" t="n"/>
      <c r="P406" s="102" t="n"/>
      <c r="Q406" s="102" t="n"/>
      <c r="R406" s="102" t="n"/>
      <c r="S406" s="102" t="n"/>
      <c r="T406" s="102" t="n"/>
      <c r="U406" s="102" t="n"/>
      <c r="V406" s="102" t="n"/>
      <c r="W406" s="102" t="n"/>
      <c r="X406" s="102" t="n"/>
      <c r="Y406" s="102" t="n"/>
      <c r="Z406" s="102" t="n"/>
      <c r="AA406" s="102" t="n"/>
      <c r="AB406" s="102" t="n"/>
      <c r="AC406" s="102" t="n"/>
      <c r="AD406" s="102" t="n"/>
    </row>
    <row r="407" ht="15.75" customHeight="1" s="205">
      <c r="A407" s="102" t="n"/>
      <c r="B407" s="142" t="n"/>
      <c r="C407" s="143" t="n"/>
      <c r="D407" s="143" t="n"/>
      <c r="E407" s="143" t="n"/>
      <c r="F407" s="143" t="n"/>
      <c r="G407" s="144" t="n"/>
      <c r="H407" s="145">
        <f>IF(K407&lt;&gt;"", HYPERLINK("https://chatgpt.com/?prompt=" &amp; SUBSTITUTE(SUBSTITUTE(K407, " ", "+"), "&amp;", "dan") &amp; "&amp;force-refresh=true&amp;timestamp=" &amp; TEXT(NOW(), "yyyymmddhhmmss"), "👉 Klik untuk Generate Script! 🔥"), "")</f>
        <v/>
      </c>
      <c r="I407" s="143" t="n"/>
      <c r="J407" s="146" t="n"/>
      <c r="K407" s="130">
        <f>IF(AND(B407&lt;&gt;"", C407&lt;&gt;"", D407&lt;&gt;"", E407&lt;&gt;"", F407&lt;&gt;"", G407&lt;&gt;"", J407&lt;&gt;"", 'CONTENT PILLAR MAPPING'!C310&lt;&gt;"", 'CONTENT PILLAR MAPPING'!E310&lt;&gt;"", 'CONTENT PILLAR MAPPING'!F310&lt;&gt;"", 'CONTENT PILLAR MAPPING'!C313&lt;&gt;"", 'CONTENT PILLAR MAPPING'!C318&lt;&gt;"", 'CONTENT PILLAR MAPPING'!D318&lt;&gt;"", 'CONTENT PILLAR MAPPING'!E318&lt;&gt;"", 'CONTENT PILLAR MAPPING'!D326&lt;&gt;"", 'CONTENT PILLAR MAPPING'!D327&lt;&gt;""),
CONCATENATE(
"Sebagai seorang top konten kreator dengan niche utama '", 'CONTENT PILLAR MAPPING'!C310, "', spesifik kategori '", 'CONTENT PILLAR MAPPING'!E310, "', dan super spesifik '", 'CONTENT PILLAR MAPPING'!F310, "', yang dikenal sebagai '", 'CONTENT PILLAR MAPPING'!C313, "'.", CHAR(10),
"Saya memiliki Tone of Voice: '", 'CONTENT PILLAR MAPPING'!C318, "', Brand Archetype: '", 'CONTENT PILLAR MAPPING'!D318, "', dan Deskripsi Gaya Komunikasi: '", 'CONTENT PILLAR MAPPING'!E318, "'.", CHAR(10),
"Target audiens saya adalah: '", 'CONTENT PILLAR MAPPING'!D326, "', dengan segmentasi audiens: '", 'CONTENT PILLAR MAPPING'!D327, "'.", CHAR(10), CHAR(10),
"Mohon buatkan script konten yang **sangat powerful, menarik, inovatif, dan siap pakai** dengan judul ide '", B407, "'.", CHAR(10),
"Konten ini memiliki pilar '", C407, "', nilai tambah utama '", F407, "', dan akan menggunakan storytelling framework '", G407, "'.", CHAR(10),
"Gambaran singkat ide kontennya adalah: '", J407, "'.", CHAR(10),
"Konten ini akan diunggah di platform '", E407, "' dengan format '", D407,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MAPPING'!C313, "'.** Sesuaikan dengan gaya komunikasi saya, dengan fokus pada nilai tambah '", F407,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MAPPING'!D326, ", khusus ", 'CONTENT PILLAR MAPPING'!D327, ") dan membantu mereka menyelesaikan masalah atau mencapai tujuan mereka.", CHAR(10),
"✔ Membantuku membangun personal branding yang kuat dan sustainable, sesuai dengan Positioning saya sebagai '", 'CONTENT PILLAR MAPPING'!C313, "' dan Brand Archetype '", 'CONTENT PILLAR MAPPING'!D318, "'.", CHAR(10),
"✔ Kemas dalam bentuk tabel agar rapi, mudah di baca dan dipahami, dengan kolom 'Judul Konten', 'Pilar', 'Format', 'Draft Script', 'CTA', 'Saran Visual', dan 'Full Caption'. (Kosongkan kolom Link Prompt jika ada)."
),
"")</f>
        <v/>
      </c>
      <c r="L407" s="91" t="n"/>
      <c r="M407" s="91" t="n"/>
      <c r="N407" s="102" t="n"/>
      <c r="O407" s="102" t="n"/>
      <c r="P407" s="102" t="n"/>
      <c r="Q407" s="102" t="n"/>
      <c r="R407" s="102" t="n"/>
      <c r="S407" s="102" t="n"/>
      <c r="T407" s="102" t="n"/>
      <c r="U407" s="102" t="n"/>
      <c r="V407" s="102" t="n"/>
      <c r="W407" s="102" t="n"/>
      <c r="X407" s="102" t="n"/>
      <c r="Y407" s="102" t="n"/>
      <c r="Z407" s="102" t="n"/>
      <c r="AA407" s="102" t="n"/>
      <c r="AB407" s="102" t="n"/>
      <c r="AC407" s="102" t="n"/>
      <c r="AD407" s="102" t="n"/>
    </row>
    <row r="408" ht="15.75" customHeight="1" s="205">
      <c r="A408" s="102" t="n"/>
      <c r="B408" s="147" t="n"/>
      <c r="C408" s="144" t="n"/>
      <c r="D408" s="144" t="n"/>
      <c r="E408" s="144" t="n"/>
      <c r="F408" s="144" t="n"/>
      <c r="G408" s="144" t="n"/>
      <c r="H408" s="141">
        <f>IF(K408&lt;&gt;"", HYPERLINK("https://chatgpt.com/?prompt=" &amp; SUBSTITUTE(SUBSTITUTE(K408, " ", "+"), "&amp;", "dan") &amp; "&amp;force-refresh=true&amp;timestamp=" &amp; TEXT(NOW(), "yyyymmddhhmmss"), "👉 Klik untuk Generate Script! 🔥"), "")</f>
        <v/>
      </c>
      <c r="I408" s="144" t="n"/>
      <c r="J408" s="148" t="n"/>
      <c r="K408" s="140">
        <f>IF(AND(B408&lt;&gt;"", C408&lt;&gt;"", D408&lt;&gt;"", E408&lt;&gt;"", F408&lt;&gt;"", G408&lt;&gt;"", J408&lt;&gt;"", 'CONTENT PILLAR MAPPING'!C310&lt;&gt;"", 'CONTENT PILLAR MAPPING'!E310&lt;&gt;"", 'CONTENT PILLAR MAPPING'!F310&lt;&gt;"", 'CONTENT PILLAR MAPPING'!C313&lt;&gt;"", 'CONTENT PILLAR MAPPING'!C318&lt;&gt;"", 'CONTENT PILLAR MAPPING'!D318&lt;&gt;"", 'CONTENT PILLAR MAPPING'!E318&lt;&gt;"", 'CONTENT PILLAR MAPPING'!D326&lt;&gt;"", 'CONTENT PILLAR MAPPING'!D327&lt;&gt;""),
CONCATENATE(
"Sebagai seorang top konten kreator dengan niche utama '", 'CONTENT PILLAR MAPPING'!C310, "', spesifik kategori '", 'CONTENT PILLAR MAPPING'!E310, "', dan super spesifik '", 'CONTENT PILLAR MAPPING'!F310, "', yang dikenal sebagai '", 'CONTENT PILLAR MAPPING'!C313, "'.", CHAR(10),
"Saya memiliki Tone of Voice: '", 'CONTENT PILLAR MAPPING'!C318, "', Brand Archetype: '", 'CONTENT PILLAR MAPPING'!D318, "', dan Deskripsi Gaya Komunikasi: '", 'CONTENT PILLAR MAPPING'!E318, "'.", CHAR(10),
"Target audiens saya adalah: '", 'CONTENT PILLAR MAPPING'!D326, "', dengan segmentasi audiens: '", 'CONTENT PILLAR MAPPING'!D327, "'.", CHAR(10), CHAR(10),
"Mohon buatkan script konten yang **sangat powerful, menarik, inovatif, dan siap pakai** dengan judul ide '", B408, "'.", CHAR(10),
"Konten ini memiliki pilar '", C408, "', nilai tambah utama '", F408, "', dan akan menggunakan storytelling framework '", G408, "'.", CHAR(10),
"Gambaran singkat ide kontennya adalah: '", J408, "'.", CHAR(10),
"Konten ini akan diunggah di platform '", E408, "' dengan format '", D408,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MAPPING'!C313, "'.** Sesuaikan dengan gaya komunikasi saya, dengan fokus pada nilai tambah '", F408,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MAPPING'!D326, ", khusus ", 'CONTENT PILLAR MAPPING'!D327, ") dan membantu mereka menyelesaikan masalah atau mencapai tujuan mereka.", CHAR(10),
"✔ Membantuku membangun personal branding yang kuat dan sustainable, sesuai dengan Positioning saya sebagai '", 'CONTENT PILLAR MAPPING'!C313, "' dan Brand Archetype '", 'CONTENT PILLAR MAPPING'!D318, "'.", CHAR(10),
"✔ Kemas dalam bentuk tabel agar rapi, mudah di baca dan dipahami, dengan kolom 'Judul Konten', 'Pilar', 'Format', 'Draft Script', 'CTA', 'Saran Visual', dan 'Full Caption'. (Kosongkan kolom Link Prompt jika ada)."
),
"")</f>
        <v/>
      </c>
      <c r="L408" s="199" t="n"/>
      <c r="M408" s="199" t="n"/>
      <c r="N408" s="102" t="n"/>
      <c r="O408" s="102" t="n"/>
      <c r="P408" s="102" t="n"/>
      <c r="Q408" s="102" t="n"/>
      <c r="R408" s="102" t="n"/>
      <c r="S408" s="102" t="n"/>
      <c r="T408" s="102" t="n"/>
      <c r="U408" s="102" t="n"/>
      <c r="V408" s="102" t="n"/>
      <c r="W408" s="102" t="n"/>
      <c r="X408" s="102" t="n"/>
      <c r="Y408" s="102" t="n"/>
      <c r="Z408" s="102" t="n"/>
      <c r="AA408" s="102" t="n"/>
      <c r="AB408" s="102" t="n"/>
      <c r="AC408" s="102" t="n"/>
      <c r="AD408" s="102" t="n"/>
    </row>
    <row r="409" ht="15.75" customHeight="1" s="205">
      <c r="A409" s="102" t="n"/>
      <c r="B409" s="142" t="n"/>
      <c r="C409" s="143" t="n"/>
      <c r="D409" s="143" t="n"/>
      <c r="E409" s="143" t="n"/>
      <c r="F409" s="143" t="n"/>
      <c r="G409" s="144" t="n"/>
      <c r="H409" s="145">
        <f>IF(K409&lt;&gt;"", HYPERLINK("https://chatgpt.com/?prompt=" &amp; SUBSTITUTE(SUBSTITUTE(K409, " ", "+"), "&amp;", "dan") &amp; "&amp;force-refresh=true&amp;timestamp=" &amp; TEXT(NOW(), "yyyymmddhhmmss"), "👉 Klik untuk Generate Script! 🔥"), "")</f>
        <v/>
      </c>
      <c r="I409" s="143" t="n"/>
      <c r="J409" s="146" t="n"/>
      <c r="K409" s="130">
        <f>IF(AND(B409&lt;&gt;"", C409&lt;&gt;"", D409&lt;&gt;"", E409&lt;&gt;"", F409&lt;&gt;"", G409&lt;&gt;"", J409&lt;&gt;"", 'CONTENT PILLAR MAPPING'!C312&lt;&gt;"", 'CONTENT PILLAR MAPPING'!E312&lt;&gt;"", 'CONTENT PILLAR MAPPING'!F312&lt;&gt;"", 'CONTENT PILLAR MAPPING'!C315&lt;&gt;"", 'CONTENT PILLAR MAPPING'!C320&lt;&gt;"", 'CONTENT PILLAR MAPPING'!D320&lt;&gt;"", 'CONTENT PILLAR MAPPING'!E320&lt;&gt;"", 'CONTENT PILLAR MAPPING'!D328&lt;&gt;"", 'CONTENT PILLAR MAPPING'!D329&lt;&gt;""),
CONCATENATE(
"Sebagai seorang top konten kreator dengan niche utama '", 'CONTENT PILLAR MAPPING'!C312, "', spesifik kategori '", 'CONTENT PILLAR MAPPING'!E312, "', dan super spesifik '", 'CONTENT PILLAR MAPPING'!F312, "', yang dikenal sebagai '", 'CONTENT PILLAR MAPPING'!C315, "'.", CHAR(10),
"Saya memiliki Tone of Voice: '", 'CONTENT PILLAR MAPPING'!C320, "', Brand Archetype: '", 'CONTENT PILLAR MAPPING'!D320, "', dan Deskripsi Gaya Komunikasi: '", 'CONTENT PILLAR MAPPING'!E320, "'.", CHAR(10),
"Target audiens saya adalah: '", 'CONTENT PILLAR MAPPING'!D328, "', dengan segmentasi audiens: '", 'CONTENT PILLAR MAPPING'!D329, "'.", CHAR(10), CHAR(10),
"Mohon buatkan script konten yang **sangat powerful, menarik, inovatif, dan siap pakai** dengan judul ide '", B409, "'.", CHAR(10),
"Konten ini memiliki pilar '", C409, "', nilai tambah utama '", F409, "', dan akan menggunakan storytelling framework '", G409, "'.", CHAR(10),
"Gambaran singkat ide kontennya adalah: '", J409, "'.", CHAR(10),
"Konten ini akan diunggah di platform '", E409, "' dengan format '", D409,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MAPPING'!C315, "'.** Sesuaikan dengan gaya komunikasi saya, dengan fokus pada nilai tambah '", F409,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MAPPING'!D328, ", khusus ", 'CONTENT PILLAR MAPPING'!D329, ") dan membantu mereka menyelesaikan masalah atau mencapai tujuan mereka.", CHAR(10),
"✔ Membantuku membangun personal branding yang kuat dan sustainable, sesuai dengan Positioning saya sebagai '", 'CONTENT PILLAR MAPPING'!C315, "' dan Brand Archetype '", 'CONTENT PILLAR MAPPING'!D320, "'.", CHAR(10),
"✔ Kemas dalam bentuk tabel agar rapi, mudah di baca dan dipahami, dengan kolom 'Judul Konten', 'Pilar', 'Format', 'Draft Script', 'CTA', 'Saran Visual', dan 'Full Caption'. (Kosongkan kolom Link Prompt jika ada)."
),
"")</f>
        <v/>
      </c>
      <c r="L409" s="91" t="n"/>
      <c r="M409" s="91" t="n"/>
      <c r="N409" s="102" t="n"/>
      <c r="O409" s="102" t="n"/>
      <c r="P409" s="102" t="n"/>
      <c r="Q409" s="102" t="n"/>
      <c r="R409" s="102" t="n"/>
      <c r="S409" s="102" t="n"/>
      <c r="T409" s="102" t="n"/>
      <c r="U409" s="102" t="n"/>
      <c r="V409" s="102" t="n"/>
      <c r="W409" s="102" t="n"/>
      <c r="X409" s="102" t="n"/>
      <c r="Y409" s="102" t="n"/>
      <c r="Z409" s="102" t="n"/>
      <c r="AA409" s="102" t="n"/>
      <c r="AB409" s="102" t="n"/>
      <c r="AC409" s="102" t="n"/>
      <c r="AD409" s="102" t="n"/>
    </row>
    <row r="410" ht="15.75" customHeight="1" s="205">
      <c r="A410" s="102" t="n"/>
      <c r="B410" s="147" t="n"/>
      <c r="C410" s="144" t="n"/>
      <c r="D410" s="144" t="n"/>
      <c r="E410" s="144" t="n"/>
      <c r="F410" s="144" t="n"/>
      <c r="G410" s="144" t="n"/>
      <c r="H410" s="141">
        <f>IF(K410&lt;&gt;"", HYPERLINK("https://chatgpt.com/?prompt=" &amp; SUBSTITUTE(SUBSTITUTE(K410, " ", "+"), "&amp;", "dan") &amp; "&amp;force-refresh=true&amp;timestamp=" &amp; TEXT(NOW(), "yyyymmddhhmmss"), "👉 Klik untuk Generate Script! 🔥"), "")</f>
        <v/>
      </c>
      <c r="I410" s="144" t="n"/>
      <c r="J410" s="148" t="n"/>
      <c r="K410" s="140">
        <f>IF(AND(B410&lt;&gt;"", C410&lt;&gt;"", D410&lt;&gt;"", E410&lt;&gt;"", F410&lt;&gt;"", G410&lt;&gt;"", J410&lt;&gt;"", 'CONTENT PILLAR MAPPING'!C312&lt;&gt;"", 'CONTENT PILLAR MAPPING'!E312&lt;&gt;"", 'CONTENT PILLAR MAPPING'!F312&lt;&gt;"", 'CONTENT PILLAR MAPPING'!C315&lt;&gt;"", 'CONTENT PILLAR MAPPING'!C320&lt;&gt;"", 'CONTENT PILLAR MAPPING'!D320&lt;&gt;"", 'CONTENT PILLAR MAPPING'!E320&lt;&gt;"", 'CONTENT PILLAR MAPPING'!D328&lt;&gt;"", 'CONTENT PILLAR MAPPING'!D329&lt;&gt;""),
CONCATENATE(
"Sebagai seorang top konten kreator dengan niche utama '", 'CONTENT PILLAR MAPPING'!C312, "', spesifik kategori '", 'CONTENT PILLAR MAPPING'!E312, "', dan super spesifik '", 'CONTENT PILLAR MAPPING'!F312, "', yang dikenal sebagai '", 'CONTENT PILLAR MAPPING'!C315, "'.", CHAR(10),
"Saya memiliki Tone of Voice: '", 'CONTENT PILLAR MAPPING'!C320, "', Brand Archetype: '", 'CONTENT PILLAR MAPPING'!D320, "', dan Deskripsi Gaya Komunikasi: '", 'CONTENT PILLAR MAPPING'!E320, "'.", CHAR(10),
"Target audiens saya adalah: '", 'CONTENT PILLAR MAPPING'!D328, "', dengan segmentasi audiens: '", 'CONTENT PILLAR MAPPING'!D329, "'.", CHAR(10), CHAR(10),
"Mohon buatkan script konten yang **sangat powerful, menarik, inovatif, dan siap pakai** dengan judul ide '", B410, "'.", CHAR(10),
"Konten ini memiliki pilar '", C410, "', nilai tambah utama '", F410, "', dan akan menggunakan storytelling framework '", G410, "'.", CHAR(10),
"Gambaran singkat ide kontennya adalah: '", J410, "'.", CHAR(10),
"Konten ini akan diunggah di platform '", E410, "' dengan format '", D410,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MAPPING'!C315, "'.** Sesuaikan dengan gaya komunikasi saya, dengan fokus pada nilai tambah '", F410,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MAPPING'!D328, ", khusus ", 'CONTENT PILLAR MAPPING'!D329, ") dan membantu mereka menyelesaikan masalah atau mencapai tujuan mereka.", CHAR(10),
"✔ Membantuku membangun personal branding yang kuat dan sustainable, sesuai dengan Positioning saya sebagai '", 'CONTENT PILLAR MAPPING'!C315, "' dan Brand Archetype '", 'CONTENT PILLAR MAPPING'!D320, "'.", CHAR(10),
"✔ Kemas dalam bentuk tabel agar rapi, mudah di baca dan dipahami, dengan kolom 'Judul Konten', 'Pilar', 'Format', 'Draft Script', 'CTA', 'Saran Visual', dan 'Full Caption'. (Kosongkan kolom Link Prompt jika ada)."
),
"")</f>
        <v/>
      </c>
      <c r="L410" s="199" t="n"/>
      <c r="M410" s="199" t="n"/>
      <c r="N410" s="102" t="n"/>
      <c r="O410" s="102" t="n"/>
      <c r="P410" s="102" t="n"/>
      <c r="Q410" s="102" t="n"/>
      <c r="R410" s="102" t="n"/>
      <c r="S410" s="102" t="n"/>
      <c r="T410" s="102" t="n"/>
      <c r="U410" s="102" t="n"/>
      <c r="V410" s="102" t="n"/>
      <c r="W410" s="102" t="n"/>
      <c r="X410" s="102" t="n"/>
      <c r="Y410" s="102" t="n"/>
      <c r="Z410" s="102" t="n"/>
      <c r="AA410" s="102" t="n"/>
      <c r="AB410" s="102" t="n"/>
      <c r="AC410" s="102" t="n"/>
      <c r="AD410" s="102" t="n"/>
    </row>
    <row r="411" ht="15.75" customHeight="1" s="205">
      <c r="A411" s="102" t="n"/>
      <c r="B411" s="142" t="n"/>
      <c r="C411" s="143" t="n"/>
      <c r="D411" s="143" t="n"/>
      <c r="E411" s="143" t="n"/>
      <c r="F411" s="143" t="n"/>
      <c r="G411" s="144" t="n"/>
      <c r="H411" s="145">
        <f>IF(K411&lt;&gt;"", HYPERLINK("https://chatgpt.com/?prompt=" &amp; SUBSTITUTE(SUBSTITUTE(K411, " ", "+"), "&amp;", "dan") &amp; "&amp;force-refresh=true&amp;timestamp=" &amp; TEXT(NOW(), "yyyymmddhhmmss"), "👉 Klik untuk Generate Script! 🔥"), "")</f>
        <v/>
      </c>
      <c r="I411" s="143" t="n"/>
      <c r="J411" s="146" t="n"/>
      <c r="K411" s="130">
        <f>IF(AND(B411&lt;&gt;"", C411&lt;&gt;"", D411&lt;&gt;"", E411&lt;&gt;"", F411&lt;&gt;"", G411&lt;&gt;"", J411&lt;&gt;"", 'CONTENT PILLAR MAPPING'!C314&lt;&gt;"", 'CONTENT PILLAR MAPPING'!E314&lt;&gt;"", 'CONTENT PILLAR MAPPING'!F314&lt;&gt;"", 'CONTENT PILLAR MAPPING'!C317&lt;&gt;"", 'CONTENT PILLAR MAPPING'!C322&lt;&gt;"", 'CONTENT PILLAR MAPPING'!D322&lt;&gt;"", 'CONTENT PILLAR MAPPING'!E322&lt;&gt;"", 'CONTENT PILLAR MAPPING'!D330&lt;&gt;"", 'CONTENT PILLAR MAPPING'!D331&lt;&gt;""),
CONCATENATE(
"Sebagai seorang top konten kreator dengan niche utama '", 'CONTENT PILLAR MAPPING'!C314, "', spesifik kategori '", 'CONTENT PILLAR MAPPING'!E314, "', dan super spesifik '", 'CONTENT PILLAR MAPPING'!F314, "', yang dikenal sebagai '", 'CONTENT PILLAR MAPPING'!C317, "'.", CHAR(10),
"Saya memiliki Tone of Voice: '", 'CONTENT PILLAR MAPPING'!C322, "', Brand Archetype: '", 'CONTENT PILLAR MAPPING'!D322, "', dan Deskripsi Gaya Komunikasi: '", 'CONTENT PILLAR MAPPING'!E322, "'.", CHAR(10),
"Target audiens saya adalah: '", 'CONTENT PILLAR MAPPING'!D330, "', dengan segmentasi audiens: '", 'CONTENT PILLAR MAPPING'!D331, "'.", CHAR(10), CHAR(10),
"Mohon buatkan script konten yang **sangat powerful, menarik, inovatif, dan siap pakai** dengan judul ide '", B411, "'.", CHAR(10),
"Konten ini memiliki pilar '", C411, "', nilai tambah utama '", F411, "', dan akan menggunakan storytelling framework '", G411, "'.", CHAR(10),
"Gambaran singkat ide kontennya adalah: '", J411, "'.", CHAR(10),
"Konten ini akan diunggah di platform '", E411, "' dengan format '", D411,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MAPPING'!C317, "'.** Sesuaikan dengan gaya komunikasi saya, dengan fokus pada nilai tambah '", F411,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MAPPING'!D330, ", khusus ", 'CONTENT PILLAR MAPPING'!D331, ") dan membantu mereka menyelesaikan masalah atau mencapai tujuan mereka.", CHAR(10),
"✔ Membantuku membangun personal branding yang kuat dan sustainable, sesuai dengan Positioning saya sebagai '", 'CONTENT PILLAR MAPPING'!C317, "' dan Brand Archetype '", 'CONTENT PILLAR MAPPING'!D322, "'.", CHAR(10),
"✔ Kemas dalam bentuk tabel agar rapi, mudah di baca dan dipahami, dengan kolom 'Judul Konten', 'Pilar', 'Format', 'Draft Script', 'CTA', 'Saran Visual', dan 'Full Caption'. (Kosongkan kolom Link Prompt jika ada)."
),
"")</f>
        <v/>
      </c>
      <c r="L411" s="91" t="n"/>
      <c r="M411" s="91" t="n"/>
      <c r="N411" s="102" t="n"/>
      <c r="O411" s="102" t="n"/>
      <c r="P411" s="102" t="n"/>
      <c r="Q411" s="102" t="n"/>
      <c r="R411" s="102" t="n"/>
      <c r="S411" s="102" t="n"/>
      <c r="T411" s="102" t="n"/>
      <c r="U411" s="102" t="n"/>
      <c r="V411" s="102" t="n"/>
      <c r="W411" s="102" t="n"/>
      <c r="X411" s="102" t="n"/>
      <c r="Y411" s="102" t="n"/>
      <c r="Z411" s="102" t="n"/>
      <c r="AA411" s="102" t="n"/>
      <c r="AB411" s="102" t="n"/>
      <c r="AC411" s="102" t="n"/>
      <c r="AD411" s="102" t="n"/>
    </row>
    <row r="412" ht="15.75" customHeight="1" s="205">
      <c r="A412" s="102" t="n"/>
      <c r="B412" s="147" t="n"/>
      <c r="C412" s="144" t="n"/>
      <c r="D412" s="144" t="n"/>
      <c r="E412" s="144" t="n"/>
      <c r="F412" s="144" t="n"/>
      <c r="G412" s="144" t="n"/>
      <c r="H412" s="141">
        <f>IF(K412&lt;&gt;"", HYPERLINK("https://chatgpt.com/?prompt=" &amp; SUBSTITUTE(SUBSTITUTE(K412, " ", "+"), "&amp;", "dan") &amp; "&amp;force-refresh=true&amp;timestamp=" &amp; TEXT(NOW(), "yyyymmddhhmmss"), "👉 Klik untuk Generate Script! 🔥"), "")</f>
        <v/>
      </c>
      <c r="I412" s="144" t="n"/>
      <c r="J412" s="148" t="n"/>
      <c r="K412" s="140">
        <f>IF(AND(B412&lt;&gt;"", C412&lt;&gt;"", D412&lt;&gt;"", E412&lt;&gt;"", F412&lt;&gt;"", G412&lt;&gt;"", J412&lt;&gt;"", 'CONTENT PILLAR MAPPING'!C314&lt;&gt;"", 'CONTENT PILLAR MAPPING'!E314&lt;&gt;"", 'CONTENT PILLAR MAPPING'!F314&lt;&gt;"", 'CONTENT PILLAR MAPPING'!C317&lt;&gt;"", 'CONTENT PILLAR MAPPING'!C322&lt;&gt;"", 'CONTENT PILLAR MAPPING'!D322&lt;&gt;"", 'CONTENT PILLAR MAPPING'!E322&lt;&gt;"", 'CONTENT PILLAR MAPPING'!D330&lt;&gt;"", 'CONTENT PILLAR MAPPING'!D331&lt;&gt;""),
CONCATENATE(
"Sebagai seorang top konten kreator dengan niche utama '", 'CONTENT PILLAR MAPPING'!C314, "', spesifik kategori '", 'CONTENT PILLAR MAPPING'!E314, "', dan super spesifik '", 'CONTENT PILLAR MAPPING'!F314, "', yang dikenal sebagai '", 'CONTENT PILLAR MAPPING'!C317, "'.", CHAR(10),
"Saya memiliki Tone of Voice: '", 'CONTENT PILLAR MAPPING'!C322, "', Brand Archetype: '", 'CONTENT PILLAR MAPPING'!D322, "', dan Deskripsi Gaya Komunikasi: '", 'CONTENT PILLAR MAPPING'!E322, "'.", CHAR(10),
"Target audiens saya adalah: '", 'CONTENT PILLAR MAPPING'!D330, "', dengan segmentasi audiens: '", 'CONTENT PILLAR MAPPING'!D331, "'.", CHAR(10), CHAR(10),
"Mohon buatkan script konten yang **sangat powerful, menarik, inovatif, dan siap pakai** dengan judul ide '", B412, "'.", CHAR(10),
"Konten ini memiliki pilar '", C412, "', nilai tambah utama '", F412, "', dan akan menggunakan storytelling framework '", G412, "'.", CHAR(10),
"Gambaran singkat ide kontennya adalah: '", J412, "'.", CHAR(10),
"Konten ini akan diunggah di platform '", E412, "' dengan format '", D412,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MAPPING'!C317, "'.** Sesuaikan dengan gaya komunikasi saya, dengan fokus pada nilai tambah '", F412,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MAPPING'!D330, ", khusus ", 'CONTENT PILLAR MAPPING'!D331, ") dan membantu mereka menyelesaikan masalah atau mencapai tujuan mereka.", CHAR(10),
"✔ Membantuku membangun personal branding yang kuat dan sustainable, sesuai dengan Positioning saya sebagai '", 'CONTENT PILLAR MAPPING'!C317, "' dan Brand Archetype '", 'CONTENT PILLAR MAPPING'!D322, "'.", CHAR(10),
"✔ Kemas dalam bentuk tabel agar rapi, mudah di baca dan dipahami, dengan kolom 'Judul Konten', 'Pilar', 'Format', 'Draft Script', 'CTA', 'Saran Visual', dan 'Full Caption'. (Kosongkan kolom Link Prompt jika ada)."
),
"")</f>
        <v/>
      </c>
      <c r="L412" s="199" t="n"/>
      <c r="M412" s="199" t="n"/>
      <c r="N412" s="102" t="n"/>
      <c r="O412" s="102" t="n"/>
      <c r="P412" s="102" t="n"/>
      <c r="Q412" s="102" t="n"/>
      <c r="R412" s="102" t="n"/>
      <c r="S412" s="102" t="n"/>
      <c r="T412" s="102" t="n"/>
      <c r="U412" s="102" t="n"/>
      <c r="V412" s="102" t="n"/>
      <c r="W412" s="102" t="n"/>
      <c r="X412" s="102" t="n"/>
      <c r="Y412" s="102" t="n"/>
      <c r="Z412" s="102" t="n"/>
      <c r="AA412" s="102" t="n"/>
      <c r="AB412" s="102" t="n"/>
      <c r="AC412" s="102" t="n"/>
      <c r="AD412" s="102" t="n"/>
    </row>
    <row r="413" ht="15.75" customHeight="1" s="205">
      <c r="A413" s="102" t="n"/>
      <c r="B413" s="142" t="n"/>
      <c r="C413" s="143" t="n"/>
      <c r="D413" s="143" t="n"/>
      <c r="E413" s="143" t="n"/>
      <c r="F413" s="143" t="n"/>
      <c r="G413" s="144" t="n"/>
      <c r="H413" s="145">
        <f>IF(K413&lt;&gt;"", HYPERLINK("https://chatgpt.com/?prompt=" &amp; SUBSTITUTE(SUBSTITUTE(K413, " ", "+"), "&amp;", "dan") &amp; "&amp;force-refresh=true&amp;timestamp=" &amp; TEXT(NOW(), "yyyymmddhhmmss"), "👉 Klik untuk Generate Script! 🔥"), "")</f>
        <v/>
      </c>
      <c r="I413" s="143" t="n"/>
      <c r="J413" s="146" t="n"/>
      <c r="K413" s="130">
        <f>IF(AND(B413&lt;&gt;"", C413&lt;&gt;"", D413&lt;&gt;"", E413&lt;&gt;"", F413&lt;&gt;"", G413&lt;&gt;"", J413&lt;&gt;"", 'CONTENT PILLAR MAPPING'!C316&lt;&gt;"", 'CONTENT PILLAR MAPPING'!E316&lt;&gt;"", 'CONTENT PILLAR MAPPING'!F316&lt;&gt;"", 'CONTENT PILLAR MAPPING'!C319&lt;&gt;"", 'CONTENT PILLAR MAPPING'!C324&lt;&gt;"", 'CONTENT PILLAR MAPPING'!D324&lt;&gt;"", 'CONTENT PILLAR MAPPING'!E324&lt;&gt;"", 'CONTENT PILLAR MAPPING'!D332&lt;&gt;"", 'CONTENT PILLAR MAPPING'!D333&lt;&gt;""),
CONCATENATE(
"Sebagai seorang top konten kreator dengan niche utama '", 'CONTENT PILLAR MAPPING'!C316, "', spesifik kategori '", 'CONTENT PILLAR MAPPING'!E316, "', dan super spesifik '", 'CONTENT PILLAR MAPPING'!F316, "', yang dikenal sebagai '", 'CONTENT PILLAR MAPPING'!C319, "'.", CHAR(10),
"Saya memiliki Tone of Voice: '", 'CONTENT PILLAR MAPPING'!C324, "', Brand Archetype: '", 'CONTENT PILLAR MAPPING'!D324, "', dan Deskripsi Gaya Komunikasi: '", 'CONTENT PILLAR MAPPING'!E324, "'.", CHAR(10),
"Target audiens saya adalah: '", 'CONTENT PILLAR MAPPING'!D332, "', dengan segmentasi audiens: '", 'CONTENT PILLAR MAPPING'!D333, "'.", CHAR(10), CHAR(10),
"Mohon buatkan script konten yang **sangat powerful, menarik, inovatif, dan siap pakai** dengan judul ide '", B413, "'.", CHAR(10),
"Konten ini memiliki pilar '", C413, "', nilai tambah utama '", F413, "', dan akan menggunakan storytelling framework '", G413, "'.", CHAR(10),
"Gambaran singkat ide kontennya adalah: '", J413, "'.", CHAR(10),
"Konten ini akan diunggah di platform '", E413, "' dengan format '", D413,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MAPPING'!C319, "'.** Sesuaikan dengan gaya komunikasi saya, dengan fokus pada nilai tambah '", F413,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MAPPING'!D332, ", khusus ", 'CONTENT PILLAR MAPPING'!D333, ") dan membantu mereka menyelesaikan masalah atau mencapai tujuan mereka.", CHAR(10),
"✔ Membantuku membangun personal branding yang kuat dan sustainable, sesuai dengan Positioning saya sebagai '", 'CONTENT PILLAR MAPPING'!C319, "' dan Brand Archetype '", 'CONTENT PILLAR MAPPING'!D324, "'.", CHAR(10),
"✔ Kemas dalam bentuk tabel agar rapi, mudah di baca dan dipahami, dengan kolom 'Judul Konten', 'Pilar', 'Format', 'Draft Script', 'CTA', 'Saran Visual', dan 'Full Caption'. (Kosongkan kolom Link Prompt jika ada)."
),
"")</f>
        <v/>
      </c>
      <c r="L413" s="91" t="n"/>
      <c r="M413" s="91" t="n"/>
      <c r="N413" s="102" t="n"/>
      <c r="O413" s="102" t="n"/>
      <c r="P413" s="102" t="n"/>
      <c r="Q413" s="102" t="n"/>
      <c r="R413" s="102" t="n"/>
      <c r="S413" s="102" t="n"/>
      <c r="T413" s="102" t="n"/>
      <c r="U413" s="102" t="n"/>
      <c r="V413" s="102" t="n"/>
      <c r="W413" s="102" t="n"/>
      <c r="X413" s="102" t="n"/>
      <c r="Y413" s="102" t="n"/>
      <c r="Z413" s="102" t="n"/>
      <c r="AA413" s="102" t="n"/>
      <c r="AB413" s="102" t="n"/>
      <c r="AC413" s="102" t="n"/>
      <c r="AD413" s="102" t="n"/>
    </row>
    <row r="414" ht="15.75" customHeight="1" s="205">
      <c r="A414" s="102" t="n"/>
      <c r="B414" s="147" t="n"/>
      <c r="C414" s="144" t="n"/>
      <c r="D414" s="144" t="n"/>
      <c r="E414" s="144" t="n"/>
      <c r="F414" s="144" t="n"/>
      <c r="G414" s="144" t="n"/>
      <c r="H414" s="141">
        <f>IF(K414&lt;&gt;"", HYPERLINK("https://chatgpt.com/?prompt=" &amp; SUBSTITUTE(SUBSTITUTE(K414, " ", "+"), "&amp;", "dan") &amp; "&amp;force-refresh=true&amp;timestamp=" &amp; TEXT(NOW(), "yyyymmddhhmmss"), "👉 Klik untuk Generate Script! 🔥"), "")</f>
        <v/>
      </c>
      <c r="I414" s="144" t="n"/>
      <c r="J414" s="148" t="n"/>
      <c r="K414" s="140">
        <f>IF(AND(B414&lt;&gt;"", C414&lt;&gt;"", D414&lt;&gt;"", E414&lt;&gt;"", F414&lt;&gt;"", G414&lt;&gt;"", J414&lt;&gt;"", 'CONTENT PILLAR MAPPING'!C316&lt;&gt;"", 'CONTENT PILLAR MAPPING'!E316&lt;&gt;"", 'CONTENT PILLAR MAPPING'!F316&lt;&gt;"", 'CONTENT PILLAR MAPPING'!C319&lt;&gt;"", 'CONTENT PILLAR MAPPING'!C324&lt;&gt;"", 'CONTENT PILLAR MAPPING'!D324&lt;&gt;"", 'CONTENT PILLAR MAPPING'!E324&lt;&gt;"", 'CONTENT PILLAR MAPPING'!D332&lt;&gt;"", 'CONTENT PILLAR MAPPING'!D333&lt;&gt;""),
CONCATENATE(
"Sebagai seorang top konten kreator dengan niche utama '", 'CONTENT PILLAR MAPPING'!C316, "', spesifik kategori '", 'CONTENT PILLAR MAPPING'!E316, "', dan super spesifik '", 'CONTENT PILLAR MAPPING'!F316, "', yang dikenal sebagai '", 'CONTENT PILLAR MAPPING'!C319, "'.", CHAR(10),
"Saya memiliki Tone of Voice: '", 'CONTENT PILLAR MAPPING'!C324, "', Brand Archetype: '", 'CONTENT PILLAR MAPPING'!D324, "', dan Deskripsi Gaya Komunikasi: '", 'CONTENT PILLAR MAPPING'!E324, "'.", CHAR(10),
"Target audiens saya adalah: '", 'CONTENT PILLAR MAPPING'!D332, "', dengan segmentasi audiens: '", 'CONTENT PILLAR MAPPING'!D333, "'.", CHAR(10), CHAR(10),
"Mohon buatkan script konten yang **sangat powerful, menarik, inovatif, dan siap pakai** dengan judul ide '", B414, "'.", CHAR(10),
"Konten ini memiliki pilar '", C414, "', nilai tambah utama '", F414, "', dan akan menggunakan storytelling framework '", G414, "'.", CHAR(10),
"Gambaran singkat ide kontennya adalah: '", J414, "'.", CHAR(10),
"Konten ini akan diunggah di platform '", E414, "' dengan format '", D414,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MAPPING'!C319, "'.** Sesuaikan dengan gaya komunikasi saya, dengan fokus pada nilai tambah '", F414,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MAPPING'!D332, ", khusus ", 'CONTENT PILLAR MAPPING'!D333, ") dan membantu mereka menyelesaikan masalah atau mencapai tujuan mereka.", CHAR(10),
"✔ Membantuku membangun personal branding yang kuat dan sustainable, sesuai dengan Positioning saya sebagai '", 'CONTENT PILLAR MAPPING'!C319, "' dan Brand Archetype '", 'CONTENT PILLAR MAPPING'!D324, "'.", CHAR(10),
"✔ Kemas dalam bentuk tabel agar rapi, mudah di baca dan dipahami, dengan kolom 'Judul Konten', 'Pilar', 'Format', 'Draft Script', 'CTA', 'Saran Visual', dan 'Full Caption'. (Kosongkan kolom Link Prompt jika ada)."
),
"")</f>
        <v/>
      </c>
      <c r="L414" s="199" t="n"/>
      <c r="M414" s="199" t="n"/>
      <c r="N414" s="102" t="n"/>
      <c r="O414" s="102" t="n"/>
      <c r="P414" s="102" t="n"/>
      <c r="Q414" s="102" t="n"/>
      <c r="R414" s="102" t="n"/>
      <c r="S414" s="102" t="n"/>
      <c r="T414" s="102" t="n"/>
      <c r="U414" s="102" t="n"/>
      <c r="V414" s="102" t="n"/>
      <c r="W414" s="102" t="n"/>
      <c r="X414" s="102" t="n"/>
      <c r="Y414" s="102" t="n"/>
      <c r="Z414" s="102" t="n"/>
      <c r="AA414" s="102" t="n"/>
      <c r="AB414" s="102" t="n"/>
      <c r="AC414" s="102" t="n"/>
      <c r="AD414" s="102" t="n"/>
    </row>
    <row r="415" ht="15.75" customHeight="1" s="205">
      <c r="A415" s="102" t="n"/>
      <c r="B415" s="142" t="n"/>
      <c r="C415" s="143" t="n"/>
      <c r="D415" s="143" t="n"/>
      <c r="E415" s="143" t="n"/>
      <c r="F415" s="143" t="n"/>
      <c r="G415" s="144" t="n"/>
      <c r="H415" s="145">
        <f>IF(K415&lt;&gt;"", HYPERLINK("https://chatgpt.com/?prompt=" &amp; SUBSTITUTE(SUBSTITUTE(K415, " ", "+"), "&amp;", "dan") &amp; "&amp;force-refresh=true&amp;timestamp=" &amp; TEXT(NOW(), "yyyymmddhhmmss"), "👉 Klik untuk Generate Script! 🔥"), "")</f>
        <v/>
      </c>
      <c r="I415" s="143" t="n"/>
      <c r="J415" s="146" t="n"/>
      <c r="K415" s="130">
        <f>IF(AND(B415&lt;&gt;"", C415&lt;&gt;"", D415&lt;&gt;"", E415&lt;&gt;"", F415&lt;&gt;"", G415&lt;&gt;"", J415&lt;&gt;"", 'CONTENT PILLAR MAPPING'!C318&lt;&gt;"", 'CONTENT PILLAR MAPPING'!E318&lt;&gt;"", 'CONTENT PILLAR MAPPING'!F318&lt;&gt;"", 'CONTENT PILLAR MAPPING'!C321&lt;&gt;"", 'CONTENT PILLAR MAPPING'!C326&lt;&gt;"", 'CONTENT PILLAR MAPPING'!D326&lt;&gt;"", 'CONTENT PILLAR MAPPING'!E326&lt;&gt;"", 'CONTENT PILLAR MAPPING'!D334&lt;&gt;"", 'CONTENT PILLAR MAPPING'!D335&lt;&gt;""),
CONCATENATE(
"Sebagai seorang top konten kreator dengan niche utama '", 'CONTENT PILLAR MAPPING'!C318, "', spesifik kategori '", 'CONTENT PILLAR MAPPING'!E318, "', dan super spesifik '", 'CONTENT PILLAR MAPPING'!F318, "', yang dikenal sebagai '", 'CONTENT PILLAR MAPPING'!C321, "'.", CHAR(10),
"Saya memiliki Tone of Voice: '", 'CONTENT PILLAR MAPPING'!C326, "', Brand Archetype: '", 'CONTENT PILLAR MAPPING'!D326, "', dan Deskripsi Gaya Komunikasi: '", 'CONTENT PILLAR MAPPING'!E326, "'.", CHAR(10),
"Target audiens saya adalah: '", 'CONTENT PILLAR MAPPING'!D334, "', dengan segmentasi audiens: '", 'CONTENT PILLAR MAPPING'!D335, "'.", CHAR(10), CHAR(10),
"Mohon buatkan script konten yang **sangat powerful, menarik, inovatif, dan siap pakai** dengan judul ide '", B415, "'.", CHAR(10),
"Konten ini memiliki pilar '", C415, "', nilai tambah utama '", F415, "', dan akan menggunakan storytelling framework '", G415, "'.", CHAR(10),
"Gambaran singkat ide kontennya adalah: '", J415, "'.", CHAR(10),
"Konten ini akan diunggah di platform '", E415, "' dengan format '", D415,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MAPPING'!C321, "'.** Sesuaikan dengan gaya komunikasi saya, dengan fokus pada nilai tambah '", F415,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MAPPING'!D334, ", khusus ", 'CONTENT PILLAR MAPPING'!D335, ") dan membantu mereka menyelesaikan masalah atau mencapai tujuan mereka.", CHAR(10),
"✔ Membantuku membangun personal branding yang kuat dan sustainable, sesuai dengan Positioning saya sebagai '", 'CONTENT PILLAR MAPPING'!C321, "' dan Brand Archetype '", 'CONTENT PILLAR MAPPING'!D326, "'.", CHAR(10),
"✔ Kemas dalam bentuk tabel agar rapi, mudah di baca dan dipahami, dengan kolom 'Judul Konten', 'Pilar', 'Format', 'Draft Script', 'CTA', 'Saran Visual', dan 'Full Caption'. (Kosongkan kolom Link Prompt jika ada)."
),
"")</f>
        <v/>
      </c>
      <c r="L415" s="91" t="n"/>
      <c r="M415" s="91" t="n"/>
      <c r="N415" s="102" t="n"/>
      <c r="O415" s="102" t="n"/>
      <c r="P415" s="102" t="n"/>
      <c r="Q415" s="102" t="n"/>
      <c r="R415" s="102" t="n"/>
      <c r="S415" s="102" t="n"/>
      <c r="T415" s="102" t="n"/>
      <c r="U415" s="102" t="n"/>
      <c r="V415" s="102" t="n"/>
      <c r="W415" s="102" t="n"/>
      <c r="X415" s="102" t="n"/>
      <c r="Y415" s="102" t="n"/>
      <c r="Z415" s="102" t="n"/>
      <c r="AA415" s="102" t="n"/>
      <c r="AB415" s="102" t="n"/>
      <c r="AC415" s="102" t="n"/>
      <c r="AD415" s="102" t="n"/>
    </row>
    <row r="416" ht="15.75" customHeight="1" s="205">
      <c r="A416" s="102" t="n"/>
      <c r="B416" s="147" t="n"/>
      <c r="C416" s="144" t="n"/>
      <c r="D416" s="144" t="n"/>
      <c r="E416" s="144" t="n"/>
      <c r="F416" s="144" t="n"/>
      <c r="G416" s="144" t="n"/>
      <c r="H416" s="141">
        <f>IF(K416&lt;&gt;"", HYPERLINK("https://chatgpt.com/?prompt=" &amp; SUBSTITUTE(SUBSTITUTE(K416, " ", "+"), "&amp;", "dan") &amp; "&amp;force-refresh=true&amp;timestamp=" &amp; TEXT(NOW(), "yyyymmddhhmmss"), "👉 Klik untuk Generate Script! 🔥"), "")</f>
        <v/>
      </c>
      <c r="I416" s="144" t="n"/>
      <c r="J416" s="148" t="n"/>
      <c r="K416" s="140">
        <f>IF(AND(B416&lt;&gt;"", C416&lt;&gt;"", D416&lt;&gt;"", E416&lt;&gt;"", F416&lt;&gt;"", G416&lt;&gt;"", J416&lt;&gt;"", 'CONTENT PILLAR MAPPING'!C318&lt;&gt;"", 'CONTENT PILLAR MAPPING'!E318&lt;&gt;"", 'CONTENT PILLAR MAPPING'!F318&lt;&gt;"", 'CONTENT PILLAR MAPPING'!C321&lt;&gt;"", 'CONTENT PILLAR MAPPING'!C326&lt;&gt;"", 'CONTENT PILLAR MAPPING'!D326&lt;&gt;"", 'CONTENT PILLAR MAPPING'!E326&lt;&gt;"", 'CONTENT PILLAR MAPPING'!D334&lt;&gt;"", 'CONTENT PILLAR MAPPING'!D335&lt;&gt;""),
CONCATENATE(
"Sebagai seorang top konten kreator dengan niche utama '", 'CONTENT PILLAR MAPPING'!C318, "', spesifik kategori '", 'CONTENT PILLAR MAPPING'!E318, "', dan super spesifik '", 'CONTENT PILLAR MAPPING'!F318, "', yang dikenal sebagai '", 'CONTENT PILLAR MAPPING'!C321, "'.", CHAR(10),
"Saya memiliki Tone of Voice: '", 'CONTENT PILLAR MAPPING'!C326, "', Brand Archetype: '", 'CONTENT PILLAR MAPPING'!D326, "', dan Deskripsi Gaya Komunikasi: '", 'CONTENT PILLAR MAPPING'!E326, "'.", CHAR(10),
"Target audiens saya adalah: '", 'CONTENT PILLAR MAPPING'!D334, "', dengan segmentasi audiens: '", 'CONTENT PILLAR MAPPING'!D335, "'.", CHAR(10), CHAR(10),
"Mohon buatkan script konten yang **sangat powerful, menarik, inovatif, dan siap pakai** dengan judul ide '", B416, "'.", CHAR(10),
"Konten ini memiliki pilar '", C416, "', nilai tambah utama '", F416, "', dan akan menggunakan storytelling framework '", G416, "'.", CHAR(10),
"Gambaran singkat ide kontennya adalah: '", J416, "'.", CHAR(10),
"Konten ini akan diunggah di platform '", E416, "' dengan format '", D416,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MAPPING'!C321, "'.** Sesuaikan dengan gaya komunikasi saya, dengan fokus pada nilai tambah '", F416,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MAPPING'!D334, ", khusus ", 'CONTENT PILLAR MAPPING'!D335, ") dan membantu mereka menyelesaikan masalah atau mencapai tujuan mereka.", CHAR(10),
"✔ Membantuku membangun personal branding yang kuat dan sustainable, sesuai dengan Positioning saya sebagai '", 'CONTENT PILLAR MAPPING'!C321, "' dan Brand Archetype '", 'CONTENT PILLAR MAPPING'!D326, "'.", CHAR(10),
"✔ Kemas dalam bentuk tabel agar rapi, mudah di baca dan dipahami, dengan kolom 'Judul Konten', 'Pilar', 'Format', 'Draft Script', 'CTA', 'Saran Visual', dan 'Full Caption'. (Kosongkan kolom Link Prompt jika ada)."
),
"")</f>
        <v/>
      </c>
      <c r="L416" s="199" t="n"/>
      <c r="M416" s="199" t="n"/>
      <c r="N416" s="102" t="n"/>
      <c r="O416" s="102" t="n"/>
      <c r="P416" s="102" t="n"/>
      <c r="Q416" s="102" t="n"/>
      <c r="R416" s="102" t="n"/>
      <c r="S416" s="102" t="n"/>
      <c r="T416" s="102" t="n"/>
      <c r="U416" s="102" t="n"/>
      <c r="V416" s="102" t="n"/>
      <c r="W416" s="102" t="n"/>
      <c r="X416" s="102" t="n"/>
      <c r="Y416" s="102" t="n"/>
      <c r="Z416" s="102" t="n"/>
      <c r="AA416" s="102" t="n"/>
      <c r="AB416" s="102" t="n"/>
      <c r="AC416" s="102" t="n"/>
      <c r="AD416" s="102" t="n"/>
    </row>
    <row r="417" ht="15.75" customHeight="1" s="205">
      <c r="A417" s="102" t="n"/>
      <c r="B417" s="142" t="n"/>
      <c r="C417" s="143" t="n"/>
      <c r="D417" s="143" t="n"/>
      <c r="E417" s="143" t="n"/>
      <c r="F417" s="143" t="n"/>
      <c r="G417" s="144" t="n"/>
      <c r="H417" s="145">
        <f>IF(K417&lt;&gt;"", HYPERLINK("https://chatgpt.com/?prompt=" &amp; SUBSTITUTE(SUBSTITUTE(K417, " ", "+"), "&amp;", "dan") &amp; "&amp;force-refresh=true&amp;timestamp=" &amp; TEXT(NOW(), "yyyymmddhhmmss"), "👉 Klik untuk Generate Script! 🔥"), "")</f>
        <v/>
      </c>
      <c r="I417" s="143" t="n"/>
      <c r="J417" s="146" t="n"/>
      <c r="K417" s="130">
        <f>IF(AND(B417&lt;&gt;"", C417&lt;&gt;"", D417&lt;&gt;"", E417&lt;&gt;"", F417&lt;&gt;"", G417&lt;&gt;"", J417&lt;&gt;"", 'CONTENT PILLAR MAPPING'!C320&lt;&gt;"", 'CONTENT PILLAR MAPPING'!E320&lt;&gt;"", 'CONTENT PILLAR MAPPING'!F320&lt;&gt;"", 'CONTENT PILLAR MAPPING'!C323&lt;&gt;"", 'CONTENT PILLAR MAPPING'!C328&lt;&gt;"", 'CONTENT PILLAR MAPPING'!D328&lt;&gt;"", 'CONTENT PILLAR MAPPING'!E328&lt;&gt;"", 'CONTENT PILLAR MAPPING'!D336&lt;&gt;"", 'CONTENT PILLAR MAPPING'!D337&lt;&gt;""),
CONCATENATE(
"Sebagai seorang top konten kreator dengan niche utama '", 'CONTENT PILLAR MAPPING'!C320, "', spesifik kategori '", 'CONTENT PILLAR MAPPING'!E320, "', dan super spesifik '", 'CONTENT PILLAR MAPPING'!F320, "', yang dikenal sebagai '", 'CONTENT PILLAR MAPPING'!C323, "'.", CHAR(10),
"Saya memiliki Tone of Voice: '", 'CONTENT PILLAR MAPPING'!C328, "', Brand Archetype: '", 'CONTENT PILLAR MAPPING'!D328, "', dan Deskripsi Gaya Komunikasi: '", 'CONTENT PILLAR MAPPING'!E328, "'.", CHAR(10),
"Target audiens saya adalah: '", 'CONTENT PILLAR MAPPING'!D336, "', dengan segmentasi audiens: '", 'CONTENT PILLAR MAPPING'!D337, "'.", CHAR(10), CHAR(10),
"Mohon buatkan script konten yang **sangat powerful, menarik, inovatif, dan siap pakai** dengan judul ide '", B417, "'.", CHAR(10),
"Konten ini memiliki pilar '", C417, "', nilai tambah utama '", F417, "', dan akan menggunakan storytelling framework '", G417, "'.", CHAR(10),
"Gambaran singkat ide kontennya adalah: '", J417, "'.", CHAR(10),
"Konten ini akan diunggah di platform '", E417, "' dengan format '", D417,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MAPPING'!C323, "'.** Sesuaikan dengan gaya komunikasi saya, dengan fokus pada nilai tambah '", F417,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MAPPING'!D336, ", khusus ", 'CONTENT PILLAR MAPPING'!D337, ") dan membantu mereka menyelesaikan masalah atau mencapai tujuan mereka.", CHAR(10),
"✔ Membantuku membangun personal branding yang kuat dan sustainable, sesuai dengan Positioning saya sebagai '", 'CONTENT PILLAR MAPPING'!C323, "' dan Brand Archetype '", 'CONTENT PILLAR MAPPING'!D328, "'.", CHAR(10),
"✔ Kemas dalam bentuk tabel agar rapi, mudah di baca dan dipahami, dengan kolom 'Judul Konten', 'Pilar', 'Format', 'Draft Script', 'CTA', 'Saran Visual', dan 'Full Caption'. (Kosongkan kolom Link Prompt jika ada)."
),
"")</f>
        <v/>
      </c>
      <c r="L417" s="91" t="n"/>
      <c r="M417" s="91" t="n"/>
      <c r="N417" s="102" t="n"/>
      <c r="O417" s="102" t="n"/>
      <c r="P417" s="102" t="n"/>
      <c r="Q417" s="102" t="n"/>
      <c r="R417" s="102" t="n"/>
      <c r="S417" s="102" t="n"/>
      <c r="T417" s="102" t="n"/>
      <c r="U417" s="102" t="n"/>
      <c r="V417" s="102" t="n"/>
      <c r="W417" s="102" t="n"/>
      <c r="X417" s="102" t="n"/>
      <c r="Y417" s="102" t="n"/>
      <c r="Z417" s="102" t="n"/>
      <c r="AA417" s="102" t="n"/>
      <c r="AB417" s="102" t="n"/>
      <c r="AC417" s="102" t="n"/>
      <c r="AD417" s="102" t="n"/>
    </row>
    <row r="418" ht="15.75" customHeight="1" s="205">
      <c r="A418" s="102" t="n"/>
      <c r="B418" s="147" t="n"/>
      <c r="C418" s="144" t="n"/>
      <c r="D418" s="144" t="n"/>
      <c r="E418" s="144" t="n"/>
      <c r="F418" s="144" t="n"/>
      <c r="G418" s="144" t="n"/>
      <c r="H418" s="141">
        <f>IF(K418&lt;&gt;"", HYPERLINK("https://chatgpt.com/?prompt=" &amp; SUBSTITUTE(SUBSTITUTE(K418, " ", "+"), "&amp;", "dan") &amp; "&amp;force-refresh=true&amp;timestamp=" &amp; TEXT(NOW(), "yyyymmddhhmmss"), "👉 Klik untuk Generate Script! 🔥"), "")</f>
        <v/>
      </c>
      <c r="I418" s="144" t="n"/>
      <c r="J418" s="148" t="n"/>
      <c r="K418" s="140">
        <f>IF(AND(B418&lt;&gt;"", C418&lt;&gt;"", D418&lt;&gt;"", E418&lt;&gt;"", F418&lt;&gt;"", G418&lt;&gt;"", J418&lt;&gt;"", 'CONTENT PILLAR MAPPING'!C320&lt;&gt;"", 'CONTENT PILLAR MAPPING'!E320&lt;&gt;"", 'CONTENT PILLAR MAPPING'!F320&lt;&gt;"", 'CONTENT PILLAR MAPPING'!C323&lt;&gt;"", 'CONTENT PILLAR MAPPING'!C328&lt;&gt;"", 'CONTENT PILLAR MAPPING'!D328&lt;&gt;"", 'CONTENT PILLAR MAPPING'!E328&lt;&gt;"", 'CONTENT PILLAR MAPPING'!D336&lt;&gt;"", 'CONTENT PILLAR MAPPING'!D337&lt;&gt;""),
CONCATENATE(
"Sebagai seorang top konten kreator dengan niche utama '", 'CONTENT PILLAR MAPPING'!C320, "', spesifik kategori '", 'CONTENT PILLAR MAPPING'!E320, "', dan super spesifik '", 'CONTENT PILLAR MAPPING'!F320, "', yang dikenal sebagai '", 'CONTENT PILLAR MAPPING'!C323, "'.", CHAR(10),
"Saya memiliki Tone of Voice: '", 'CONTENT PILLAR MAPPING'!C328, "', Brand Archetype: '", 'CONTENT PILLAR MAPPING'!D328, "', dan Deskripsi Gaya Komunikasi: '", 'CONTENT PILLAR MAPPING'!E328, "'.", CHAR(10),
"Target audiens saya adalah: '", 'CONTENT PILLAR MAPPING'!D336, "', dengan segmentasi audiens: '", 'CONTENT PILLAR MAPPING'!D337, "'.", CHAR(10), CHAR(10),
"Mohon buatkan script konten yang **sangat powerful, menarik, inovatif, dan siap pakai** dengan judul ide '", B418, "'.", CHAR(10),
"Konten ini memiliki pilar '", C418, "', nilai tambah utama '", F418, "', dan akan menggunakan storytelling framework '", G418, "'.", CHAR(10),
"Gambaran singkat ide kontennya adalah: '", J418, "'.", CHAR(10),
"Konten ini akan diunggah di platform '", E418, "' dengan format '", D418,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MAPPING'!C323, "'.** Sesuaikan dengan gaya komunikasi saya, dengan fokus pada nilai tambah '", F418,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MAPPING'!D336, ", khusus ", 'CONTENT PILLAR MAPPING'!D337, ") dan membantu mereka menyelesaikan masalah atau mencapai tujuan mereka.", CHAR(10),
"✔ Membantuku membangun personal branding yang kuat dan sustainable, sesuai dengan Positioning saya sebagai '", 'CONTENT PILLAR MAPPING'!C323, "' dan Brand Archetype '", 'CONTENT PILLAR MAPPING'!D328, "'.", CHAR(10),
"✔ Kemas dalam bentuk tabel agar rapi, mudah di baca dan dipahami, dengan kolom 'Judul Konten', 'Pilar', 'Format', 'Draft Script', 'CTA', 'Saran Visual', dan 'Full Caption'. (Kosongkan kolom Link Prompt jika ada)."
),
"")</f>
        <v/>
      </c>
      <c r="L418" s="199" t="n"/>
      <c r="M418" s="199" t="n"/>
      <c r="N418" s="102" t="n"/>
      <c r="O418" s="102" t="n"/>
      <c r="P418" s="102" t="n"/>
      <c r="Q418" s="102" t="n"/>
      <c r="R418" s="102" t="n"/>
      <c r="S418" s="102" t="n"/>
      <c r="T418" s="102" t="n"/>
      <c r="U418" s="102" t="n"/>
      <c r="V418" s="102" t="n"/>
      <c r="W418" s="102" t="n"/>
      <c r="X418" s="102" t="n"/>
      <c r="Y418" s="102" t="n"/>
      <c r="Z418" s="102" t="n"/>
      <c r="AA418" s="102" t="n"/>
      <c r="AB418" s="102" t="n"/>
      <c r="AC418" s="102" t="n"/>
      <c r="AD418" s="102" t="n"/>
    </row>
    <row r="419" ht="15.75" customHeight="1" s="205">
      <c r="A419" s="102" t="n"/>
      <c r="B419" s="142" t="n"/>
      <c r="C419" s="143" t="n"/>
      <c r="D419" s="143" t="n"/>
      <c r="E419" s="143" t="n"/>
      <c r="F419" s="143" t="n"/>
      <c r="G419" s="144" t="n"/>
      <c r="H419" s="145">
        <f>IF(K419&lt;&gt;"", HYPERLINK("https://chatgpt.com/?prompt=" &amp; SUBSTITUTE(SUBSTITUTE(K419, " ", "+"), "&amp;", "dan") &amp; "&amp;force-refresh=true&amp;timestamp=" &amp; TEXT(NOW(), "yyyymmddhhmmss"), "👉 Klik untuk Generate Script! 🔥"), "")</f>
        <v/>
      </c>
      <c r="I419" s="143" t="n"/>
      <c r="J419" s="146" t="n"/>
      <c r="K419" s="130">
        <f>IF(AND(B419&lt;&gt;"", C419&lt;&gt;"", D419&lt;&gt;"", E419&lt;&gt;"", F419&lt;&gt;"", G419&lt;&gt;"", J419&lt;&gt;"", 'CONTENT PILLAR MAPPING'!C322&lt;&gt;"", 'CONTENT PILLAR MAPPING'!E322&lt;&gt;"", 'CONTENT PILLAR MAPPING'!F322&lt;&gt;"", 'CONTENT PILLAR MAPPING'!C325&lt;&gt;"", 'CONTENT PILLAR MAPPING'!C330&lt;&gt;"", 'CONTENT PILLAR MAPPING'!D330&lt;&gt;"", 'CONTENT PILLAR MAPPING'!E330&lt;&gt;"", 'CONTENT PILLAR MAPPING'!D338&lt;&gt;"", 'CONTENT PILLAR MAPPING'!D339&lt;&gt;""),
CONCATENATE(
"Sebagai seorang top konten kreator dengan niche utama '", 'CONTENT PILLAR MAPPING'!C322, "', spesifik kategori '", 'CONTENT PILLAR MAPPING'!E322, "', dan super spesifik '", 'CONTENT PILLAR MAPPING'!F322, "', yang dikenal sebagai '", 'CONTENT PILLAR MAPPING'!C325, "'.", CHAR(10),
"Saya memiliki Tone of Voice: '", 'CONTENT PILLAR MAPPING'!C330, "', Brand Archetype: '", 'CONTENT PILLAR MAPPING'!D330, "', dan Deskripsi Gaya Komunikasi: '", 'CONTENT PILLAR MAPPING'!E330, "'.", CHAR(10),
"Target audiens saya adalah: '", 'CONTENT PILLAR MAPPING'!D338, "', dengan segmentasi audiens: '", 'CONTENT PILLAR MAPPING'!D339, "'.", CHAR(10), CHAR(10),
"Mohon buatkan script konten yang **sangat powerful, menarik, inovatif, dan siap pakai** dengan judul ide '", B419, "'.", CHAR(10),
"Konten ini memiliki pilar '", C419, "', nilai tambah utama '", F419, "', dan akan menggunakan storytelling framework '", G419, "'.", CHAR(10),
"Gambaran singkat ide kontennya adalah: '", J419, "'.", CHAR(10),
"Konten ini akan diunggah di platform '", E419, "' dengan format '", D419,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MAPPING'!C325, "'.** Sesuaikan dengan gaya komunikasi saya, dengan fokus pada nilai tambah '", F419,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MAPPING'!D338, ", khusus ", 'CONTENT PILLAR MAPPING'!D339, ") dan membantu mereka menyelesaikan masalah atau mencapai tujuan mereka.", CHAR(10),
"✔ Membantuku membangun personal branding yang kuat dan sustainable, sesuai dengan Positioning saya sebagai '", 'CONTENT PILLAR MAPPING'!C325, "' dan Brand Archetype '", 'CONTENT PILLAR MAPPING'!D330, "'.", CHAR(10),
"✔ Kemas dalam bentuk tabel agar rapi, mudah di baca dan dipahami, dengan kolom 'Judul Konten', 'Pilar', 'Format', 'Draft Script', 'CTA', 'Saran Visual', dan 'Full Caption'. (Kosongkan kolom Link Prompt jika ada)."
),
"")</f>
        <v/>
      </c>
      <c r="L419" s="91" t="n"/>
      <c r="M419" s="91" t="n"/>
      <c r="N419" s="102" t="n"/>
      <c r="O419" s="102" t="n"/>
      <c r="P419" s="102" t="n"/>
      <c r="Q419" s="102" t="n"/>
      <c r="R419" s="102" t="n"/>
      <c r="S419" s="102" t="n"/>
      <c r="T419" s="102" t="n"/>
      <c r="U419" s="102" t="n"/>
      <c r="V419" s="102" t="n"/>
      <c r="W419" s="102" t="n"/>
      <c r="X419" s="102" t="n"/>
      <c r="Y419" s="102" t="n"/>
      <c r="Z419" s="102" t="n"/>
      <c r="AA419" s="102" t="n"/>
      <c r="AB419" s="102" t="n"/>
      <c r="AC419" s="102" t="n"/>
      <c r="AD419" s="102" t="n"/>
    </row>
    <row r="420" ht="15.75" customHeight="1" s="205">
      <c r="A420" s="102" t="n"/>
      <c r="B420" s="147" t="n"/>
      <c r="C420" s="144" t="n"/>
      <c r="D420" s="144" t="n"/>
      <c r="E420" s="144" t="n"/>
      <c r="F420" s="144" t="n"/>
      <c r="G420" s="144" t="n"/>
      <c r="H420" s="141">
        <f>IF(K420&lt;&gt;"", HYPERLINK("https://chatgpt.com/?prompt=" &amp; SUBSTITUTE(SUBSTITUTE(K420, " ", "+"), "&amp;", "dan") &amp; "&amp;force-refresh=true&amp;timestamp=" &amp; TEXT(NOW(), "yyyymmddhhmmss"), "👉 Klik untuk Generate Script! 🔥"), "")</f>
        <v/>
      </c>
      <c r="I420" s="144" t="n"/>
      <c r="J420" s="148" t="n"/>
      <c r="K420" s="140">
        <f>IF(AND(B420&lt;&gt;"", C420&lt;&gt;"", D420&lt;&gt;"", E420&lt;&gt;"", F420&lt;&gt;"", G420&lt;&gt;"", J420&lt;&gt;"", 'CONTENT PILLAR MAPPING'!C322&lt;&gt;"", 'CONTENT PILLAR MAPPING'!E322&lt;&gt;"", 'CONTENT PILLAR MAPPING'!F322&lt;&gt;"", 'CONTENT PILLAR MAPPING'!C325&lt;&gt;"", 'CONTENT PILLAR MAPPING'!C330&lt;&gt;"", 'CONTENT PILLAR MAPPING'!D330&lt;&gt;"", 'CONTENT PILLAR MAPPING'!E330&lt;&gt;"", 'CONTENT PILLAR MAPPING'!D338&lt;&gt;"", 'CONTENT PILLAR MAPPING'!D339&lt;&gt;""),
CONCATENATE(
"Sebagai seorang top konten kreator dengan niche utama '", 'CONTENT PILLAR MAPPING'!C322, "', spesifik kategori '", 'CONTENT PILLAR MAPPING'!E322, "', dan super spesifik '", 'CONTENT PILLAR MAPPING'!F322, "', yang dikenal sebagai '", 'CONTENT PILLAR MAPPING'!C325, "'.", CHAR(10),
"Saya memiliki Tone of Voice: '", 'CONTENT PILLAR MAPPING'!C330, "', Brand Archetype: '", 'CONTENT PILLAR MAPPING'!D330, "', dan Deskripsi Gaya Komunikasi: '", 'CONTENT PILLAR MAPPING'!E330, "'.", CHAR(10),
"Target audiens saya adalah: '", 'CONTENT PILLAR MAPPING'!D338, "', dengan segmentasi audiens: '", 'CONTENT PILLAR MAPPING'!D339, "'.", CHAR(10), CHAR(10),
"Mohon buatkan script konten yang **sangat powerful, menarik, inovatif, dan siap pakai** dengan judul ide '", B420, "'.", CHAR(10),
"Konten ini memiliki pilar '", C420, "', nilai tambah utama '", F420, "', dan akan menggunakan storytelling framework '", G420, "'.", CHAR(10),
"Gambaran singkat ide kontennya adalah: '", J420, "'.", CHAR(10),
"Konten ini akan diunggah di platform '", E420, "' dengan format '", D420,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MAPPING'!C325, "'.** Sesuaikan dengan gaya komunikasi saya, dengan fokus pada nilai tambah '", F420,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MAPPING'!D338, ", khusus ", 'CONTENT PILLAR MAPPING'!D339, ") dan membantu mereka menyelesaikan masalah atau mencapai tujuan mereka.", CHAR(10),
"✔ Membantuku membangun personal branding yang kuat dan sustainable, sesuai dengan Positioning saya sebagai '", 'CONTENT PILLAR MAPPING'!C325, "' dan Brand Archetype '", 'CONTENT PILLAR MAPPING'!D330, "'.", CHAR(10),
"✔ Kemas dalam bentuk tabel agar rapi, mudah di baca dan dipahami, dengan kolom 'Judul Konten', 'Pilar', 'Format', 'Draft Script', 'CTA', 'Saran Visual', dan 'Full Caption'. (Kosongkan kolom Link Prompt jika ada)."
),
"")</f>
        <v/>
      </c>
      <c r="L420" s="199" t="n"/>
      <c r="M420" s="199" t="n"/>
      <c r="N420" s="102" t="n"/>
      <c r="O420" s="102" t="n"/>
      <c r="P420" s="102" t="n"/>
      <c r="Q420" s="102" t="n"/>
      <c r="R420" s="102" t="n"/>
      <c r="S420" s="102" t="n"/>
      <c r="T420" s="102" t="n"/>
      <c r="U420" s="102" t="n"/>
      <c r="V420" s="102" t="n"/>
      <c r="W420" s="102" t="n"/>
      <c r="X420" s="102" t="n"/>
      <c r="Y420" s="102" t="n"/>
      <c r="Z420" s="102" t="n"/>
      <c r="AA420" s="102" t="n"/>
      <c r="AB420" s="102" t="n"/>
      <c r="AC420" s="102" t="n"/>
      <c r="AD420" s="102" t="n"/>
    </row>
    <row r="421" ht="15.75" customHeight="1" s="205">
      <c r="A421" s="102" t="n"/>
      <c r="B421" s="142" t="n"/>
      <c r="C421" s="143" t="n"/>
      <c r="D421" s="143" t="n"/>
      <c r="E421" s="143" t="n"/>
      <c r="F421" s="143" t="n"/>
      <c r="G421" s="144" t="n"/>
      <c r="H421" s="145">
        <f>IF(K421&lt;&gt;"", HYPERLINK("https://chatgpt.com/?prompt=" &amp; SUBSTITUTE(SUBSTITUTE(K421, " ", "+"), "&amp;", "dan") &amp; "&amp;force-refresh=true&amp;timestamp=" &amp; TEXT(NOW(), "yyyymmddhhmmss"), "👉 Klik untuk Generate Script! 🔥"), "")</f>
        <v/>
      </c>
      <c r="I421" s="143" t="n"/>
      <c r="J421" s="146" t="n"/>
      <c r="K421" s="130">
        <f>IF(AND(B421&lt;&gt;"", C421&lt;&gt;"", D421&lt;&gt;"", E421&lt;&gt;"", F421&lt;&gt;"", G421&lt;&gt;"", J421&lt;&gt;"", 'CONTENT PILLAR MAPPING'!C324&lt;&gt;"", 'CONTENT PILLAR MAPPING'!E324&lt;&gt;"", 'CONTENT PILLAR MAPPING'!F324&lt;&gt;"", 'CONTENT PILLAR MAPPING'!C327&lt;&gt;"", 'CONTENT PILLAR MAPPING'!C332&lt;&gt;"", 'CONTENT PILLAR MAPPING'!D332&lt;&gt;"", 'CONTENT PILLAR MAPPING'!E332&lt;&gt;"", 'CONTENT PILLAR MAPPING'!D340&lt;&gt;"", 'CONTENT PILLAR MAPPING'!D341&lt;&gt;""),
CONCATENATE(
"Sebagai seorang top konten kreator dengan niche utama '", 'CONTENT PILLAR MAPPING'!C324, "', spesifik kategori '", 'CONTENT PILLAR MAPPING'!E324, "', dan super spesifik '", 'CONTENT PILLAR MAPPING'!F324, "', yang dikenal sebagai '", 'CONTENT PILLAR MAPPING'!C327, "'.", CHAR(10),
"Saya memiliki Tone of Voice: '", 'CONTENT PILLAR MAPPING'!C332, "', Brand Archetype: '", 'CONTENT PILLAR MAPPING'!D332, "', dan Deskripsi Gaya Komunikasi: '", 'CONTENT PILLAR MAPPING'!E332, "'.", CHAR(10),
"Target audiens saya adalah: '", 'CONTENT PILLAR MAPPING'!D340, "', dengan segmentasi audiens: '", 'CONTENT PILLAR MAPPING'!D341, "'.", CHAR(10), CHAR(10),
"Mohon buatkan script konten yang **sangat powerful, menarik, inovatif, dan siap pakai** dengan judul ide '", B421, "'.", CHAR(10),
"Konten ini memiliki pilar '", C421, "', nilai tambah utama '", F421, "', dan akan menggunakan storytelling framework '", G421, "'.", CHAR(10),
"Gambaran singkat ide kontennya adalah: '", J421, "'.", CHAR(10),
"Konten ini akan diunggah di platform '", E421, "' dengan format '", D421,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MAPPING'!C327, "'.** Sesuaikan dengan gaya komunikasi saya, dengan fokus pada nilai tambah '", F421,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MAPPING'!D340, ", khusus ", 'CONTENT PILLAR MAPPING'!D341, ") dan membantu mereka menyelesaikan masalah atau mencapai tujuan mereka.", CHAR(10),
"✔ Membantuku membangun personal branding yang kuat dan sustainable, sesuai dengan Positioning saya sebagai '", 'CONTENT PILLAR MAPPING'!C327, "' dan Brand Archetype '", 'CONTENT PILLAR MAPPING'!D332, "'.", CHAR(10),
"✔ Kemas dalam bentuk tabel agar rapi, mudah di baca dan dipahami, dengan kolom 'Judul Konten', 'Pilar', 'Format', 'Draft Script', 'CTA', 'Saran Visual', dan 'Full Caption'. (Kosongkan kolom Link Prompt jika ada)."
),
"")</f>
        <v/>
      </c>
      <c r="L421" s="91" t="n"/>
      <c r="M421" s="91" t="n"/>
      <c r="N421" s="102" t="n"/>
      <c r="O421" s="102" t="n"/>
      <c r="P421" s="102" t="n"/>
      <c r="Q421" s="102" t="n"/>
      <c r="R421" s="102" t="n"/>
      <c r="S421" s="102" t="n"/>
      <c r="T421" s="102" t="n"/>
      <c r="U421" s="102" t="n"/>
      <c r="V421" s="102" t="n"/>
      <c r="W421" s="102" t="n"/>
      <c r="X421" s="102" t="n"/>
      <c r="Y421" s="102" t="n"/>
      <c r="Z421" s="102" t="n"/>
      <c r="AA421" s="102" t="n"/>
      <c r="AB421" s="102" t="n"/>
      <c r="AC421" s="102" t="n"/>
      <c r="AD421" s="102" t="n"/>
    </row>
    <row r="422" ht="15.75" customHeight="1" s="205">
      <c r="A422" s="102" t="n"/>
      <c r="B422" s="147" t="n"/>
      <c r="C422" s="144" t="n"/>
      <c r="D422" s="144" t="n"/>
      <c r="E422" s="144" t="n"/>
      <c r="F422" s="144" t="n"/>
      <c r="G422" s="144" t="n"/>
      <c r="H422" s="141">
        <f>IF(K422&lt;&gt;"", HYPERLINK("https://chatgpt.com/?prompt=" &amp; SUBSTITUTE(SUBSTITUTE(K422, " ", "+"), "&amp;", "dan") &amp; "&amp;force-refresh=true&amp;timestamp=" &amp; TEXT(NOW(), "yyyymmddhhmmss"), "👉 Klik untuk Generate Script! 🔥"), "")</f>
        <v/>
      </c>
      <c r="I422" s="144" t="n"/>
      <c r="J422" s="148" t="n"/>
      <c r="K422" s="140">
        <f>IF(AND(B422&lt;&gt;"", C422&lt;&gt;"", D422&lt;&gt;"", E422&lt;&gt;"", F422&lt;&gt;"", G422&lt;&gt;"", J422&lt;&gt;"", 'CONTENT PILLAR MAPPING'!C324&lt;&gt;"", 'CONTENT PILLAR MAPPING'!E324&lt;&gt;"", 'CONTENT PILLAR MAPPING'!F324&lt;&gt;"", 'CONTENT PILLAR MAPPING'!C327&lt;&gt;"", 'CONTENT PILLAR MAPPING'!C332&lt;&gt;"", 'CONTENT PILLAR MAPPING'!D332&lt;&gt;"", 'CONTENT PILLAR MAPPING'!E332&lt;&gt;"", 'CONTENT PILLAR MAPPING'!D340&lt;&gt;"", 'CONTENT PILLAR MAPPING'!D341&lt;&gt;""),
CONCATENATE(
"Sebagai seorang top konten kreator dengan niche utama '", 'CONTENT PILLAR MAPPING'!C324, "', spesifik kategori '", 'CONTENT PILLAR MAPPING'!E324, "', dan super spesifik '", 'CONTENT PILLAR MAPPING'!F324, "', yang dikenal sebagai '", 'CONTENT PILLAR MAPPING'!C327, "'.", CHAR(10),
"Saya memiliki Tone of Voice: '", 'CONTENT PILLAR MAPPING'!C332, "', Brand Archetype: '", 'CONTENT PILLAR MAPPING'!D332, "', dan Deskripsi Gaya Komunikasi: '", 'CONTENT PILLAR MAPPING'!E332, "'.", CHAR(10),
"Target audiens saya adalah: '", 'CONTENT PILLAR MAPPING'!D340, "', dengan segmentasi audiens: '", 'CONTENT PILLAR MAPPING'!D341, "'.", CHAR(10), CHAR(10),
"Mohon buatkan script konten yang **sangat powerful, menarik, inovatif, dan siap pakai** dengan judul ide '", B422, "'.", CHAR(10),
"Konten ini memiliki pilar '", C422, "', nilai tambah utama '", F422, "', dan akan menggunakan storytelling framework '", G422, "'.", CHAR(10),
"Gambaran singkat ide kontennya adalah: '", J422, "'.", CHAR(10),
"Konten ini akan diunggah di platform '", E422, "' dengan format '", D422,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MAPPING'!C327, "'.** Sesuaikan dengan gaya komunikasi saya, dengan fokus pada nilai tambah '", F422,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MAPPING'!D340, ", khusus ", 'CONTENT PILLAR MAPPING'!D341, ") dan membantu mereka menyelesaikan masalah atau mencapai tujuan mereka.", CHAR(10),
"✔ Membantuku membangun personal branding yang kuat dan sustainable, sesuai dengan Positioning saya sebagai '", 'CONTENT PILLAR MAPPING'!C327, "' dan Brand Archetype '", 'CONTENT PILLAR MAPPING'!D332, "'.", CHAR(10),
"✔ Kemas dalam bentuk tabel agar rapi, mudah di baca dan dipahami, dengan kolom 'Judul Konten', 'Pilar', 'Format', 'Draft Script', 'CTA', 'Saran Visual', dan 'Full Caption'. (Kosongkan kolom Link Prompt jika ada)."
),
"")</f>
        <v/>
      </c>
      <c r="L422" s="199" t="n"/>
      <c r="M422" s="199" t="n"/>
      <c r="N422" s="102" t="n"/>
      <c r="O422" s="102" t="n"/>
      <c r="P422" s="102" t="n"/>
      <c r="Q422" s="102" t="n"/>
      <c r="R422" s="102" t="n"/>
      <c r="S422" s="102" t="n"/>
      <c r="T422" s="102" t="n"/>
      <c r="U422" s="102" t="n"/>
      <c r="V422" s="102" t="n"/>
      <c r="W422" s="102" t="n"/>
      <c r="X422" s="102" t="n"/>
      <c r="Y422" s="102" t="n"/>
      <c r="Z422" s="102" t="n"/>
      <c r="AA422" s="102" t="n"/>
      <c r="AB422" s="102" t="n"/>
      <c r="AC422" s="102" t="n"/>
      <c r="AD422" s="102" t="n"/>
    </row>
    <row r="423" ht="15.75" customHeight="1" s="205">
      <c r="A423" s="102" t="n"/>
      <c r="B423" s="142" t="n"/>
      <c r="C423" s="143" t="n"/>
      <c r="D423" s="143" t="n"/>
      <c r="E423" s="143" t="n"/>
      <c r="F423" s="143" t="n"/>
      <c r="G423" s="144" t="n"/>
      <c r="H423" s="145">
        <f>IF(K423&lt;&gt;"", HYPERLINK("https://chatgpt.com/?prompt=" &amp; SUBSTITUTE(SUBSTITUTE(K423, " ", "+"), "&amp;", "dan") &amp; "&amp;force-refresh=true&amp;timestamp=" &amp; TEXT(NOW(), "yyyymmddhhmmss"), "👉 Klik untuk Generate Script! 🔥"), "")</f>
        <v/>
      </c>
      <c r="I423" s="143" t="n"/>
      <c r="J423" s="146" t="n"/>
      <c r="K423" s="130">
        <f>IF(AND(B423&lt;&gt;"", C423&lt;&gt;"", D423&lt;&gt;"", E423&lt;&gt;"", F423&lt;&gt;"", G423&lt;&gt;"", J423&lt;&gt;"", 'CONTENT PILLAR MAPPING'!C326&lt;&gt;"", 'CONTENT PILLAR MAPPING'!E326&lt;&gt;"", 'CONTENT PILLAR MAPPING'!F326&lt;&gt;"", 'CONTENT PILLAR MAPPING'!C329&lt;&gt;"", 'CONTENT PILLAR MAPPING'!C334&lt;&gt;"", 'CONTENT PILLAR MAPPING'!D334&lt;&gt;"", 'CONTENT PILLAR MAPPING'!E334&lt;&gt;"", 'CONTENT PILLAR MAPPING'!D342&lt;&gt;"", 'CONTENT PILLAR MAPPING'!D343&lt;&gt;""),
CONCATENATE(
"Sebagai seorang top konten kreator dengan niche utama '", 'CONTENT PILLAR MAPPING'!C326, "', spesifik kategori '", 'CONTENT PILLAR MAPPING'!E326, "', dan super spesifik '", 'CONTENT PILLAR MAPPING'!F326, "', yang dikenal sebagai '", 'CONTENT PILLAR MAPPING'!C329, "'.", CHAR(10),
"Saya memiliki Tone of Voice: '", 'CONTENT PILLAR MAPPING'!C334, "', Brand Archetype: '", 'CONTENT PILLAR MAPPING'!D334, "', dan Deskripsi Gaya Komunikasi: '", 'CONTENT PILLAR MAPPING'!E334, "'.", CHAR(10),
"Target audiens saya adalah: '", 'CONTENT PILLAR MAPPING'!D342, "', dengan segmentasi audiens: '", 'CONTENT PILLAR MAPPING'!D343, "'.", CHAR(10), CHAR(10),
"Mohon buatkan script konten yang **sangat powerful, menarik, inovatif, dan siap pakai** dengan judul ide '", B423, "'.", CHAR(10),
"Konten ini memiliki pilar '", C423, "', nilai tambah utama '", F423, "', dan akan menggunakan storytelling framework '", G423, "'.", CHAR(10),
"Gambaran singkat ide kontennya adalah: '", J423, "'.", CHAR(10),
"Konten ini akan diunggah di platform '", E423, "' dengan format '", D423,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MAPPING'!C329, "'.** Sesuaikan dengan gaya komunikasi saya, dengan fokus pada nilai tambah '", F423,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MAPPING'!D342, ", khusus ", 'CONTENT PILLAR MAPPING'!D343, ") dan membantu mereka menyelesaikan masalah atau mencapai tujuan mereka.", CHAR(10),
"✔ Membantuku membangun personal branding yang kuat dan sustainable, sesuai dengan Positioning saya sebagai '", 'CONTENT PILLAR MAPPING'!C329, "' dan Brand Archetype '", 'CONTENT PILLAR MAPPING'!D334, "'.", CHAR(10),
"✔ Kemas dalam bentuk tabel agar rapi, mudah di baca dan dipahami, dengan kolom 'Judul Konten', 'Pilar', 'Format', 'Draft Script', 'CTA', 'Saran Visual', dan 'Full Caption'. (Kosongkan kolom Link Prompt jika ada)."
),
"")</f>
        <v/>
      </c>
      <c r="L423" s="91" t="n"/>
      <c r="M423" s="91" t="n"/>
      <c r="N423" s="102" t="n"/>
      <c r="O423" s="102" t="n"/>
      <c r="P423" s="102" t="n"/>
      <c r="Q423" s="102" t="n"/>
      <c r="R423" s="102" t="n"/>
      <c r="S423" s="102" t="n"/>
      <c r="T423" s="102" t="n"/>
      <c r="U423" s="102" t="n"/>
      <c r="V423" s="102" t="n"/>
      <c r="W423" s="102" t="n"/>
      <c r="X423" s="102" t="n"/>
      <c r="Y423" s="102" t="n"/>
      <c r="Z423" s="102" t="n"/>
      <c r="AA423" s="102" t="n"/>
      <c r="AB423" s="102" t="n"/>
      <c r="AC423" s="102" t="n"/>
      <c r="AD423" s="102" t="n"/>
    </row>
    <row r="424" ht="15.75" customHeight="1" s="205">
      <c r="A424" s="102" t="n"/>
      <c r="B424" s="147" t="n"/>
      <c r="C424" s="144" t="n"/>
      <c r="D424" s="144" t="n"/>
      <c r="E424" s="144" t="n"/>
      <c r="F424" s="144" t="n"/>
      <c r="G424" s="144" t="n"/>
      <c r="H424" s="141">
        <f>IF(K424&lt;&gt;"", HYPERLINK("https://chatgpt.com/?prompt=" &amp; SUBSTITUTE(SUBSTITUTE(K424, " ", "+"), "&amp;", "dan") &amp; "&amp;force-refresh=true&amp;timestamp=" &amp; TEXT(NOW(), "yyyymmddhhmmss"), "👉 Klik untuk Generate Script! 🔥"), "")</f>
        <v/>
      </c>
      <c r="I424" s="144" t="n"/>
      <c r="J424" s="148" t="n"/>
      <c r="K424" s="140">
        <f>IF(AND(B424&lt;&gt;"", C424&lt;&gt;"", D424&lt;&gt;"", E424&lt;&gt;"", F424&lt;&gt;"", G424&lt;&gt;"", J424&lt;&gt;"", 'CONTENT PILLAR MAPPING'!C326&lt;&gt;"", 'CONTENT PILLAR MAPPING'!E326&lt;&gt;"", 'CONTENT PILLAR MAPPING'!F326&lt;&gt;"", 'CONTENT PILLAR MAPPING'!C329&lt;&gt;"", 'CONTENT PILLAR MAPPING'!C334&lt;&gt;"", 'CONTENT PILLAR MAPPING'!D334&lt;&gt;"", 'CONTENT PILLAR MAPPING'!E334&lt;&gt;"", 'CONTENT PILLAR MAPPING'!D342&lt;&gt;"", 'CONTENT PILLAR MAPPING'!D343&lt;&gt;""),
CONCATENATE(
"Sebagai seorang top konten kreator dengan niche utama '", 'CONTENT PILLAR MAPPING'!C326, "', spesifik kategori '", 'CONTENT PILLAR MAPPING'!E326, "', dan super spesifik '", 'CONTENT PILLAR MAPPING'!F326, "', yang dikenal sebagai '", 'CONTENT PILLAR MAPPING'!C329, "'.", CHAR(10),
"Saya memiliki Tone of Voice: '", 'CONTENT PILLAR MAPPING'!C334, "', Brand Archetype: '", 'CONTENT PILLAR MAPPING'!D334, "', dan Deskripsi Gaya Komunikasi: '", 'CONTENT PILLAR MAPPING'!E334, "'.", CHAR(10),
"Target audiens saya adalah: '", 'CONTENT PILLAR MAPPING'!D342, "', dengan segmentasi audiens: '", 'CONTENT PILLAR MAPPING'!D343, "'.", CHAR(10), CHAR(10),
"Mohon buatkan script konten yang **sangat powerful, menarik, inovatif, dan siap pakai** dengan judul ide '", B424, "'.", CHAR(10),
"Konten ini memiliki pilar '", C424, "', nilai tambah utama '", F424, "', dan akan menggunakan storytelling framework '", G424, "'.", CHAR(10),
"Gambaran singkat ide kontennya adalah: '", J424, "'.", CHAR(10),
"Konten ini akan diunggah di platform '", E424, "' dengan format '", D424,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MAPPING'!C329, "'.** Sesuaikan dengan gaya komunikasi saya, dengan fokus pada nilai tambah '", F424,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MAPPING'!D342, ", khusus ", 'CONTENT PILLAR MAPPING'!D343, ") dan membantu mereka menyelesaikan masalah atau mencapai tujuan mereka.", CHAR(10),
"✔ Membantuku membangun personal branding yang kuat dan sustainable, sesuai dengan Positioning saya sebagai '", 'CONTENT PILLAR MAPPING'!C329, "' dan Brand Archetype '", 'CONTENT PILLAR MAPPING'!D334, "'.", CHAR(10),
"✔ Kemas dalam bentuk tabel agar rapi, mudah di baca dan dipahami, dengan kolom 'Judul Konten', 'Pilar', 'Format', 'Draft Script', 'CTA', 'Saran Visual', dan 'Full Caption'. (Kosongkan kolom Link Prompt jika ada)."
),
"")</f>
        <v/>
      </c>
      <c r="L424" s="199" t="n"/>
      <c r="M424" s="199" t="n"/>
      <c r="N424" s="102" t="n"/>
      <c r="O424" s="102" t="n"/>
      <c r="P424" s="102" t="n"/>
      <c r="Q424" s="102" t="n"/>
      <c r="R424" s="102" t="n"/>
      <c r="S424" s="102" t="n"/>
      <c r="T424" s="102" t="n"/>
      <c r="U424" s="102" t="n"/>
      <c r="V424" s="102" t="n"/>
      <c r="W424" s="102" t="n"/>
      <c r="X424" s="102" t="n"/>
      <c r="Y424" s="102" t="n"/>
      <c r="Z424" s="102" t="n"/>
      <c r="AA424" s="102" t="n"/>
      <c r="AB424" s="102" t="n"/>
      <c r="AC424" s="102" t="n"/>
      <c r="AD424" s="102" t="n"/>
    </row>
    <row r="425" ht="15.75" customHeight="1" s="205">
      <c r="A425" s="102" t="n"/>
      <c r="B425" s="142" t="n"/>
      <c r="C425" s="143" t="n"/>
      <c r="D425" s="143" t="n"/>
      <c r="E425" s="143" t="n"/>
      <c r="F425" s="143" t="n"/>
      <c r="G425" s="144" t="n"/>
      <c r="H425" s="145">
        <f>IF(K425&lt;&gt;"", HYPERLINK("https://chatgpt.com/?prompt=" &amp; SUBSTITUTE(SUBSTITUTE(K425, " ", "+"), "&amp;", "dan") &amp; "&amp;force-refresh=true&amp;timestamp=" &amp; TEXT(NOW(), "yyyymmddhhmmss"), "👉 Klik untuk Generate Script! 🔥"), "")</f>
        <v/>
      </c>
      <c r="I425" s="143" t="n"/>
      <c r="J425" s="146" t="n"/>
      <c r="K425" s="130">
        <f>IF(AND(B425&lt;&gt;"", C425&lt;&gt;"", D425&lt;&gt;"", E425&lt;&gt;"", F425&lt;&gt;"", G425&lt;&gt;"", J425&lt;&gt;"", 'CONTENT PILLAR MAPPING'!C328&lt;&gt;"", 'CONTENT PILLAR MAPPING'!E328&lt;&gt;"", 'CONTENT PILLAR MAPPING'!F328&lt;&gt;"", 'CONTENT PILLAR MAPPING'!C331&lt;&gt;"", 'CONTENT PILLAR MAPPING'!C336&lt;&gt;"", 'CONTENT PILLAR MAPPING'!D336&lt;&gt;"", 'CONTENT PILLAR MAPPING'!E336&lt;&gt;"", 'CONTENT PILLAR MAPPING'!D344&lt;&gt;"", 'CONTENT PILLAR MAPPING'!D345&lt;&gt;""),
CONCATENATE(
"Sebagai seorang top konten kreator dengan niche utama '", 'CONTENT PILLAR MAPPING'!C328, "', spesifik kategori '", 'CONTENT PILLAR MAPPING'!E328, "', dan super spesifik '", 'CONTENT PILLAR MAPPING'!F328, "', yang dikenal sebagai '", 'CONTENT PILLAR MAPPING'!C331, "'.", CHAR(10),
"Saya memiliki Tone of Voice: '", 'CONTENT PILLAR MAPPING'!C336, "', Brand Archetype: '", 'CONTENT PILLAR MAPPING'!D336, "', dan Deskripsi Gaya Komunikasi: '", 'CONTENT PILLAR MAPPING'!E336, "'.", CHAR(10),
"Target audiens saya adalah: '", 'CONTENT PILLAR MAPPING'!D344, "', dengan segmentasi audiens: '", 'CONTENT PILLAR MAPPING'!D345, "'.", CHAR(10), CHAR(10),
"Mohon buatkan script konten yang **sangat powerful, menarik, inovatif, dan siap pakai** dengan judul ide '", B425, "'.", CHAR(10),
"Konten ini memiliki pilar '", C425, "', nilai tambah utama '", F425, "', dan akan menggunakan storytelling framework '", G425, "'.", CHAR(10),
"Gambaran singkat ide kontennya adalah: '", J425, "'.", CHAR(10),
"Konten ini akan diunggah di platform '", E425, "' dengan format '", D425,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MAPPING'!C331, "'.** Sesuaikan dengan gaya komunikasi saya, dengan fokus pada nilai tambah '", F425,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MAPPING'!D344, ", khusus ", 'CONTENT PILLAR MAPPING'!D345, ") dan membantu mereka menyelesaikan masalah atau mencapai tujuan mereka.", CHAR(10),
"✔ Membantuku membangun personal branding yang kuat dan sustainable, sesuai dengan Positioning saya sebagai '", 'CONTENT PILLAR MAPPING'!C331, "' dan Brand Archetype '", 'CONTENT PILLAR MAPPING'!D336, "'.", CHAR(10),
"✔ Kemas dalam bentuk tabel agar rapi, mudah di baca dan dipahami, dengan kolom 'Judul Konten', 'Pilar', 'Format', 'Draft Script', 'CTA', 'Saran Visual', dan 'Full Caption'. (Kosongkan kolom Link Prompt jika ada)."
),
"")</f>
        <v/>
      </c>
      <c r="L425" s="91" t="n"/>
      <c r="M425" s="91" t="n"/>
      <c r="N425" s="102" t="n"/>
      <c r="O425" s="102" t="n"/>
      <c r="P425" s="102" t="n"/>
      <c r="Q425" s="102" t="n"/>
      <c r="R425" s="102" t="n"/>
      <c r="S425" s="102" t="n"/>
      <c r="T425" s="102" t="n"/>
      <c r="U425" s="102" t="n"/>
      <c r="V425" s="102" t="n"/>
      <c r="W425" s="102" t="n"/>
      <c r="X425" s="102" t="n"/>
      <c r="Y425" s="102" t="n"/>
      <c r="Z425" s="102" t="n"/>
      <c r="AA425" s="102" t="n"/>
      <c r="AB425" s="102" t="n"/>
      <c r="AC425" s="102" t="n"/>
      <c r="AD425" s="102" t="n"/>
    </row>
    <row r="426" ht="15.75" customHeight="1" s="205">
      <c r="A426" s="102" t="n"/>
      <c r="B426" s="147" t="n"/>
      <c r="C426" s="144" t="n"/>
      <c r="D426" s="144" t="n"/>
      <c r="E426" s="144" t="n"/>
      <c r="F426" s="144" t="n"/>
      <c r="G426" s="144" t="n"/>
      <c r="H426" s="141">
        <f>IF(K426&lt;&gt;"", HYPERLINK("https://chatgpt.com/?prompt=" &amp; SUBSTITUTE(SUBSTITUTE(K426, " ", "+"), "&amp;", "dan") &amp; "&amp;force-refresh=true&amp;timestamp=" &amp; TEXT(NOW(), "yyyymmddhhmmss"), "👉 Klik untuk Generate Script! 🔥"), "")</f>
        <v/>
      </c>
      <c r="I426" s="144" t="n"/>
      <c r="J426" s="148" t="n"/>
      <c r="K426" s="140">
        <f>IF(AND(B426&lt;&gt;"", C426&lt;&gt;"", D426&lt;&gt;"", E426&lt;&gt;"", F426&lt;&gt;"", G426&lt;&gt;"", J426&lt;&gt;"", 'CONTENT PILLAR MAPPING'!C328&lt;&gt;"", 'CONTENT PILLAR MAPPING'!E328&lt;&gt;"", 'CONTENT PILLAR MAPPING'!F328&lt;&gt;"", 'CONTENT PILLAR MAPPING'!C331&lt;&gt;"", 'CONTENT PILLAR MAPPING'!C336&lt;&gt;"", 'CONTENT PILLAR MAPPING'!D336&lt;&gt;"", 'CONTENT PILLAR MAPPING'!E336&lt;&gt;"", 'CONTENT PILLAR MAPPING'!D344&lt;&gt;"", 'CONTENT PILLAR MAPPING'!D345&lt;&gt;""),
CONCATENATE(
"Sebagai seorang top konten kreator dengan niche utama '", 'CONTENT PILLAR MAPPING'!C328, "', spesifik kategori '", 'CONTENT PILLAR MAPPING'!E328, "', dan super spesifik '", 'CONTENT PILLAR MAPPING'!F328, "', yang dikenal sebagai '", 'CONTENT PILLAR MAPPING'!C331, "'.", CHAR(10),
"Saya memiliki Tone of Voice: '", 'CONTENT PILLAR MAPPING'!C336, "', Brand Archetype: '", 'CONTENT PILLAR MAPPING'!D336, "', dan Deskripsi Gaya Komunikasi: '", 'CONTENT PILLAR MAPPING'!E336, "'.", CHAR(10),
"Target audiens saya adalah: '", 'CONTENT PILLAR MAPPING'!D344, "', dengan segmentasi audiens: '", 'CONTENT PILLAR MAPPING'!D345, "'.", CHAR(10), CHAR(10),
"Mohon buatkan script konten yang **sangat powerful, menarik, inovatif, dan siap pakai** dengan judul ide '", B426, "'.", CHAR(10),
"Konten ini memiliki pilar '", C426, "', nilai tambah utama '", F426, "', dan akan menggunakan storytelling framework '", G426, "'.", CHAR(10),
"Gambaran singkat ide kontennya adalah: '", J426, "'.", CHAR(10),
"Konten ini akan diunggah di platform '", E426, "' dengan format '", D426,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MAPPING'!C331, "'.** Sesuaikan dengan gaya komunikasi saya, dengan fokus pada nilai tambah '", F426,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MAPPING'!D344, ", khusus ", 'CONTENT PILLAR MAPPING'!D345, ") dan membantu mereka menyelesaikan masalah atau mencapai tujuan mereka.", CHAR(10),
"✔ Membantuku membangun personal branding yang kuat dan sustainable, sesuai dengan Positioning saya sebagai '", 'CONTENT PILLAR MAPPING'!C331, "' dan Brand Archetype '", 'CONTENT PILLAR MAPPING'!D336, "'.", CHAR(10),
"✔ Kemas dalam bentuk tabel agar rapi, mudah di baca dan dipahami, dengan kolom 'Judul Konten', 'Pilar', 'Format', 'Draft Script', 'CTA', 'Saran Visual', dan 'Full Caption'. (Kosongkan kolom Link Prompt jika ada)."
),
"")</f>
        <v/>
      </c>
      <c r="L426" s="199" t="n"/>
      <c r="M426" s="199" t="n"/>
      <c r="N426" s="102" t="n"/>
      <c r="O426" s="102" t="n"/>
      <c r="P426" s="102" t="n"/>
      <c r="Q426" s="102" t="n"/>
      <c r="R426" s="102" t="n"/>
      <c r="S426" s="102" t="n"/>
      <c r="T426" s="102" t="n"/>
      <c r="U426" s="102" t="n"/>
      <c r="V426" s="102" t="n"/>
      <c r="W426" s="102" t="n"/>
      <c r="X426" s="102" t="n"/>
      <c r="Y426" s="102" t="n"/>
      <c r="Z426" s="102" t="n"/>
      <c r="AA426" s="102" t="n"/>
      <c r="AB426" s="102" t="n"/>
      <c r="AC426" s="102" t="n"/>
      <c r="AD426" s="102" t="n"/>
    </row>
    <row r="427" ht="15.75" customHeight="1" s="205">
      <c r="A427" s="102" t="n"/>
      <c r="B427" s="142" t="n"/>
      <c r="C427" s="143" t="n"/>
      <c r="D427" s="143" t="n"/>
      <c r="E427" s="143" t="n"/>
      <c r="F427" s="143" t="n"/>
      <c r="G427" s="144" t="n"/>
      <c r="H427" s="145">
        <f>IF(K427&lt;&gt;"", HYPERLINK("https://chatgpt.com/?prompt=" &amp; SUBSTITUTE(SUBSTITUTE(K427, " ", "+"), "&amp;", "dan") &amp; "&amp;force-refresh=true&amp;timestamp=" &amp; TEXT(NOW(), "yyyymmddhhmmss"), "👉 Klik untuk Generate Script! 🔥"), "")</f>
        <v/>
      </c>
      <c r="I427" s="143" t="n"/>
      <c r="J427" s="146" t="n"/>
      <c r="K427" s="130">
        <f>IF(AND(B427&lt;&gt;"", C427&lt;&gt;"", D427&lt;&gt;"", E427&lt;&gt;"", F427&lt;&gt;"", G427&lt;&gt;"", J427&lt;&gt;"", 'CONTENT PILLAR MAPPING'!C330&lt;&gt;"", 'CONTENT PILLAR MAPPING'!E330&lt;&gt;"", 'CONTENT PILLAR MAPPING'!F330&lt;&gt;"", 'CONTENT PILLAR MAPPING'!C333&lt;&gt;"", 'CONTENT PILLAR MAPPING'!C338&lt;&gt;"", 'CONTENT PILLAR MAPPING'!D338&lt;&gt;"", 'CONTENT PILLAR MAPPING'!E338&lt;&gt;"", 'CONTENT PILLAR MAPPING'!D346&lt;&gt;"", 'CONTENT PILLAR MAPPING'!D347&lt;&gt;""),
CONCATENATE(
"Sebagai seorang top konten kreator dengan niche utama '", 'CONTENT PILLAR MAPPING'!C330, "', spesifik kategori '", 'CONTENT PILLAR MAPPING'!E330, "', dan super spesifik '", 'CONTENT PILLAR MAPPING'!F330, "', yang dikenal sebagai '", 'CONTENT PILLAR MAPPING'!C333, "'.", CHAR(10),
"Saya memiliki Tone of Voice: '", 'CONTENT PILLAR MAPPING'!C338, "', Brand Archetype: '", 'CONTENT PILLAR MAPPING'!D338, "', dan Deskripsi Gaya Komunikasi: '", 'CONTENT PILLAR MAPPING'!E338, "'.", CHAR(10),
"Target audiens saya adalah: '", 'CONTENT PILLAR MAPPING'!D346, "', dengan segmentasi audiens: '", 'CONTENT PILLAR MAPPING'!D347, "'.", CHAR(10), CHAR(10),
"Mohon buatkan script konten yang **sangat powerful, menarik, inovatif, dan siap pakai** dengan judul ide '", B427, "'.", CHAR(10),
"Konten ini memiliki pilar '", C427, "', nilai tambah utama '", F427, "', dan akan menggunakan storytelling framework '", G427, "'.", CHAR(10),
"Gambaran singkat ide kontennya adalah: '", J427, "'.", CHAR(10),
"Konten ini akan diunggah di platform '", E427, "' dengan format '", D427,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MAPPING'!C333, "'.** Sesuaikan dengan gaya komunikasi saya, dengan fokus pada nilai tambah '", F427,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MAPPING'!D346, ", khusus ", 'CONTENT PILLAR MAPPING'!D347, ") dan membantu mereka menyelesaikan masalah atau mencapai tujuan mereka.", CHAR(10),
"✔ Membantuku membangun personal branding yang kuat dan sustainable, sesuai dengan Positioning saya sebagai '", 'CONTENT PILLAR MAPPING'!C333, "' dan Brand Archetype '", 'CONTENT PILLAR MAPPING'!D338, "'.", CHAR(10),
"✔ Kemas dalam bentuk tabel agar rapi, mudah di baca dan dipahami, dengan kolom 'Judul Konten', 'Pilar', 'Format', 'Draft Script', 'CTA', 'Saran Visual', dan 'Full Caption'. (Kosongkan kolom Link Prompt jika ada)."
),
"")</f>
        <v/>
      </c>
      <c r="L427" s="91" t="n"/>
      <c r="M427" s="91" t="n"/>
      <c r="N427" s="102" t="n"/>
      <c r="O427" s="102" t="n"/>
      <c r="P427" s="102" t="n"/>
      <c r="Q427" s="102" t="n"/>
      <c r="R427" s="102" t="n"/>
      <c r="S427" s="102" t="n"/>
      <c r="T427" s="102" t="n"/>
      <c r="U427" s="102" t="n"/>
      <c r="V427" s="102" t="n"/>
      <c r="W427" s="102" t="n"/>
      <c r="X427" s="102" t="n"/>
      <c r="Y427" s="102" t="n"/>
      <c r="Z427" s="102" t="n"/>
      <c r="AA427" s="102" t="n"/>
      <c r="AB427" s="102" t="n"/>
      <c r="AC427" s="102" t="n"/>
      <c r="AD427" s="102" t="n"/>
    </row>
    <row r="428" ht="15.75" customHeight="1" s="205">
      <c r="A428" s="102" t="n"/>
      <c r="B428" s="147" t="n"/>
      <c r="C428" s="144" t="n"/>
      <c r="D428" s="144" t="n"/>
      <c r="E428" s="144" t="n"/>
      <c r="F428" s="144" t="n"/>
      <c r="G428" s="144" t="n"/>
      <c r="H428" s="141">
        <f>IF(K428&lt;&gt;"", HYPERLINK("https://chatgpt.com/?prompt=" &amp; SUBSTITUTE(SUBSTITUTE(K428, " ", "+"), "&amp;", "dan") &amp; "&amp;force-refresh=true&amp;timestamp=" &amp; TEXT(NOW(), "yyyymmddhhmmss"), "👉 Klik untuk Generate Script! 🔥"), "")</f>
        <v/>
      </c>
      <c r="I428" s="144" t="n"/>
      <c r="J428" s="148" t="n"/>
      <c r="K428" s="140">
        <f>IF(AND(B428&lt;&gt;"", C428&lt;&gt;"", D428&lt;&gt;"", E428&lt;&gt;"", F428&lt;&gt;"", G428&lt;&gt;"", J428&lt;&gt;"", 'CONTENT PILLAR MAPPING'!C330&lt;&gt;"", 'CONTENT PILLAR MAPPING'!E330&lt;&gt;"", 'CONTENT PILLAR MAPPING'!F330&lt;&gt;"", 'CONTENT PILLAR MAPPING'!C333&lt;&gt;"", 'CONTENT PILLAR MAPPING'!C338&lt;&gt;"", 'CONTENT PILLAR MAPPING'!D338&lt;&gt;"", 'CONTENT PILLAR MAPPING'!E338&lt;&gt;"", 'CONTENT PILLAR MAPPING'!D346&lt;&gt;"", 'CONTENT PILLAR MAPPING'!D347&lt;&gt;""),
CONCATENATE(
"Sebagai seorang top konten kreator dengan niche utama '", 'CONTENT PILLAR MAPPING'!C330, "', spesifik kategori '", 'CONTENT PILLAR MAPPING'!E330, "', dan super spesifik '", 'CONTENT PILLAR MAPPING'!F330, "', yang dikenal sebagai '", 'CONTENT PILLAR MAPPING'!C333, "'.", CHAR(10),
"Saya memiliki Tone of Voice: '", 'CONTENT PILLAR MAPPING'!C338, "', Brand Archetype: '", 'CONTENT PILLAR MAPPING'!D338, "', dan Deskripsi Gaya Komunikasi: '", 'CONTENT PILLAR MAPPING'!E338, "'.", CHAR(10),
"Target audiens saya adalah: '", 'CONTENT PILLAR MAPPING'!D346, "', dengan segmentasi audiens: '", 'CONTENT PILLAR MAPPING'!D347, "'.", CHAR(10), CHAR(10),
"Mohon buatkan script konten yang **sangat powerful, menarik, inovatif, dan siap pakai** dengan judul ide '", B428, "'.", CHAR(10),
"Konten ini memiliki pilar '", C428, "', nilai tambah utama '", F428, "', dan akan menggunakan storytelling framework '", G428, "'.", CHAR(10),
"Gambaran singkat ide kontennya adalah: '", J428, "'.", CHAR(10),
"Konten ini akan diunggah di platform '", E428, "' dengan format '", D428,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MAPPING'!C333, "'.** Sesuaikan dengan gaya komunikasi saya, dengan fokus pada nilai tambah '", F428,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MAPPING'!D346, ", khusus ", 'CONTENT PILLAR MAPPING'!D347, ") dan membantu mereka menyelesaikan masalah atau mencapai tujuan mereka.", CHAR(10),
"✔ Membantuku membangun personal branding yang kuat dan sustainable, sesuai dengan Positioning saya sebagai '", 'CONTENT PILLAR MAPPING'!C333, "' dan Brand Archetype '", 'CONTENT PILLAR MAPPING'!D338, "'.", CHAR(10),
"✔ Kemas dalam bentuk tabel agar rapi, mudah di baca dan dipahami, dengan kolom 'Judul Konten', 'Pilar', 'Format', 'Draft Script', 'CTA', 'Saran Visual', dan 'Full Caption'. (Kosongkan kolom Link Prompt jika ada)."
),
"")</f>
        <v/>
      </c>
      <c r="L428" s="199" t="n"/>
      <c r="M428" s="199" t="n"/>
      <c r="N428" s="102" t="n"/>
      <c r="O428" s="102" t="n"/>
      <c r="P428" s="102" t="n"/>
      <c r="Q428" s="102" t="n"/>
      <c r="R428" s="102" t="n"/>
      <c r="S428" s="102" t="n"/>
      <c r="T428" s="102" t="n"/>
      <c r="U428" s="102" t="n"/>
      <c r="V428" s="102" t="n"/>
      <c r="W428" s="102" t="n"/>
      <c r="X428" s="102" t="n"/>
      <c r="Y428" s="102" t="n"/>
      <c r="Z428" s="102" t="n"/>
      <c r="AA428" s="102" t="n"/>
      <c r="AB428" s="102" t="n"/>
      <c r="AC428" s="102" t="n"/>
      <c r="AD428" s="102" t="n"/>
    </row>
    <row r="429" ht="15.75" customHeight="1" s="205">
      <c r="A429" s="102" t="n"/>
      <c r="B429" s="142" t="n"/>
      <c r="C429" s="143" t="n"/>
      <c r="D429" s="143" t="n"/>
      <c r="E429" s="143" t="n"/>
      <c r="F429" s="143" t="n"/>
      <c r="G429" s="144" t="n"/>
      <c r="H429" s="145">
        <f>IF(K429&lt;&gt;"", HYPERLINK("https://chatgpt.com/?prompt=" &amp; SUBSTITUTE(SUBSTITUTE(K429, " ", "+"), "&amp;", "dan") &amp; "&amp;force-refresh=true&amp;timestamp=" &amp; TEXT(NOW(), "yyyymmddhhmmss"), "👉 Klik untuk Generate Script! 🔥"), "")</f>
        <v/>
      </c>
      <c r="I429" s="143" t="n"/>
      <c r="J429" s="146" t="n"/>
      <c r="K429" s="130">
        <f>IF(AND(B429&lt;&gt;"", C429&lt;&gt;"", D429&lt;&gt;"", E429&lt;&gt;"", F429&lt;&gt;"", G429&lt;&gt;"", J429&lt;&gt;"", 'CONTENT PILLAR MAPPING'!C332&lt;&gt;"", 'CONTENT PILLAR MAPPING'!E332&lt;&gt;"", 'CONTENT PILLAR MAPPING'!F332&lt;&gt;"", 'CONTENT PILLAR MAPPING'!C335&lt;&gt;"", 'CONTENT PILLAR MAPPING'!C340&lt;&gt;"", 'CONTENT PILLAR MAPPING'!D340&lt;&gt;"", 'CONTENT PILLAR MAPPING'!E340&lt;&gt;"", 'CONTENT PILLAR MAPPING'!D348&lt;&gt;"", 'CONTENT PILLAR MAPPING'!D349&lt;&gt;""),
CONCATENATE(
"Sebagai seorang top konten kreator dengan niche utama '", 'CONTENT PILLAR MAPPING'!C332, "', spesifik kategori '", 'CONTENT PILLAR MAPPING'!E332, "', dan super spesifik '", 'CONTENT PILLAR MAPPING'!F332, "', yang dikenal sebagai '", 'CONTENT PILLAR MAPPING'!C335, "'.", CHAR(10),
"Saya memiliki Tone of Voice: '", 'CONTENT PILLAR MAPPING'!C340, "', Brand Archetype: '", 'CONTENT PILLAR MAPPING'!D340, "', dan Deskripsi Gaya Komunikasi: '", 'CONTENT PILLAR MAPPING'!E340, "'.", CHAR(10),
"Target audiens saya adalah: '", 'CONTENT PILLAR MAPPING'!D348, "', dengan segmentasi audiens: '", 'CONTENT PILLAR MAPPING'!D349, "'.", CHAR(10), CHAR(10),
"Mohon buatkan script konten yang **sangat powerful, menarik, inovatif, dan siap pakai** dengan judul ide '", B429, "'.", CHAR(10),
"Konten ini memiliki pilar '", C429, "', nilai tambah utama '", F429, "', dan akan menggunakan storytelling framework '", G429, "'.", CHAR(10),
"Gambaran singkat ide kontennya adalah: '", J429, "'.", CHAR(10),
"Konten ini akan diunggah di platform '", E429, "' dengan format '", D429,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MAPPING'!C335, "'.** Sesuaikan dengan gaya komunikasi saya, dengan fokus pada nilai tambah '", F429,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MAPPING'!D348, ", khusus ", 'CONTENT PILLAR MAPPING'!D349, ") dan membantu mereka menyelesaikan masalah atau mencapai tujuan mereka.", CHAR(10),
"✔ Membantuku membangun personal branding yang kuat dan sustainable, sesuai dengan Positioning saya sebagai '", 'CONTENT PILLAR MAPPING'!C335, "' dan Brand Archetype '", 'CONTENT PILLAR MAPPING'!D340, "'.", CHAR(10),
"✔ Kemas dalam bentuk tabel agar rapi, mudah di baca dan dipahami, dengan kolom 'Judul Konten', 'Pilar', 'Format', 'Draft Script', 'CTA', 'Saran Visual', dan 'Full Caption'. (Kosongkan kolom Link Prompt jika ada)."
),
"")</f>
        <v/>
      </c>
      <c r="L429" s="91" t="n"/>
      <c r="M429" s="91" t="n"/>
      <c r="N429" s="102" t="n"/>
      <c r="O429" s="102" t="n"/>
      <c r="P429" s="102" t="n"/>
      <c r="Q429" s="102" t="n"/>
      <c r="R429" s="102" t="n"/>
      <c r="S429" s="102" t="n"/>
      <c r="T429" s="102" t="n"/>
      <c r="U429" s="102" t="n"/>
      <c r="V429" s="102" t="n"/>
      <c r="W429" s="102" t="n"/>
      <c r="X429" s="102" t="n"/>
      <c r="Y429" s="102" t="n"/>
      <c r="Z429" s="102" t="n"/>
      <c r="AA429" s="102" t="n"/>
      <c r="AB429" s="102" t="n"/>
      <c r="AC429" s="102" t="n"/>
      <c r="AD429" s="102" t="n"/>
    </row>
    <row r="430" ht="15.75" customHeight="1" s="205">
      <c r="A430" s="102" t="n"/>
      <c r="B430" s="147" t="n"/>
      <c r="C430" s="144" t="n"/>
      <c r="D430" s="144" t="n"/>
      <c r="E430" s="144" t="n"/>
      <c r="F430" s="144" t="n"/>
      <c r="G430" s="144" t="n"/>
      <c r="H430" s="141">
        <f>IF(K430&lt;&gt;"", HYPERLINK("https://chatgpt.com/?prompt=" &amp; SUBSTITUTE(SUBSTITUTE(K430, " ", "+"), "&amp;", "dan") &amp; "&amp;force-refresh=true&amp;timestamp=" &amp; TEXT(NOW(), "yyyymmddhhmmss"), "👉 Klik untuk Generate Script! 🔥"), "")</f>
        <v/>
      </c>
      <c r="I430" s="144" t="n"/>
      <c r="J430" s="148" t="n"/>
      <c r="K430" s="140">
        <f>IF(AND(B430&lt;&gt;"", C430&lt;&gt;"", D430&lt;&gt;"", E430&lt;&gt;"", F430&lt;&gt;"", G430&lt;&gt;"", J430&lt;&gt;"", 'CONTENT PILLAR MAPPING'!C332&lt;&gt;"", 'CONTENT PILLAR MAPPING'!E332&lt;&gt;"", 'CONTENT PILLAR MAPPING'!F332&lt;&gt;"", 'CONTENT PILLAR MAPPING'!C335&lt;&gt;"", 'CONTENT PILLAR MAPPING'!C340&lt;&gt;"", 'CONTENT PILLAR MAPPING'!D340&lt;&gt;"", 'CONTENT PILLAR MAPPING'!E340&lt;&gt;"", 'CONTENT PILLAR MAPPING'!D348&lt;&gt;"", 'CONTENT PILLAR MAPPING'!D349&lt;&gt;""),
CONCATENATE(
"Sebagai seorang top konten kreator dengan niche utama '", 'CONTENT PILLAR MAPPING'!C332, "', spesifik kategori '", 'CONTENT PILLAR MAPPING'!E332, "', dan super spesifik '", 'CONTENT PILLAR MAPPING'!F332, "', yang dikenal sebagai '", 'CONTENT PILLAR MAPPING'!C335, "'.", CHAR(10),
"Saya memiliki Tone of Voice: '", 'CONTENT PILLAR MAPPING'!C340, "', Brand Archetype: '", 'CONTENT PILLAR MAPPING'!D340, "', dan Deskripsi Gaya Komunikasi: '", 'CONTENT PILLAR MAPPING'!E340, "'.", CHAR(10),
"Target audiens saya adalah: '", 'CONTENT PILLAR MAPPING'!D348, "', dengan segmentasi audiens: '", 'CONTENT PILLAR MAPPING'!D349, "'.", CHAR(10), CHAR(10),
"Mohon buatkan script konten yang **sangat powerful, menarik, inovatif, dan siap pakai** dengan judul ide '", B430, "'.", CHAR(10),
"Konten ini memiliki pilar '", C430, "', nilai tambah utama '", F430, "', dan akan menggunakan storytelling framework '", G430, "'.", CHAR(10),
"Gambaran singkat ide kontennya adalah: '", J430, "'.", CHAR(10),
"Konten ini akan diunggah di platform '", E430, "' dengan format '", D430,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MAPPING'!C335, "'.** Sesuaikan dengan gaya komunikasi saya, dengan fokus pada nilai tambah '", F430,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MAPPING'!D348, ", khusus ", 'CONTENT PILLAR MAPPING'!D349, ") dan membantu mereka menyelesaikan masalah atau mencapai tujuan mereka.", CHAR(10),
"✔ Membantuku membangun personal branding yang kuat dan sustainable, sesuai dengan Positioning saya sebagai '", 'CONTENT PILLAR MAPPING'!C335, "' dan Brand Archetype '", 'CONTENT PILLAR MAPPING'!D340, "'.", CHAR(10),
"✔ Kemas dalam bentuk tabel agar rapi, mudah di baca dan dipahami, dengan kolom 'Judul Konten', 'Pilar', 'Format', 'Draft Script', 'CTA', 'Saran Visual', dan 'Full Caption'. (Kosongkan kolom Link Prompt jika ada)."
),
"")</f>
        <v/>
      </c>
      <c r="L430" s="199" t="n"/>
      <c r="M430" s="199" t="n"/>
      <c r="N430" s="102" t="n"/>
      <c r="O430" s="102" t="n"/>
      <c r="P430" s="102" t="n"/>
      <c r="Q430" s="102" t="n"/>
      <c r="R430" s="102" t="n"/>
      <c r="S430" s="102" t="n"/>
      <c r="T430" s="102" t="n"/>
      <c r="U430" s="102" t="n"/>
      <c r="V430" s="102" t="n"/>
      <c r="W430" s="102" t="n"/>
      <c r="X430" s="102" t="n"/>
      <c r="Y430" s="102" t="n"/>
      <c r="Z430" s="102" t="n"/>
      <c r="AA430" s="102" t="n"/>
      <c r="AB430" s="102" t="n"/>
      <c r="AC430" s="102" t="n"/>
      <c r="AD430" s="102" t="n"/>
    </row>
    <row r="431" ht="15.75" customHeight="1" s="205">
      <c r="A431" s="102" t="n"/>
      <c r="B431" s="142" t="n"/>
      <c r="C431" s="143" t="n"/>
      <c r="D431" s="143" t="n"/>
      <c r="E431" s="143" t="n"/>
      <c r="F431" s="143" t="n"/>
      <c r="G431" s="144" t="n"/>
      <c r="H431" s="145">
        <f>IF(K431&lt;&gt;"", HYPERLINK("https://chatgpt.com/?prompt=" &amp; SUBSTITUTE(SUBSTITUTE(K431, " ", "+"), "&amp;", "dan") &amp; "&amp;force-refresh=true&amp;timestamp=" &amp; TEXT(NOW(), "yyyymmddhhmmss"), "👉 Klik untuk Generate Script! 🔥"), "")</f>
        <v/>
      </c>
      <c r="I431" s="143" t="n"/>
      <c r="J431" s="146" t="n"/>
      <c r="K431" s="130">
        <f>IF(AND(B431&lt;&gt;"", C431&lt;&gt;"", D431&lt;&gt;"", E431&lt;&gt;"", F431&lt;&gt;"", G431&lt;&gt;"", J431&lt;&gt;"", 'CONTENT PILLAR MAPPING'!C334&lt;&gt;"", 'CONTENT PILLAR MAPPING'!E334&lt;&gt;"", 'CONTENT PILLAR MAPPING'!F334&lt;&gt;"", 'CONTENT PILLAR MAPPING'!C337&lt;&gt;"", 'CONTENT PILLAR MAPPING'!C342&lt;&gt;"", 'CONTENT PILLAR MAPPING'!D342&lt;&gt;"", 'CONTENT PILLAR MAPPING'!E342&lt;&gt;"", 'CONTENT PILLAR MAPPING'!D350&lt;&gt;"", 'CONTENT PILLAR MAPPING'!D351&lt;&gt;""),
CONCATENATE(
"Sebagai seorang top konten kreator dengan niche utama '", 'CONTENT PILLAR MAPPING'!C334, "', spesifik kategori '", 'CONTENT PILLAR MAPPING'!E334, "', dan super spesifik '", 'CONTENT PILLAR MAPPING'!F334, "', yang dikenal sebagai '", 'CONTENT PILLAR MAPPING'!C337, "'.", CHAR(10),
"Saya memiliki Tone of Voice: '", 'CONTENT PILLAR MAPPING'!C342, "', Brand Archetype: '", 'CONTENT PILLAR MAPPING'!D342, "', dan Deskripsi Gaya Komunikasi: '", 'CONTENT PILLAR MAPPING'!E342, "'.", CHAR(10),
"Target audiens saya adalah: '", 'CONTENT PILLAR MAPPING'!D350, "', dengan segmentasi audiens: '", 'CONTENT PILLAR MAPPING'!D351, "'.", CHAR(10), CHAR(10),
"Mohon buatkan script konten yang **sangat powerful, menarik, inovatif, dan siap pakai** dengan judul ide '", B431, "'.", CHAR(10),
"Konten ini memiliki pilar '", C431, "', nilai tambah utama '", F431, "', dan akan menggunakan storytelling framework '", G431, "'.", CHAR(10),
"Gambaran singkat ide kontennya adalah: '", J431, "'.", CHAR(10),
"Konten ini akan diunggah di platform '", E431, "' dengan format '", D431,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MAPPING'!C337, "'.** Sesuaikan dengan gaya komunikasi saya, dengan fokus pada nilai tambah '", F431,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MAPPING'!D350, ", khusus ", 'CONTENT PILLAR MAPPING'!D351, ") dan membantu mereka menyelesaikan masalah atau mencapai tujuan mereka.", CHAR(10),
"✔ Membantuku membangun personal branding yang kuat dan sustainable, sesuai dengan Positioning saya sebagai '", 'CONTENT PILLAR MAPPING'!C337, "' dan Brand Archetype '", 'CONTENT PILLAR MAPPING'!D342, "'.", CHAR(10),
"✔ Kemas dalam bentuk tabel agar rapi, mudah di baca dan dipahami, dengan kolom 'Judul Konten', 'Pilar', 'Format', 'Draft Script', 'CTA', 'Saran Visual', dan 'Full Caption'. (Kosongkan kolom Link Prompt jika ada)."
),
"")</f>
        <v/>
      </c>
      <c r="L431" s="91" t="n"/>
      <c r="M431" s="91" t="n"/>
      <c r="N431" s="102" t="n"/>
      <c r="O431" s="102" t="n"/>
      <c r="P431" s="102" t="n"/>
      <c r="Q431" s="102" t="n"/>
      <c r="R431" s="102" t="n"/>
      <c r="S431" s="102" t="n"/>
      <c r="T431" s="102" t="n"/>
      <c r="U431" s="102" t="n"/>
      <c r="V431" s="102" t="n"/>
      <c r="W431" s="102" t="n"/>
      <c r="X431" s="102" t="n"/>
      <c r="Y431" s="102" t="n"/>
      <c r="Z431" s="102" t="n"/>
      <c r="AA431" s="102" t="n"/>
      <c r="AB431" s="102" t="n"/>
      <c r="AC431" s="102" t="n"/>
      <c r="AD431" s="102" t="n"/>
    </row>
    <row r="432" ht="15.75" customHeight="1" s="205">
      <c r="A432" s="102" t="n"/>
      <c r="B432" s="147" t="n"/>
      <c r="C432" s="144" t="n"/>
      <c r="D432" s="144" t="n"/>
      <c r="E432" s="144" t="n"/>
      <c r="F432" s="144" t="n"/>
      <c r="G432" s="144" t="n"/>
      <c r="H432" s="141">
        <f>IF(K432&lt;&gt;"", HYPERLINK("https://chatgpt.com/?prompt=" &amp; SUBSTITUTE(SUBSTITUTE(K432, " ", "+"), "&amp;", "dan") &amp; "&amp;force-refresh=true&amp;timestamp=" &amp; TEXT(NOW(), "yyyymmddhhmmss"), "👉 Klik untuk Generate Script! 🔥"), "")</f>
        <v/>
      </c>
      <c r="I432" s="144" t="n"/>
      <c r="J432" s="148" t="n"/>
      <c r="K432" s="140">
        <f>IF(AND(B432&lt;&gt;"", C432&lt;&gt;"", D432&lt;&gt;"", E432&lt;&gt;"", F432&lt;&gt;"", G432&lt;&gt;"", J432&lt;&gt;"", 'CONTENT PILLAR MAPPING'!C334&lt;&gt;"", 'CONTENT PILLAR MAPPING'!E334&lt;&gt;"", 'CONTENT PILLAR MAPPING'!F334&lt;&gt;"", 'CONTENT PILLAR MAPPING'!C337&lt;&gt;"", 'CONTENT PILLAR MAPPING'!C342&lt;&gt;"", 'CONTENT PILLAR MAPPING'!D342&lt;&gt;"", 'CONTENT PILLAR MAPPING'!E342&lt;&gt;"", 'CONTENT PILLAR MAPPING'!D350&lt;&gt;"", 'CONTENT PILLAR MAPPING'!D351&lt;&gt;""),
CONCATENATE(
"Sebagai seorang top konten kreator dengan niche utama '", 'CONTENT PILLAR MAPPING'!C334, "', spesifik kategori '", 'CONTENT PILLAR MAPPING'!E334, "', dan super spesifik '", 'CONTENT PILLAR MAPPING'!F334, "', yang dikenal sebagai '", 'CONTENT PILLAR MAPPING'!C337, "'.", CHAR(10),
"Saya memiliki Tone of Voice: '", 'CONTENT PILLAR MAPPING'!C342, "', Brand Archetype: '", 'CONTENT PILLAR MAPPING'!D342, "', dan Deskripsi Gaya Komunikasi: '", 'CONTENT PILLAR MAPPING'!E342, "'.", CHAR(10),
"Target audiens saya adalah: '", 'CONTENT PILLAR MAPPING'!D350, "', dengan segmentasi audiens: '", 'CONTENT PILLAR MAPPING'!D351, "'.", CHAR(10), CHAR(10),
"Mohon buatkan script konten yang **sangat powerful, menarik, inovatif, dan siap pakai** dengan judul ide '", B432, "'.", CHAR(10),
"Konten ini memiliki pilar '", C432, "', nilai tambah utama '", F432, "', dan akan menggunakan storytelling framework '", G432, "'.", CHAR(10),
"Gambaran singkat ide kontennya adalah: '", J432, "'.", CHAR(10),
"Konten ini akan diunggah di platform '", E432, "' dengan format '", D432,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MAPPING'!C337, "'.** Sesuaikan dengan gaya komunikasi saya, dengan fokus pada nilai tambah '", F432,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MAPPING'!D350, ", khusus ", 'CONTENT PILLAR MAPPING'!D351, ") dan membantu mereka menyelesaikan masalah atau mencapai tujuan mereka.", CHAR(10),
"✔ Membantuku membangun personal branding yang kuat dan sustainable, sesuai dengan Positioning saya sebagai '", 'CONTENT PILLAR MAPPING'!C337, "' dan Brand Archetype '", 'CONTENT PILLAR MAPPING'!D342, "'.", CHAR(10),
"✔ Kemas dalam bentuk tabel agar rapi, mudah di baca dan dipahami, dengan kolom 'Judul Konten', 'Pilar', 'Format', 'Draft Script', 'CTA', 'Saran Visual', dan 'Full Caption'. (Kosongkan kolom Link Prompt jika ada)."
),
"")</f>
        <v/>
      </c>
      <c r="L432" s="199" t="n"/>
      <c r="M432" s="199" t="n"/>
      <c r="N432" s="102" t="n"/>
      <c r="O432" s="102" t="n"/>
      <c r="P432" s="102" t="n"/>
      <c r="Q432" s="102" t="n"/>
      <c r="R432" s="102" t="n"/>
      <c r="S432" s="102" t="n"/>
      <c r="T432" s="102" t="n"/>
      <c r="U432" s="102" t="n"/>
      <c r="V432" s="102" t="n"/>
      <c r="W432" s="102" t="n"/>
      <c r="X432" s="102" t="n"/>
      <c r="Y432" s="102" t="n"/>
      <c r="Z432" s="102" t="n"/>
      <c r="AA432" s="102" t="n"/>
      <c r="AB432" s="102" t="n"/>
      <c r="AC432" s="102" t="n"/>
      <c r="AD432" s="102" t="n"/>
    </row>
    <row r="433" ht="15.75" customHeight="1" s="205">
      <c r="A433" s="102" t="n"/>
      <c r="B433" s="142" t="n"/>
      <c r="C433" s="143" t="n"/>
      <c r="D433" s="143" t="n"/>
      <c r="E433" s="143" t="n"/>
      <c r="F433" s="143" t="n"/>
      <c r="G433" s="144" t="n"/>
      <c r="H433" s="145">
        <f>IF(K433&lt;&gt;"", HYPERLINK("https://chatgpt.com/?prompt=" &amp; SUBSTITUTE(SUBSTITUTE(K433, " ", "+"), "&amp;", "dan") &amp; "&amp;force-refresh=true&amp;timestamp=" &amp; TEXT(NOW(), "yyyymmddhhmmss"), "👉 Klik untuk Generate Script! 🔥"), "")</f>
        <v/>
      </c>
      <c r="I433" s="143" t="n"/>
      <c r="J433" s="146" t="n"/>
      <c r="K433" s="130">
        <f>IF(AND(B433&lt;&gt;"", C433&lt;&gt;"", D433&lt;&gt;"", E433&lt;&gt;"", F433&lt;&gt;"", G433&lt;&gt;"", J433&lt;&gt;"", 'CONTENT PILLAR MAPPING'!C336&lt;&gt;"", 'CONTENT PILLAR MAPPING'!E336&lt;&gt;"", 'CONTENT PILLAR MAPPING'!F336&lt;&gt;"", 'CONTENT PILLAR MAPPING'!C339&lt;&gt;"", 'CONTENT PILLAR MAPPING'!C344&lt;&gt;"", 'CONTENT PILLAR MAPPING'!D344&lt;&gt;"", 'CONTENT PILLAR MAPPING'!E344&lt;&gt;"", 'CONTENT PILLAR MAPPING'!D352&lt;&gt;"", 'CONTENT PILLAR MAPPING'!D353&lt;&gt;""),
CONCATENATE(
"Sebagai seorang top konten kreator dengan niche utama '", 'CONTENT PILLAR MAPPING'!C336, "', spesifik kategori '", 'CONTENT PILLAR MAPPING'!E336, "', dan super spesifik '", 'CONTENT PILLAR MAPPING'!F336, "', yang dikenal sebagai '", 'CONTENT PILLAR MAPPING'!C339, "'.", CHAR(10),
"Saya memiliki Tone of Voice: '", 'CONTENT PILLAR MAPPING'!C344, "', Brand Archetype: '", 'CONTENT PILLAR MAPPING'!D344, "', dan Deskripsi Gaya Komunikasi: '", 'CONTENT PILLAR MAPPING'!E344, "'.", CHAR(10),
"Target audiens saya adalah: '", 'CONTENT PILLAR MAPPING'!D352, "', dengan segmentasi audiens: '", 'CONTENT PILLAR MAPPING'!D353, "'.", CHAR(10), CHAR(10),
"Mohon buatkan script konten yang **sangat powerful, menarik, inovatif, dan siap pakai** dengan judul ide '", B433, "'.", CHAR(10),
"Konten ini memiliki pilar '", C433, "', nilai tambah utama '", F433, "', dan akan menggunakan storytelling framework '", G433, "'.", CHAR(10),
"Gambaran singkat ide kontennya adalah: '", J433, "'.", CHAR(10),
"Konten ini akan diunggah di platform '", E433, "' dengan format '", D433,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MAPPING'!C339, "'.** Sesuaikan dengan gaya komunikasi saya, dengan fokus pada nilai tambah '", F433,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MAPPING'!D352, ", khusus ", 'CONTENT PILLAR MAPPING'!D353, ") dan membantu mereka menyelesaikan masalah atau mencapai tujuan mereka.", CHAR(10),
"✔ Membantuku membangun personal branding yang kuat dan sustainable, sesuai dengan Positioning saya sebagai '", 'CONTENT PILLAR MAPPING'!C339, "' dan Brand Archetype '", 'CONTENT PILLAR MAPPING'!D344, "'.", CHAR(10),
"✔ Kemas dalam bentuk tabel agar rapi, mudah di baca dan dipahami, dengan kolom 'Judul Konten', 'Pilar', 'Format', 'Draft Script', 'CTA', 'Saran Visual', dan 'Full Caption'. (Kosongkan kolom Link Prompt jika ada)."
),
"")</f>
        <v/>
      </c>
      <c r="L433" s="91" t="n"/>
      <c r="M433" s="91" t="n"/>
      <c r="N433" s="102" t="n"/>
      <c r="O433" s="102" t="n"/>
      <c r="P433" s="102" t="n"/>
      <c r="Q433" s="102" t="n"/>
      <c r="R433" s="102" t="n"/>
      <c r="S433" s="102" t="n"/>
      <c r="T433" s="102" t="n"/>
      <c r="U433" s="102" t="n"/>
      <c r="V433" s="102" t="n"/>
      <c r="W433" s="102" t="n"/>
      <c r="X433" s="102" t="n"/>
      <c r="Y433" s="102" t="n"/>
      <c r="Z433" s="102" t="n"/>
      <c r="AA433" s="102" t="n"/>
      <c r="AB433" s="102" t="n"/>
      <c r="AC433" s="102" t="n"/>
      <c r="AD433" s="102" t="n"/>
    </row>
    <row r="434" ht="15.75" customHeight="1" s="205">
      <c r="A434" s="102" t="n"/>
      <c r="B434" s="147" t="n"/>
      <c r="C434" s="144" t="n"/>
      <c r="D434" s="144" t="n"/>
      <c r="E434" s="144" t="n"/>
      <c r="F434" s="144" t="n"/>
      <c r="G434" s="144" t="n"/>
      <c r="H434" s="141">
        <f>IF(K434&lt;&gt;"", HYPERLINK("https://chatgpt.com/?prompt=" &amp; SUBSTITUTE(SUBSTITUTE(K434, " ", "+"), "&amp;", "dan") &amp; "&amp;force-refresh=true&amp;timestamp=" &amp; TEXT(NOW(), "yyyymmddhhmmss"), "👉 Klik untuk Generate Script! 🔥"), "")</f>
        <v/>
      </c>
      <c r="I434" s="144" t="n"/>
      <c r="J434" s="148" t="n"/>
      <c r="K434" s="140">
        <f>IF(AND(B434&lt;&gt;"", C434&lt;&gt;"", D434&lt;&gt;"", E434&lt;&gt;"", F434&lt;&gt;"", G434&lt;&gt;"", J434&lt;&gt;"", 'CONTENT PILLAR MAPPING'!C336&lt;&gt;"", 'CONTENT PILLAR MAPPING'!E336&lt;&gt;"", 'CONTENT PILLAR MAPPING'!F336&lt;&gt;"", 'CONTENT PILLAR MAPPING'!C339&lt;&gt;"", 'CONTENT PILLAR MAPPING'!C344&lt;&gt;"", 'CONTENT PILLAR MAPPING'!D344&lt;&gt;"", 'CONTENT PILLAR MAPPING'!E344&lt;&gt;"", 'CONTENT PILLAR MAPPING'!D352&lt;&gt;"", 'CONTENT PILLAR MAPPING'!D353&lt;&gt;""),
CONCATENATE(
"Sebagai seorang top konten kreator dengan niche utama '", 'CONTENT PILLAR MAPPING'!C336, "', spesifik kategori '", 'CONTENT PILLAR MAPPING'!E336, "', dan super spesifik '", 'CONTENT PILLAR MAPPING'!F336, "', yang dikenal sebagai '", 'CONTENT PILLAR MAPPING'!C339, "'.", CHAR(10),
"Saya memiliki Tone of Voice: '", 'CONTENT PILLAR MAPPING'!C344, "', Brand Archetype: '", 'CONTENT PILLAR MAPPING'!D344, "', dan Deskripsi Gaya Komunikasi: '", 'CONTENT PILLAR MAPPING'!E344, "'.", CHAR(10),
"Target audiens saya adalah: '", 'CONTENT PILLAR MAPPING'!D352, "', dengan segmentasi audiens: '", 'CONTENT PILLAR MAPPING'!D353, "'.", CHAR(10), CHAR(10),
"Mohon buatkan script konten yang **sangat powerful, menarik, inovatif, dan siap pakai** dengan judul ide '", B434, "'.", CHAR(10),
"Konten ini memiliki pilar '", C434, "', nilai tambah utama '", F434, "', dan akan menggunakan storytelling framework '", G434, "'.", CHAR(10),
"Gambaran singkat ide kontennya adalah: '", J434, "'.", CHAR(10),
"Konten ini akan diunggah di platform '", E434, "' dengan format '", D434,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MAPPING'!C339, "'.** Sesuaikan dengan gaya komunikasi saya, dengan fokus pada nilai tambah '", F434,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MAPPING'!D352, ", khusus ", 'CONTENT PILLAR MAPPING'!D353, ") dan membantu mereka menyelesaikan masalah atau mencapai tujuan mereka.", CHAR(10),
"✔ Membantuku membangun personal branding yang kuat dan sustainable, sesuai dengan Positioning saya sebagai '", 'CONTENT PILLAR MAPPING'!C339, "' dan Brand Archetype '", 'CONTENT PILLAR MAPPING'!D344, "'.", CHAR(10),
"✔ Kemas dalam bentuk tabel agar rapi, mudah di baca dan dipahami, dengan kolom 'Judul Konten', 'Pilar', 'Format', 'Draft Script', 'CTA', 'Saran Visual', dan 'Full Caption'. (Kosongkan kolom Link Prompt jika ada)."
),
"")</f>
        <v/>
      </c>
      <c r="L434" s="199" t="n"/>
      <c r="M434" s="199" t="n"/>
      <c r="N434" s="102" t="n"/>
      <c r="O434" s="102" t="n"/>
      <c r="P434" s="102" t="n"/>
      <c r="Q434" s="102" t="n"/>
      <c r="R434" s="102" t="n"/>
      <c r="S434" s="102" t="n"/>
      <c r="T434" s="102" t="n"/>
      <c r="U434" s="102" t="n"/>
      <c r="V434" s="102" t="n"/>
      <c r="W434" s="102" t="n"/>
      <c r="X434" s="102" t="n"/>
      <c r="Y434" s="102" t="n"/>
      <c r="Z434" s="102" t="n"/>
      <c r="AA434" s="102" t="n"/>
      <c r="AB434" s="102" t="n"/>
      <c r="AC434" s="102" t="n"/>
      <c r="AD434" s="102" t="n"/>
    </row>
    <row r="435" ht="15.75" customHeight="1" s="205">
      <c r="A435" s="102" t="n"/>
      <c r="B435" s="142" t="n"/>
      <c r="C435" s="143" t="n"/>
      <c r="D435" s="143" t="n"/>
      <c r="E435" s="143" t="n"/>
      <c r="F435" s="143" t="n"/>
      <c r="G435" s="144" t="n"/>
      <c r="H435" s="145">
        <f>IF(K435&lt;&gt;"", HYPERLINK("https://chatgpt.com/?prompt=" &amp; SUBSTITUTE(SUBSTITUTE(K435, " ", "+"), "&amp;", "dan") &amp; "&amp;force-refresh=true&amp;timestamp=" &amp; TEXT(NOW(), "yyyymmddhhmmss"), "👉 Klik untuk Generate Script! 🔥"), "")</f>
        <v/>
      </c>
      <c r="I435" s="143" t="n"/>
      <c r="J435" s="146" t="n"/>
      <c r="K435" s="130">
        <f>IF(AND(B435&lt;&gt;"", C435&lt;&gt;"", D435&lt;&gt;"", E435&lt;&gt;"", F435&lt;&gt;"", G435&lt;&gt;"", J435&lt;&gt;"", 'CONTENT PILLAR MAPPING'!C338&lt;&gt;"", 'CONTENT PILLAR MAPPING'!E338&lt;&gt;"", 'CONTENT PILLAR MAPPING'!F338&lt;&gt;"", 'CONTENT PILLAR MAPPING'!C341&lt;&gt;"", 'CONTENT PILLAR MAPPING'!C346&lt;&gt;"", 'CONTENT PILLAR MAPPING'!D346&lt;&gt;"", 'CONTENT PILLAR MAPPING'!E346&lt;&gt;"", 'CONTENT PILLAR MAPPING'!D354&lt;&gt;"", 'CONTENT PILLAR MAPPING'!D355&lt;&gt;""),
CONCATENATE(
"Sebagai seorang top konten kreator dengan niche utama '", 'CONTENT PILLAR MAPPING'!C338, "', spesifik kategori '", 'CONTENT PILLAR MAPPING'!E338, "', dan super spesifik '", 'CONTENT PILLAR MAPPING'!F338, "', yang dikenal sebagai '", 'CONTENT PILLAR MAPPING'!C341, "'.", CHAR(10),
"Saya memiliki Tone of Voice: '", 'CONTENT PILLAR MAPPING'!C346, "', Brand Archetype: '", 'CONTENT PILLAR MAPPING'!D346, "', dan Deskripsi Gaya Komunikasi: '", 'CONTENT PILLAR MAPPING'!E346, "'.", CHAR(10),
"Target audiens saya adalah: '", 'CONTENT PILLAR MAPPING'!D354, "', dengan segmentasi audiens: '", 'CONTENT PILLAR MAPPING'!D355, "'.", CHAR(10), CHAR(10),
"Mohon buatkan script konten yang **sangat powerful, menarik, inovatif, dan siap pakai** dengan judul ide '", B435, "'.", CHAR(10),
"Konten ini memiliki pilar '", C435, "', nilai tambah utama '", F435, "', dan akan menggunakan storytelling framework '", G435, "'.", CHAR(10),
"Gambaran singkat ide kontennya adalah: '", J435, "'.", CHAR(10),
"Konten ini akan diunggah di platform '", E435, "' dengan format '", D435,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MAPPING'!C341, "'.** Sesuaikan dengan gaya komunikasi saya, dengan fokus pada nilai tambah '", F435,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MAPPING'!D354, ", khusus ", 'CONTENT PILLAR MAPPING'!D355, ") dan membantu mereka menyelesaikan masalah atau mencapai tujuan mereka.", CHAR(10),
"✔ Membantuku membangun personal branding yang kuat dan sustainable, sesuai dengan Positioning saya sebagai '", 'CONTENT PILLAR MAPPING'!C341, "' dan Brand Archetype '", 'CONTENT PILLAR MAPPING'!D346, "'.", CHAR(10),
"✔ Kemas dalam bentuk tabel agar rapi, mudah di baca dan dipahami, dengan kolom 'Judul Konten', 'Pilar', 'Format', 'Draft Script', 'CTA', 'Saran Visual', dan 'Full Caption'. (Kosongkan kolom Link Prompt jika ada)."
),
"")</f>
        <v/>
      </c>
      <c r="L435" s="91" t="n"/>
      <c r="M435" s="91" t="n"/>
      <c r="N435" s="102" t="n"/>
      <c r="O435" s="102" t="n"/>
      <c r="P435" s="102" t="n"/>
      <c r="Q435" s="102" t="n"/>
      <c r="R435" s="102" t="n"/>
      <c r="S435" s="102" t="n"/>
      <c r="T435" s="102" t="n"/>
      <c r="U435" s="102" t="n"/>
      <c r="V435" s="102" t="n"/>
      <c r="W435" s="102" t="n"/>
      <c r="X435" s="102" t="n"/>
      <c r="Y435" s="102" t="n"/>
      <c r="Z435" s="102" t="n"/>
      <c r="AA435" s="102" t="n"/>
      <c r="AB435" s="102" t="n"/>
      <c r="AC435" s="102" t="n"/>
      <c r="AD435" s="102" t="n"/>
    </row>
    <row r="436" ht="15.75" customHeight="1" s="205">
      <c r="A436" s="102" t="n"/>
      <c r="B436" s="147" t="n"/>
      <c r="C436" s="144" t="n"/>
      <c r="D436" s="144" t="n"/>
      <c r="E436" s="144" t="n"/>
      <c r="F436" s="144" t="n"/>
      <c r="G436" s="144" t="n"/>
      <c r="H436" s="141">
        <f>IF(K436&lt;&gt;"", HYPERLINK("https://chatgpt.com/?prompt=" &amp; SUBSTITUTE(SUBSTITUTE(K436, " ", "+"), "&amp;", "dan") &amp; "&amp;force-refresh=true&amp;timestamp=" &amp; TEXT(NOW(), "yyyymmddhhmmss"), "👉 Klik untuk Generate Script! 🔥"), "")</f>
        <v/>
      </c>
      <c r="I436" s="144" t="n"/>
      <c r="J436" s="148" t="n"/>
      <c r="K436" s="140">
        <f>IF(AND(B436&lt;&gt;"", C436&lt;&gt;"", D436&lt;&gt;"", E436&lt;&gt;"", F436&lt;&gt;"", G436&lt;&gt;"", J436&lt;&gt;"", 'CONTENT PILLAR MAPPING'!C338&lt;&gt;"", 'CONTENT PILLAR MAPPING'!E338&lt;&gt;"", 'CONTENT PILLAR MAPPING'!F338&lt;&gt;"", 'CONTENT PILLAR MAPPING'!C341&lt;&gt;"", 'CONTENT PILLAR MAPPING'!C346&lt;&gt;"", 'CONTENT PILLAR MAPPING'!D346&lt;&gt;"", 'CONTENT PILLAR MAPPING'!E346&lt;&gt;"", 'CONTENT PILLAR MAPPING'!D354&lt;&gt;"", 'CONTENT PILLAR MAPPING'!D355&lt;&gt;""),
CONCATENATE(
"Sebagai seorang top konten kreator dengan niche utama '", 'CONTENT PILLAR MAPPING'!C338, "', spesifik kategori '", 'CONTENT PILLAR MAPPING'!E338, "', dan super spesifik '", 'CONTENT PILLAR MAPPING'!F338, "', yang dikenal sebagai '", 'CONTENT PILLAR MAPPING'!C341, "'.", CHAR(10),
"Saya memiliki Tone of Voice: '", 'CONTENT PILLAR MAPPING'!C346, "', Brand Archetype: '", 'CONTENT PILLAR MAPPING'!D346, "', dan Deskripsi Gaya Komunikasi: '", 'CONTENT PILLAR MAPPING'!E346, "'.", CHAR(10),
"Target audiens saya adalah: '", 'CONTENT PILLAR MAPPING'!D354, "', dengan segmentasi audiens: '", 'CONTENT PILLAR MAPPING'!D355, "'.", CHAR(10), CHAR(10),
"Mohon buatkan script konten yang **sangat powerful, menarik, inovatif, dan siap pakai** dengan judul ide '", B436, "'.", CHAR(10),
"Konten ini memiliki pilar '", C436, "', nilai tambah utama '", F436, "', dan akan menggunakan storytelling framework '", G436, "'.", CHAR(10),
"Gambaran singkat ide kontennya adalah: '", J436, "'.", CHAR(10),
"Konten ini akan diunggah di platform '", E436, "' dengan format '", D436,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MAPPING'!C341, "'.** Sesuaikan dengan gaya komunikasi saya, dengan fokus pada nilai tambah '", F436,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MAPPING'!D354, ", khusus ", 'CONTENT PILLAR MAPPING'!D355, ") dan membantu mereka menyelesaikan masalah atau mencapai tujuan mereka.", CHAR(10),
"✔ Membantuku membangun personal branding yang kuat dan sustainable, sesuai dengan Positioning saya sebagai '", 'CONTENT PILLAR MAPPING'!C341, "' dan Brand Archetype '", 'CONTENT PILLAR MAPPING'!D346, "'.", CHAR(10),
"✔ Kemas dalam bentuk tabel agar rapi, mudah di baca dan dipahami, dengan kolom 'Judul Konten', 'Pilar', 'Format', 'Draft Script', 'CTA', 'Saran Visual', dan 'Full Caption'. (Kosongkan kolom Link Prompt jika ada)."
),
"")</f>
        <v/>
      </c>
      <c r="L436" s="199" t="n"/>
      <c r="M436" s="199" t="n"/>
      <c r="N436" s="102" t="n"/>
      <c r="O436" s="102" t="n"/>
      <c r="P436" s="102" t="n"/>
      <c r="Q436" s="102" t="n"/>
      <c r="R436" s="102" t="n"/>
      <c r="S436" s="102" t="n"/>
      <c r="T436" s="102" t="n"/>
      <c r="U436" s="102" t="n"/>
      <c r="V436" s="102" t="n"/>
      <c r="W436" s="102" t="n"/>
      <c r="X436" s="102" t="n"/>
      <c r="Y436" s="102" t="n"/>
      <c r="Z436" s="102" t="n"/>
      <c r="AA436" s="102" t="n"/>
      <c r="AB436" s="102" t="n"/>
      <c r="AC436" s="102" t="n"/>
      <c r="AD436" s="102" t="n"/>
    </row>
    <row r="437" ht="15.75" customHeight="1" s="205">
      <c r="A437" s="102" t="n"/>
      <c r="B437" s="142" t="n"/>
      <c r="C437" s="143" t="n"/>
      <c r="D437" s="143" t="n"/>
      <c r="E437" s="143" t="n"/>
      <c r="F437" s="143" t="n"/>
      <c r="G437" s="144" t="n"/>
      <c r="H437" s="145">
        <f>IF(K437&lt;&gt;"", HYPERLINK("https://chatgpt.com/?prompt=" &amp; SUBSTITUTE(SUBSTITUTE(K437, " ", "+"), "&amp;", "dan") &amp; "&amp;force-refresh=true&amp;timestamp=" &amp; TEXT(NOW(), "yyyymmddhhmmss"), "👉 Klik untuk Generate Script! 🔥"), "")</f>
        <v/>
      </c>
      <c r="I437" s="143" t="n"/>
      <c r="J437" s="146" t="n"/>
      <c r="K437" s="130">
        <f>IF(AND(B437&lt;&gt;"", C437&lt;&gt;"", D437&lt;&gt;"", E437&lt;&gt;"", F437&lt;&gt;"", G437&lt;&gt;"", J437&lt;&gt;"", 'CONTENT PILLAR MAPPING'!C340&lt;&gt;"", 'CONTENT PILLAR MAPPING'!E340&lt;&gt;"", 'CONTENT PILLAR MAPPING'!F340&lt;&gt;"", 'CONTENT PILLAR MAPPING'!C343&lt;&gt;"", 'CONTENT PILLAR MAPPING'!C348&lt;&gt;"", 'CONTENT PILLAR MAPPING'!D348&lt;&gt;"", 'CONTENT PILLAR MAPPING'!E348&lt;&gt;"", 'CONTENT PILLAR MAPPING'!D356&lt;&gt;"", 'CONTENT PILLAR MAPPING'!D357&lt;&gt;""),
CONCATENATE(
"Sebagai seorang top konten kreator dengan niche utama '", 'CONTENT PILLAR MAPPING'!C340, "', spesifik kategori '", 'CONTENT PILLAR MAPPING'!E340, "', dan super spesifik '", 'CONTENT PILLAR MAPPING'!F340, "', yang dikenal sebagai '", 'CONTENT PILLAR MAPPING'!C343, "'.", CHAR(10),
"Saya memiliki Tone of Voice: '", 'CONTENT PILLAR MAPPING'!C348, "', Brand Archetype: '", 'CONTENT PILLAR MAPPING'!D348, "', dan Deskripsi Gaya Komunikasi: '", 'CONTENT PILLAR MAPPING'!E348, "'.", CHAR(10),
"Target audiens saya adalah: '", 'CONTENT PILLAR MAPPING'!D356, "', dengan segmentasi audiens: '", 'CONTENT PILLAR MAPPING'!D357, "'.", CHAR(10), CHAR(10),
"Mohon buatkan script konten yang **sangat powerful, menarik, inovatif, dan siap pakai** dengan judul ide '", B437, "'.", CHAR(10),
"Konten ini memiliki pilar '", C437, "', nilai tambah utama '", F437, "', dan akan menggunakan storytelling framework '", G437, "'.", CHAR(10),
"Gambaran singkat ide kontennya adalah: '", J437, "'.", CHAR(10),
"Konten ini akan diunggah di platform '", E437, "' dengan format '", D437,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MAPPING'!C343, "'.** Sesuaikan dengan gaya komunikasi saya, dengan fokus pada nilai tambah '", F437,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MAPPING'!D356, ", khusus ", 'CONTENT PILLAR MAPPING'!D357, ") dan membantu mereka menyelesaikan masalah atau mencapai tujuan mereka.", CHAR(10),
"✔ Membantuku membangun personal branding yang kuat dan sustainable, sesuai dengan Positioning saya sebagai '", 'CONTENT PILLAR MAPPING'!C343, "' dan Brand Archetype '", 'CONTENT PILLAR MAPPING'!D348, "'.", CHAR(10),
"✔ Kemas dalam bentuk tabel agar rapi, mudah di baca dan dipahami, dengan kolom 'Judul Konten', 'Pilar', 'Format', 'Draft Script', 'CTA', 'Saran Visual', dan 'Full Caption'. (Kosongkan kolom Link Prompt jika ada)."
),
"")</f>
        <v/>
      </c>
      <c r="L437" s="91" t="n"/>
      <c r="M437" s="91" t="n"/>
      <c r="N437" s="102" t="n"/>
      <c r="O437" s="102" t="n"/>
      <c r="P437" s="102" t="n"/>
      <c r="Q437" s="102" t="n"/>
      <c r="R437" s="102" t="n"/>
      <c r="S437" s="102" t="n"/>
      <c r="T437" s="102" t="n"/>
      <c r="U437" s="102" t="n"/>
      <c r="V437" s="102" t="n"/>
      <c r="W437" s="102" t="n"/>
      <c r="X437" s="102" t="n"/>
      <c r="Y437" s="102" t="n"/>
      <c r="Z437" s="102" t="n"/>
      <c r="AA437" s="102" t="n"/>
      <c r="AB437" s="102" t="n"/>
      <c r="AC437" s="102" t="n"/>
      <c r="AD437" s="102" t="n"/>
    </row>
    <row r="438" ht="15.75" customHeight="1" s="205">
      <c r="A438" s="102" t="n"/>
      <c r="B438" s="147" t="n"/>
      <c r="C438" s="144" t="n"/>
      <c r="D438" s="144" t="n"/>
      <c r="E438" s="144" t="n"/>
      <c r="F438" s="144" t="n"/>
      <c r="G438" s="144" t="n"/>
      <c r="H438" s="141">
        <f>IF(K438&lt;&gt;"", HYPERLINK("https://chatgpt.com/?prompt=" &amp; SUBSTITUTE(SUBSTITUTE(K438, " ", "+"), "&amp;", "dan") &amp; "&amp;force-refresh=true&amp;timestamp=" &amp; TEXT(NOW(), "yyyymmddhhmmss"), "👉 Klik untuk Generate Script! 🔥"), "")</f>
        <v/>
      </c>
      <c r="I438" s="144" t="n"/>
      <c r="J438" s="148" t="n"/>
      <c r="K438" s="140">
        <f>IF(AND(B438&lt;&gt;"", C438&lt;&gt;"", D438&lt;&gt;"", E438&lt;&gt;"", F438&lt;&gt;"", G438&lt;&gt;"", J438&lt;&gt;"", 'CONTENT PILLAR MAPPING'!C340&lt;&gt;"", 'CONTENT PILLAR MAPPING'!E340&lt;&gt;"", 'CONTENT PILLAR MAPPING'!F340&lt;&gt;"", 'CONTENT PILLAR MAPPING'!C343&lt;&gt;"", 'CONTENT PILLAR MAPPING'!C348&lt;&gt;"", 'CONTENT PILLAR MAPPING'!D348&lt;&gt;"", 'CONTENT PILLAR MAPPING'!E348&lt;&gt;"", 'CONTENT PILLAR MAPPING'!D356&lt;&gt;"", 'CONTENT PILLAR MAPPING'!D357&lt;&gt;""),
CONCATENATE(
"Sebagai seorang top konten kreator dengan niche utama '", 'CONTENT PILLAR MAPPING'!C340, "', spesifik kategori '", 'CONTENT PILLAR MAPPING'!E340, "', dan super spesifik '", 'CONTENT PILLAR MAPPING'!F340, "', yang dikenal sebagai '", 'CONTENT PILLAR MAPPING'!C343, "'.", CHAR(10),
"Saya memiliki Tone of Voice: '", 'CONTENT PILLAR MAPPING'!C348, "', Brand Archetype: '", 'CONTENT PILLAR MAPPING'!D348, "', dan Deskripsi Gaya Komunikasi: '", 'CONTENT PILLAR MAPPING'!E348, "'.", CHAR(10),
"Target audiens saya adalah: '", 'CONTENT PILLAR MAPPING'!D356, "', dengan segmentasi audiens: '", 'CONTENT PILLAR MAPPING'!D357, "'.", CHAR(10), CHAR(10),
"Mohon buatkan script konten yang **sangat powerful, menarik, inovatif, dan siap pakai** dengan judul ide '", B438, "'.", CHAR(10),
"Konten ini memiliki pilar '", C438, "', nilai tambah utama '", F438, "', dan akan menggunakan storytelling framework '", G438, "'.", CHAR(10),
"Gambaran singkat ide kontennya adalah: '", J438, "'.", CHAR(10),
"Konten ini akan diunggah di platform '", E438, "' dengan format '", D438,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MAPPING'!C343, "'.** Sesuaikan dengan gaya komunikasi saya, dengan fokus pada nilai tambah '", F438,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MAPPING'!D356, ", khusus ", 'CONTENT PILLAR MAPPING'!D357, ") dan membantu mereka menyelesaikan masalah atau mencapai tujuan mereka.", CHAR(10),
"✔ Membantuku membangun personal branding yang kuat dan sustainable, sesuai dengan Positioning saya sebagai '", 'CONTENT PILLAR MAPPING'!C343, "' dan Brand Archetype '", 'CONTENT PILLAR MAPPING'!D348, "'.", CHAR(10),
"✔ Kemas dalam bentuk tabel agar rapi, mudah di baca dan dipahami, dengan kolom 'Judul Konten', 'Pilar', 'Format', 'Draft Script', 'CTA', 'Saran Visual', dan 'Full Caption'. (Kosongkan kolom Link Prompt jika ada)."
),
"")</f>
        <v/>
      </c>
      <c r="L438" s="199" t="n"/>
      <c r="M438" s="199" t="n"/>
      <c r="N438" s="102" t="n"/>
      <c r="O438" s="102" t="n"/>
      <c r="P438" s="102" t="n"/>
      <c r="Q438" s="102" t="n"/>
      <c r="R438" s="102" t="n"/>
      <c r="S438" s="102" t="n"/>
      <c r="T438" s="102" t="n"/>
      <c r="U438" s="102" t="n"/>
      <c r="V438" s="102" t="n"/>
      <c r="W438" s="102" t="n"/>
      <c r="X438" s="102" t="n"/>
      <c r="Y438" s="102" t="n"/>
      <c r="Z438" s="102" t="n"/>
      <c r="AA438" s="102" t="n"/>
      <c r="AB438" s="102" t="n"/>
      <c r="AC438" s="102" t="n"/>
      <c r="AD438" s="102" t="n"/>
    </row>
    <row r="439" ht="15.75" customHeight="1" s="205">
      <c r="A439" s="102" t="n"/>
      <c r="B439" s="142" t="n"/>
      <c r="C439" s="143" t="n"/>
      <c r="D439" s="143" t="n"/>
      <c r="E439" s="143" t="n"/>
      <c r="F439" s="143" t="n"/>
      <c r="G439" s="144" t="n"/>
      <c r="H439" s="145">
        <f>IF(K439&lt;&gt;"", HYPERLINK("https://chatgpt.com/?prompt=" &amp; SUBSTITUTE(SUBSTITUTE(K439, " ", "+"), "&amp;", "dan") &amp; "&amp;force-refresh=true&amp;timestamp=" &amp; TEXT(NOW(), "yyyymmddhhmmss"), "👉 Klik untuk Generate Script! 🔥"), "")</f>
        <v/>
      </c>
      <c r="I439" s="143" t="n"/>
      <c r="J439" s="146" t="n"/>
      <c r="K439" s="130">
        <f>IF(AND(B439&lt;&gt;"", C439&lt;&gt;"", D439&lt;&gt;"", E439&lt;&gt;"", F439&lt;&gt;"", G439&lt;&gt;"", J439&lt;&gt;"", 'CONTENT PILLAR MAPPING'!C342&lt;&gt;"", 'CONTENT PILLAR MAPPING'!E342&lt;&gt;"", 'CONTENT PILLAR MAPPING'!F342&lt;&gt;"", 'CONTENT PILLAR MAPPING'!C345&lt;&gt;"", 'CONTENT PILLAR MAPPING'!C350&lt;&gt;"", 'CONTENT PILLAR MAPPING'!D350&lt;&gt;"", 'CONTENT PILLAR MAPPING'!E350&lt;&gt;"", 'CONTENT PILLAR MAPPING'!D358&lt;&gt;"", 'CONTENT PILLAR MAPPING'!D359&lt;&gt;""),
CONCATENATE(
"Sebagai seorang top konten kreator dengan niche utama '", 'CONTENT PILLAR MAPPING'!C342, "', spesifik kategori '", 'CONTENT PILLAR MAPPING'!E342, "', dan super spesifik '", 'CONTENT PILLAR MAPPING'!F342, "', yang dikenal sebagai '", 'CONTENT PILLAR MAPPING'!C345, "'.", CHAR(10),
"Saya memiliki Tone of Voice: '", 'CONTENT PILLAR MAPPING'!C350, "', Brand Archetype: '", 'CONTENT PILLAR MAPPING'!D350, "', dan Deskripsi Gaya Komunikasi: '", 'CONTENT PILLAR MAPPING'!E350, "'.", CHAR(10),
"Target audiens saya adalah: '", 'CONTENT PILLAR MAPPING'!D358, "', dengan segmentasi audiens: '", 'CONTENT PILLAR MAPPING'!D359, "'.", CHAR(10), CHAR(10),
"Mohon buatkan script konten yang **sangat powerful, menarik, inovatif, dan siap pakai** dengan judul ide '", B439, "'.", CHAR(10),
"Konten ini memiliki pilar '", C439, "', nilai tambah utama '", F439, "', dan akan menggunakan storytelling framework '", G439, "'.", CHAR(10),
"Gambaran singkat ide kontennya adalah: '", J439, "'.", CHAR(10),
"Konten ini akan diunggah di platform '", E439, "' dengan format '", D439,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MAPPING'!C345, "'.** Sesuaikan dengan gaya komunikasi saya, dengan fokus pada nilai tambah '", F439,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MAPPING'!D358, ", khusus ", 'CONTENT PILLAR MAPPING'!D359, ") dan membantu mereka menyelesaikan masalah atau mencapai tujuan mereka.", CHAR(10),
"✔ Membantuku membangun personal branding yang kuat dan sustainable, sesuai dengan Positioning saya sebagai '", 'CONTENT PILLAR MAPPING'!C345, "' dan Brand Archetype '", 'CONTENT PILLAR MAPPING'!D350, "'.", CHAR(10),
"✔ Kemas dalam bentuk tabel agar rapi, mudah di baca dan dipahami, dengan kolom 'Judul Konten', 'Pilar', 'Format', 'Draft Script', 'CTA', 'Saran Visual', dan 'Full Caption'. (Kosongkan kolom Link Prompt jika ada)."
),
"")</f>
        <v/>
      </c>
      <c r="L439" s="91" t="n"/>
      <c r="M439" s="91" t="n"/>
      <c r="N439" s="102" t="n"/>
      <c r="O439" s="102" t="n"/>
      <c r="P439" s="102" t="n"/>
      <c r="Q439" s="102" t="n"/>
      <c r="R439" s="102" t="n"/>
      <c r="S439" s="102" t="n"/>
      <c r="T439" s="102" t="n"/>
      <c r="U439" s="102" t="n"/>
      <c r="V439" s="102" t="n"/>
      <c r="W439" s="102" t="n"/>
      <c r="X439" s="102" t="n"/>
      <c r="Y439" s="102" t="n"/>
      <c r="Z439" s="102" t="n"/>
      <c r="AA439" s="102" t="n"/>
      <c r="AB439" s="102" t="n"/>
      <c r="AC439" s="102" t="n"/>
      <c r="AD439" s="102" t="n"/>
    </row>
    <row r="440" ht="15.75" customHeight="1" s="205">
      <c r="A440" s="102" t="n"/>
      <c r="B440" s="147" t="n"/>
      <c r="C440" s="144" t="n"/>
      <c r="D440" s="144" t="n"/>
      <c r="E440" s="144" t="n"/>
      <c r="F440" s="144" t="n"/>
      <c r="G440" s="144" t="n"/>
      <c r="H440" s="141">
        <f>IF(K440&lt;&gt;"", HYPERLINK("https://chatgpt.com/?prompt=" &amp; SUBSTITUTE(SUBSTITUTE(K440, " ", "+"), "&amp;", "dan") &amp; "&amp;force-refresh=true&amp;timestamp=" &amp; TEXT(NOW(), "yyyymmddhhmmss"), "👉 Klik untuk Generate Script! 🔥"), "")</f>
        <v/>
      </c>
      <c r="I440" s="144" t="n"/>
      <c r="J440" s="148" t="n"/>
      <c r="K440" s="140">
        <f>IF(AND(B440&lt;&gt;"", C440&lt;&gt;"", D440&lt;&gt;"", E440&lt;&gt;"", F440&lt;&gt;"", G440&lt;&gt;"", J440&lt;&gt;"", 'CONTENT PILLAR MAPPING'!C342&lt;&gt;"", 'CONTENT PILLAR MAPPING'!E342&lt;&gt;"", 'CONTENT PILLAR MAPPING'!F342&lt;&gt;"", 'CONTENT PILLAR MAPPING'!C345&lt;&gt;"", 'CONTENT PILLAR MAPPING'!C350&lt;&gt;"", 'CONTENT PILLAR MAPPING'!D350&lt;&gt;"", 'CONTENT PILLAR MAPPING'!E350&lt;&gt;"", 'CONTENT PILLAR MAPPING'!D358&lt;&gt;"", 'CONTENT PILLAR MAPPING'!D359&lt;&gt;""),
CONCATENATE(
"Sebagai seorang top konten kreator dengan niche utama '", 'CONTENT PILLAR MAPPING'!C342, "', spesifik kategori '", 'CONTENT PILLAR MAPPING'!E342, "', dan super spesifik '", 'CONTENT PILLAR MAPPING'!F342, "', yang dikenal sebagai '", 'CONTENT PILLAR MAPPING'!C345, "'.", CHAR(10),
"Saya memiliki Tone of Voice: '", 'CONTENT PILLAR MAPPING'!C350, "', Brand Archetype: '", 'CONTENT PILLAR MAPPING'!D350, "', dan Deskripsi Gaya Komunikasi: '", 'CONTENT PILLAR MAPPING'!E350, "'.", CHAR(10),
"Target audiens saya adalah: '", 'CONTENT PILLAR MAPPING'!D358, "', dengan segmentasi audiens: '", 'CONTENT PILLAR MAPPING'!D359, "'.", CHAR(10), CHAR(10),
"Mohon buatkan script konten yang **sangat powerful, menarik, inovatif, dan siap pakai** dengan judul ide '", B440, "'.", CHAR(10),
"Konten ini memiliki pilar '", C440, "', nilai tambah utama '", F440, "', dan akan menggunakan storytelling framework '", G440, "'.", CHAR(10),
"Gambaran singkat ide kontennya adalah: '", J440, "'.", CHAR(10),
"Konten ini akan diunggah di platform '", E440, "' dengan format '", D440,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MAPPING'!C345, "'.** Sesuaikan dengan gaya komunikasi saya, dengan fokus pada nilai tambah '", F440,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MAPPING'!D358, ", khusus ", 'CONTENT PILLAR MAPPING'!D359, ") dan membantu mereka menyelesaikan masalah atau mencapai tujuan mereka.", CHAR(10),
"✔ Membantuku membangun personal branding yang kuat dan sustainable, sesuai dengan Positioning saya sebagai '", 'CONTENT PILLAR MAPPING'!C345, "' dan Brand Archetype '", 'CONTENT PILLAR MAPPING'!D350, "'.", CHAR(10),
"✔ Kemas dalam bentuk tabel agar rapi, mudah di baca dan dipahami, dengan kolom 'Judul Konten', 'Pilar', 'Format', 'Draft Script', 'CTA', 'Saran Visual', dan 'Full Caption'. (Kosongkan kolom Link Prompt jika ada)."
),
"")</f>
        <v/>
      </c>
      <c r="L440" s="199" t="n"/>
      <c r="M440" s="199" t="n"/>
      <c r="N440" s="102" t="n"/>
      <c r="O440" s="102" t="n"/>
      <c r="P440" s="102" t="n"/>
      <c r="Q440" s="102" t="n"/>
      <c r="R440" s="102" t="n"/>
      <c r="S440" s="102" t="n"/>
      <c r="T440" s="102" t="n"/>
      <c r="U440" s="102" t="n"/>
      <c r="V440" s="102" t="n"/>
      <c r="W440" s="102" t="n"/>
      <c r="X440" s="102" t="n"/>
      <c r="Y440" s="102" t="n"/>
      <c r="Z440" s="102" t="n"/>
      <c r="AA440" s="102" t="n"/>
      <c r="AB440" s="102" t="n"/>
      <c r="AC440" s="102" t="n"/>
      <c r="AD440" s="102" t="n"/>
    </row>
    <row r="441" ht="15.75" customHeight="1" s="205">
      <c r="A441" s="102" t="n"/>
      <c r="B441" s="142" t="n"/>
      <c r="C441" s="143" t="n"/>
      <c r="D441" s="143" t="n"/>
      <c r="E441" s="143" t="n"/>
      <c r="F441" s="143" t="n"/>
      <c r="G441" s="144" t="n"/>
      <c r="H441" s="145">
        <f>IF(K441&lt;&gt;"", HYPERLINK("https://chatgpt.com/?prompt=" &amp; SUBSTITUTE(SUBSTITUTE(K441, " ", "+"), "&amp;", "dan") &amp; "&amp;force-refresh=true&amp;timestamp=" &amp; TEXT(NOW(), "yyyymmddhhmmss"), "👉 Klik untuk Generate Script! 🔥"), "")</f>
        <v/>
      </c>
      <c r="I441" s="143" t="n"/>
      <c r="J441" s="146" t="n"/>
      <c r="K441" s="130">
        <f>IF(AND(B441&lt;&gt;"", C441&lt;&gt;"", D441&lt;&gt;"", E441&lt;&gt;"", F441&lt;&gt;"", G441&lt;&gt;"", J441&lt;&gt;"", 'CONTENT PILLAR MAPPING'!C344&lt;&gt;"", 'CONTENT PILLAR MAPPING'!E344&lt;&gt;"", 'CONTENT PILLAR MAPPING'!F344&lt;&gt;"", 'CONTENT PILLAR MAPPING'!C347&lt;&gt;"", 'CONTENT PILLAR MAPPING'!C352&lt;&gt;"", 'CONTENT PILLAR MAPPING'!D352&lt;&gt;"", 'CONTENT PILLAR MAPPING'!E352&lt;&gt;"", 'CONTENT PILLAR MAPPING'!D360&lt;&gt;"", 'CONTENT PILLAR MAPPING'!D361&lt;&gt;""),
CONCATENATE(
"Sebagai seorang top konten kreator dengan niche utama '", 'CONTENT PILLAR MAPPING'!C344, "', spesifik kategori '", 'CONTENT PILLAR MAPPING'!E344, "', dan super spesifik '", 'CONTENT PILLAR MAPPING'!F344, "', yang dikenal sebagai '", 'CONTENT PILLAR MAPPING'!C347, "'.", CHAR(10),
"Saya memiliki Tone of Voice: '", 'CONTENT PILLAR MAPPING'!C352, "', Brand Archetype: '", 'CONTENT PILLAR MAPPING'!D352, "', dan Deskripsi Gaya Komunikasi: '", 'CONTENT PILLAR MAPPING'!E352, "'.", CHAR(10),
"Target audiens saya adalah: '", 'CONTENT PILLAR MAPPING'!D360, "', dengan segmentasi audiens: '", 'CONTENT PILLAR MAPPING'!D361, "'.", CHAR(10), CHAR(10),
"Mohon buatkan script konten yang **sangat powerful, menarik, inovatif, dan siap pakai** dengan judul ide '", B441, "'.", CHAR(10),
"Konten ini memiliki pilar '", C441, "', nilai tambah utama '", F441, "', dan akan menggunakan storytelling framework '", G441, "'.", CHAR(10),
"Gambaran singkat ide kontennya adalah: '", J441, "'.", CHAR(10),
"Konten ini akan diunggah di platform '", E441, "' dengan format '", D441,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MAPPING'!C347, "'.** Sesuaikan dengan gaya komunikasi saya, dengan fokus pada nilai tambah '", F441,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MAPPING'!D360, ", khusus ", 'CONTENT PILLAR MAPPING'!D361, ") dan membantu mereka menyelesaikan masalah atau mencapai tujuan mereka.", CHAR(10),
"✔ Membantuku membangun personal branding yang kuat dan sustainable, sesuai dengan Positioning saya sebagai '", 'CONTENT PILLAR MAPPING'!C347, "' dan Brand Archetype '", 'CONTENT PILLAR MAPPING'!D352, "'.", CHAR(10),
"✔ Kemas dalam bentuk tabel agar rapi, mudah di baca dan dipahami, dengan kolom 'Judul Konten', 'Pilar', 'Format', 'Draft Script', 'CTA', 'Saran Visual', dan 'Full Caption'. (Kosongkan kolom Link Prompt jika ada)."
),
"")</f>
        <v/>
      </c>
      <c r="L441" s="91" t="n"/>
      <c r="M441" s="91" t="n"/>
      <c r="N441" s="102" t="n"/>
      <c r="O441" s="102" t="n"/>
      <c r="P441" s="102" t="n"/>
      <c r="Q441" s="102" t="n"/>
      <c r="R441" s="102" t="n"/>
      <c r="S441" s="102" t="n"/>
      <c r="T441" s="102" t="n"/>
      <c r="U441" s="102" t="n"/>
      <c r="V441" s="102" t="n"/>
      <c r="W441" s="102" t="n"/>
      <c r="X441" s="102" t="n"/>
      <c r="Y441" s="102" t="n"/>
      <c r="Z441" s="102" t="n"/>
      <c r="AA441" s="102" t="n"/>
      <c r="AB441" s="102" t="n"/>
      <c r="AC441" s="102" t="n"/>
      <c r="AD441" s="102" t="n"/>
    </row>
    <row r="442" ht="15.75" customHeight="1" s="205">
      <c r="A442" s="102" t="n"/>
      <c r="B442" s="147" t="n"/>
      <c r="C442" s="144" t="n"/>
      <c r="D442" s="144" t="n"/>
      <c r="E442" s="144" t="n"/>
      <c r="F442" s="144" t="n"/>
      <c r="G442" s="144" t="n"/>
      <c r="H442" s="141">
        <f>IF(K442&lt;&gt;"", HYPERLINK("https://chatgpt.com/?prompt=" &amp; SUBSTITUTE(SUBSTITUTE(K442, " ", "+"), "&amp;", "dan") &amp; "&amp;force-refresh=true&amp;timestamp=" &amp; TEXT(NOW(), "yyyymmddhhmmss"), "👉 Klik untuk Generate Script! 🔥"), "")</f>
        <v/>
      </c>
      <c r="I442" s="144" t="n"/>
      <c r="J442" s="148" t="n"/>
      <c r="K442" s="140">
        <f>IF(AND(B442&lt;&gt;"", C442&lt;&gt;"", D442&lt;&gt;"", E442&lt;&gt;"", F442&lt;&gt;"", G442&lt;&gt;"", J442&lt;&gt;"", 'CONTENT PILLAR MAPPING'!C344&lt;&gt;"", 'CONTENT PILLAR MAPPING'!E344&lt;&gt;"", 'CONTENT PILLAR MAPPING'!F344&lt;&gt;"", 'CONTENT PILLAR MAPPING'!C347&lt;&gt;"", 'CONTENT PILLAR MAPPING'!C352&lt;&gt;"", 'CONTENT PILLAR MAPPING'!D352&lt;&gt;"", 'CONTENT PILLAR MAPPING'!E352&lt;&gt;"", 'CONTENT PILLAR MAPPING'!D360&lt;&gt;"", 'CONTENT PILLAR MAPPING'!D361&lt;&gt;""),
CONCATENATE(
"Sebagai seorang top konten kreator dengan niche utama '", 'CONTENT PILLAR MAPPING'!C344, "', spesifik kategori '", 'CONTENT PILLAR MAPPING'!E344, "', dan super spesifik '", 'CONTENT PILLAR MAPPING'!F344, "', yang dikenal sebagai '", 'CONTENT PILLAR MAPPING'!C347, "'.", CHAR(10),
"Saya memiliki Tone of Voice: '", 'CONTENT PILLAR MAPPING'!C352, "', Brand Archetype: '", 'CONTENT PILLAR MAPPING'!D352, "', dan Deskripsi Gaya Komunikasi: '", 'CONTENT PILLAR MAPPING'!E352, "'.", CHAR(10),
"Target audiens saya adalah: '", 'CONTENT PILLAR MAPPING'!D360, "', dengan segmentasi audiens: '", 'CONTENT PILLAR MAPPING'!D361, "'.", CHAR(10), CHAR(10),
"Mohon buatkan script konten yang **sangat powerful, menarik, inovatif, dan siap pakai** dengan judul ide '", B442, "'.", CHAR(10),
"Konten ini memiliki pilar '", C442, "', nilai tambah utama '", F442, "', dan akan menggunakan storytelling framework '", G442, "'.", CHAR(10),
"Gambaran singkat ide kontennya adalah: '", J442, "'.", CHAR(10),
"Konten ini akan diunggah di platform '", E442, "' dengan format '", D442,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MAPPING'!C347, "'.** Sesuaikan dengan gaya komunikasi saya, dengan fokus pada nilai tambah '", F442,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MAPPING'!D360, ", khusus ", 'CONTENT PILLAR MAPPING'!D361, ") dan membantu mereka menyelesaikan masalah atau mencapai tujuan mereka.", CHAR(10),
"✔ Membantuku membangun personal branding yang kuat dan sustainable, sesuai dengan Positioning saya sebagai '", 'CONTENT PILLAR MAPPING'!C347, "' dan Brand Archetype '", 'CONTENT PILLAR MAPPING'!D352, "'.", CHAR(10),
"✔ Kemas dalam bentuk tabel agar rapi, mudah di baca dan dipahami, dengan kolom 'Judul Konten', 'Pilar', 'Format', 'Draft Script', 'CTA', 'Saran Visual', dan 'Full Caption'. (Kosongkan kolom Link Prompt jika ada)."
),
"")</f>
        <v/>
      </c>
      <c r="L442" s="199" t="n"/>
      <c r="M442" s="199" t="n"/>
      <c r="N442" s="102" t="n"/>
      <c r="O442" s="102" t="n"/>
      <c r="P442" s="102" t="n"/>
      <c r="Q442" s="102" t="n"/>
      <c r="R442" s="102" t="n"/>
      <c r="S442" s="102" t="n"/>
      <c r="T442" s="102" t="n"/>
      <c r="U442" s="102" t="n"/>
      <c r="V442" s="102" t="n"/>
      <c r="W442" s="102" t="n"/>
      <c r="X442" s="102" t="n"/>
      <c r="Y442" s="102" t="n"/>
      <c r="Z442" s="102" t="n"/>
      <c r="AA442" s="102" t="n"/>
      <c r="AB442" s="102" t="n"/>
      <c r="AC442" s="102" t="n"/>
      <c r="AD442" s="102" t="n"/>
    </row>
    <row r="443" ht="15.75" customHeight="1" s="205">
      <c r="A443" s="102" t="n"/>
      <c r="B443" s="142" t="n"/>
      <c r="C443" s="143" t="n"/>
      <c r="D443" s="143" t="n"/>
      <c r="E443" s="143" t="n"/>
      <c r="F443" s="143" t="n"/>
      <c r="G443" s="144" t="n"/>
      <c r="H443" s="145">
        <f>IF(K443&lt;&gt;"", HYPERLINK("https://chatgpt.com/?prompt=" &amp; SUBSTITUTE(SUBSTITUTE(K443, " ", "+"), "&amp;", "dan") &amp; "&amp;force-refresh=true&amp;timestamp=" &amp; TEXT(NOW(), "yyyymmddhhmmss"), "👉 Klik untuk Generate Script! 🔥"), "")</f>
        <v/>
      </c>
      <c r="I443" s="143" t="n"/>
      <c r="J443" s="146" t="n"/>
      <c r="K443" s="130">
        <f>IF(AND(B443&lt;&gt;"", C443&lt;&gt;"", D443&lt;&gt;"", E443&lt;&gt;"", F443&lt;&gt;"", G443&lt;&gt;"", J443&lt;&gt;"", 'CONTENT PILLAR MAPPING'!C346&lt;&gt;"", 'CONTENT PILLAR MAPPING'!E346&lt;&gt;"", 'CONTENT PILLAR MAPPING'!F346&lt;&gt;"", 'CONTENT PILLAR MAPPING'!C349&lt;&gt;"", 'CONTENT PILLAR MAPPING'!C354&lt;&gt;"", 'CONTENT PILLAR MAPPING'!D354&lt;&gt;"", 'CONTENT PILLAR MAPPING'!E354&lt;&gt;"", 'CONTENT PILLAR MAPPING'!D362&lt;&gt;"", 'CONTENT PILLAR MAPPING'!D363&lt;&gt;""),
CONCATENATE(
"Sebagai seorang top konten kreator dengan niche utama '", 'CONTENT PILLAR MAPPING'!C346, "', spesifik kategori '", 'CONTENT PILLAR MAPPING'!E346, "', dan super spesifik '", 'CONTENT PILLAR MAPPING'!F346, "', yang dikenal sebagai '", 'CONTENT PILLAR MAPPING'!C349, "'.", CHAR(10),
"Saya memiliki Tone of Voice: '", 'CONTENT PILLAR MAPPING'!C354, "', Brand Archetype: '", 'CONTENT PILLAR MAPPING'!D354, "', dan Deskripsi Gaya Komunikasi: '", 'CONTENT PILLAR MAPPING'!E354, "'.", CHAR(10),
"Target audiens saya adalah: '", 'CONTENT PILLAR MAPPING'!D362, "', dengan segmentasi audiens: '", 'CONTENT PILLAR MAPPING'!D363, "'.", CHAR(10), CHAR(10),
"Mohon buatkan script konten yang **sangat powerful, menarik, inovatif, dan siap pakai** dengan judul ide '", B443, "'.", CHAR(10),
"Konten ini memiliki pilar '", C443, "', nilai tambah utama '", F443, "', dan akan menggunakan storytelling framework '", G443, "'.", CHAR(10),
"Gambaran singkat ide kontennya adalah: '", J443, "'.", CHAR(10),
"Konten ini akan diunggah di platform '", E443, "' dengan format '", D443,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MAPPING'!C349, "'.** Sesuaikan dengan gaya komunikasi saya, dengan fokus pada nilai tambah '", F443,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MAPPING'!D362, ", khusus ", 'CONTENT PILLAR MAPPING'!D363, ") dan membantu mereka menyelesaikan masalah atau mencapai tujuan mereka.", CHAR(10),
"✔ Membantuku membangun personal branding yang kuat dan sustainable, sesuai dengan Positioning saya sebagai '", 'CONTENT PILLAR MAPPING'!C349, "' dan Brand Archetype '", 'CONTENT PILLAR MAPPING'!D354, "'.", CHAR(10),
"✔ Kemas dalam bentuk tabel agar rapi, mudah di baca dan dipahami, dengan kolom 'Judul Konten', 'Pilar', 'Format', 'Draft Script', 'CTA', 'Saran Visual', dan 'Full Caption'. (Kosongkan kolom Link Prompt jika ada)."
),
"")</f>
        <v/>
      </c>
      <c r="L443" s="91" t="n"/>
      <c r="M443" s="91" t="n"/>
      <c r="N443" s="102" t="n"/>
      <c r="O443" s="102" t="n"/>
      <c r="P443" s="102" t="n"/>
      <c r="Q443" s="102" t="n"/>
      <c r="R443" s="102" t="n"/>
      <c r="S443" s="102" t="n"/>
      <c r="T443" s="102" t="n"/>
      <c r="U443" s="102" t="n"/>
      <c r="V443" s="102" t="n"/>
      <c r="W443" s="102" t="n"/>
      <c r="X443" s="102" t="n"/>
      <c r="Y443" s="102" t="n"/>
      <c r="Z443" s="102" t="n"/>
      <c r="AA443" s="102" t="n"/>
      <c r="AB443" s="102" t="n"/>
      <c r="AC443" s="102" t="n"/>
      <c r="AD443" s="102" t="n"/>
    </row>
    <row r="444" ht="15.75" customHeight="1" s="205">
      <c r="A444" s="102" t="n"/>
      <c r="B444" s="147" t="n"/>
      <c r="C444" s="144" t="n"/>
      <c r="D444" s="144" t="n"/>
      <c r="E444" s="144" t="n"/>
      <c r="F444" s="144" t="n"/>
      <c r="G444" s="144" t="n"/>
      <c r="H444" s="141">
        <f>IF(K444&lt;&gt;"", HYPERLINK("https://chatgpt.com/?prompt=" &amp; SUBSTITUTE(SUBSTITUTE(K444, " ", "+"), "&amp;", "dan") &amp; "&amp;force-refresh=true&amp;timestamp=" &amp; TEXT(NOW(), "yyyymmddhhmmss"), "👉 Klik untuk Generate Script! 🔥"), "")</f>
        <v/>
      </c>
      <c r="I444" s="144" t="n"/>
      <c r="J444" s="148" t="n"/>
      <c r="K444" s="140">
        <f>IF(AND(B444&lt;&gt;"", C444&lt;&gt;"", D444&lt;&gt;"", E444&lt;&gt;"", F444&lt;&gt;"", G444&lt;&gt;"", J444&lt;&gt;"", 'CONTENT PILLAR MAPPING'!C346&lt;&gt;"", 'CONTENT PILLAR MAPPING'!E346&lt;&gt;"", 'CONTENT PILLAR MAPPING'!F346&lt;&gt;"", 'CONTENT PILLAR MAPPING'!C349&lt;&gt;"", 'CONTENT PILLAR MAPPING'!C354&lt;&gt;"", 'CONTENT PILLAR MAPPING'!D354&lt;&gt;"", 'CONTENT PILLAR MAPPING'!E354&lt;&gt;"", 'CONTENT PILLAR MAPPING'!D362&lt;&gt;"", 'CONTENT PILLAR MAPPING'!D363&lt;&gt;""),
CONCATENATE(
"Sebagai seorang top konten kreator dengan niche utama '", 'CONTENT PILLAR MAPPING'!C346, "', spesifik kategori '", 'CONTENT PILLAR MAPPING'!E346, "', dan super spesifik '", 'CONTENT PILLAR MAPPING'!F346, "', yang dikenal sebagai '", 'CONTENT PILLAR MAPPING'!C349, "'.", CHAR(10),
"Saya memiliki Tone of Voice: '", 'CONTENT PILLAR MAPPING'!C354, "', Brand Archetype: '", 'CONTENT PILLAR MAPPING'!D354, "', dan Deskripsi Gaya Komunikasi: '", 'CONTENT PILLAR MAPPING'!E354, "'.", CHAR(10),
"Target audiens saya adalah: '", 'CONTENT PILLAR MAPPING'!D362, "', dengan segmentasi audiens: '", 'CONTENT PILLAR MAPPING'!D363, "'.", CHAR(10), CHAR(10),
"Mohon buatkan script konten yang **sangat powerful, menarik, inovatif, dan siap pakai** dengan judul ide '", B444, "'.", CHAR(10),
"Konten ini memiliki pilar '", C444, "', nilai tambah utama '", F444, "', dan akan menggunakan storytelling framework '", G444, "'.", CHAR(10),
"Gambaran singkat ide kontennya adalah: '", J444, "'.", CHAR(10),
"Konten ini akan diunggah di platform '", E444, "' dengan format '", D444,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MAPPING'!C349, "'.** Sesuaikan dengan gaya komunikasi saya, dengan fokus pada nilai tambah '", F444,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MAPPING'!D362, ", khusus ", 'CONTENT PILLAR MAPPING'!D363, ") dan membantu mereka menyelesaikan masalah atau mencapai tujuan mereka.", CHAR(10),
"✔ Membantuku membangun personal branding yang kuat dan sustainable, sesuai dengan Positioning saya sebagai '", 'CONTENT PILLAR MAPPING'!C349, "' dan Brand Archetype '", 'CONTENT PILLAR MAPPING'!D354, "'.", CHAR(10),
"✔ Kemas dalam bentuk tabel agar rapi, mudah di baca dan dipahami, dengan kolom 'Judul Konten', 'Pilar', 'Format', 'Draft Script', 'CTA', 'Saran Visual', dan 'Full Caption'. (Kosongkan kolom Link Prompt jika ada)."
),
"")</f>
        <v/>
      </c>
      <c r="L444" s="199" t="n"/>
      <c r="M444" s="199" t="n"/>
      <c r="N444" s="102" t="n"/>
      <c r="O444" s="102" t="n"/>
      <c r="P444" s="102" t="n"/>
      <c r="Q444" s="102" t="n"/>
      <c r="R444" s="102" t="n"/>
      <c r="S444" s="102" t="n"/>
      <c r="T444" s="102" t="n"/>
      <c r="U444" s="102" t="n"/>
      <c r="V444" s="102" t="n"/>
      <c r="W444" s="102" t="n"/>
      <c r="X444" s="102" t="n"/>
      <c r="Y444" s="102" t="n"/>
      <c r="Z444" s="102" t="n"/>
      <c r="AA444" s="102" t="n"/>
      <c r="AB444" s="102" t="n"/>
      <c r="AC444" s="102" t="n"/>
      <c r="AD444" s="102" t="n"/>
    </row>
    <row r="445" ht="15.75" customHeight="1" s="205">
      <c r="A445" s="102" t="n"/>
      <c r="B445" s="142" t="n"/>
      <c r="C445" s="143" t="n"/>
      <c r="D445" s="143" t="n"/>
      <c r="E445" s="143" t="n"/>
      <c r="F445" s="143" t="n"/>
      <c r="G445" s="144" t="n"/>
      <c r="H445" s="145">
        <f>IF(K445&lt;&gt;"", HYPERLINK("https://chatgpt.com/?prompt=" &amp; SUBSTITUTE(SUBSTITUTE(K445, " ", "+"), "&amp;", "dan") &amp; "&amp;force-refresh=true&amp;timestamp=" &amp; TEXT(NOW(), "yyyymmddhhmmss"), "👉 Klik untuk Generate Script! 🔥"), "")</f>
        <v/>
      </c>
      <c r="I445" s="143" t="n"/>
      <c r="J445" s="146" t="n"/>
      <c r="K445" s="130">
        <f>IF(AND(B445&lt;&gt;"", C445&lt;&gt;"", D445&lt;&gt;"", E445&lt;&gt;"", F445&lt;&gt;"", G445&lt;&gt;"", J445&lt;&gt;"", 'CONTENT PILLAR MAPPING'!C348&lt;&gt;"", 'CONTENT PILLAR MAPPING'!E348&lt;&gt;"", 'CONTENT PILLAR MAPPING'!F348&lt;&gt;"", 'CONTENT PILLAR MAPPING'!C351&lt;&gt;"", 'CONTENT PILLAR MAPPING'!C356&lt;&gt;"", 'CONTENT PILLAR MAPPING'!D356&lt;&gt;"", 'CONTENT PILLAR MAPPING'!E356&lt;&gt;"", 'CONTENT PILLAR MAPPING'!D364&lt;&gt;"", 'CONTENT PILLAR MAPPING'!D365&lt;&gt;""),
CONCATENATE(
"Sebagai seorang top konten kreator dengan niche utama '", 'CONTENT PILLAR MAPPING'!C348, "', spesifik kategori '", 'CONTENT PILLAR MAPPING'!E348, "', dan super spesifik '", 'CONTENT PILLAR MAPPING'!F348, "', yang dikenal sebagai '", 'CONTENT PILLAR MAPPING'!C351, "'.", CHAR(10),
"Saya memiliki Tone of Voice: '", 'CONTENT PILLAR MAPPING'!C356, "', Brand Archetype: '", 'CONTENT PILLAR MAPPING'!D356, "', dan Deskripsi Gaya Komunikasi: '", 'CONTENT PILLAR MAPPING'!E356, "'.", CHAR(10),
"Target audiens saya adalah: '", 'CONTENT PILLAR MAPPING'!D364, "', dengan segmentasi audiens: '", 'CONTENT PILLAR MAPPING'!D365, "'.", CHAR(10), CHAR(10),
"Mohon buatkan script konten yang **sangat powerful, menarik, inovatif, dan siap pakai** dengan judul ide '", B445, "'.", CHAR(10),
"Konten ini memiliki pilar '", C445, "', nilai tambah utama '", F445, "', dan akan menggunakan storytelling framework '", G445, "'.", CHAR(10),
"Gambaran singkat ide kontennya adalah: '", J445, "'.", CHAR(10),
"Konten ini akan diunggah di platform '", E445, "' dengan format '", D445,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MAPPING'!C351, "'.** Sesuaikan dengan gaya komunikasi saya, dengan fokus pada nilai tambah '", F445,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MAPPING'!D364, ", khusus ", 'CONTENT PILLAR MAPPING'!D365, ") dan membantu mereka menyelesaikan masalah atau mencapai tujuan mereka.", CHAR(10),
"✔ Membantuku membangun personal branding yang kuat dan sustainable, sesuai dengan Positioning saya sebagai '", 'CONTENT PILLAR MAPPING'!C351, "' dan Brand Archetype '", 'CONTENT PILLAR MAPPING'!D356, "'.", CHAR(10),
"✔ Kemas dalam bentuk tabel agar rapi, mudah di baca dan dipahami, dengan kolom 'Judul Konten', 'Pilar', 'Format', 'Draft Script', 'CTA', 'Saran Visual', dan 'Full Caption'. (Kosongkan kolom Link Prompt jika ada)."
),
"")</f>
        <v/>
      </c>
      <c r="L445" s="91" t="n"/>
      <c r="M445" s="91" t="n"/>
      <c r="N445" s="102" t="n"/>
      <c r="O445" s="102" t="n"/>
      <c r="P445" s="102" t="n"/>
      <c r="Q445" s="102" t="n"/>
      <c r="R445" s="102" t="n"/>
      <c r="S445" s="102" t="n"/>
      <c r="T445" s="102" t="n"/>
      <c r="U445" s="102" t="n"/>
      <c r="V445" s="102" t="n"/>
      <c r="W445" s="102" t="n"/>
      <c r="X445" s="102" t="n"/>
      <c r="Y445" s="102" t="n"/>
      <c r="Z445" s="102" t="n"/>
      <c r="AA445" s="102" t="n"/>
      <c r="AB445" s="102" t="n"/>
      <c r="AC445" s="102" t="n"/>
      <c r="AD445" s="102" t="n"/>
    </row>
    <row r="446" ht="15.75" customHeight="1" s="205">
      <c r="A446" s="102" t="n"/>
      <c r="B446" s="147" t="n"/>
      <c r="C446" s="144" t="n"/>
      <c r="D446" s="144" t="n"/>
      <c r="E446" s="144" t="n"/>
      <c r="F446" s="144" t="n"/>
      <c r="G446" s="144" t="n"/>
      <c r="H446" s="141">
        <f>IF(K446&lt;&gt;"", HYPERLINK("https://chatgpt.com/?prompt=" &amp; SUBSTITUTE(SUBSTITUTE(K446, " ", "+"), "&amp;", "dan") &amp; "&amp;force-refresh=true&amp;timestamp=" &amp; TEXT(NOW(), "yyyymmddhhmmss"), "👉 Klik untuk Generate Script! 🔥"), "")</f>
        <v/>
      </c>
      <c r="I446" s="144" t="n"/>
      <c r="J446" s="148" t="n"/>
      <c r="K446" s="140">
        <f>IF(AND(B446&lt;&gt;"", C446&lt;&gt;"", D446&lt;&gt;"", E446&lt;&gt;"", F446&lt;&gt;"", G446&lt;&gt;"", J446&lt;&gt;"", 'CONTENT PILLAR MAPPING'!C348&lt;&gt;"", 'CONTENT PILLAR MAPPING'!E348&lt;&gt;"", 'CONTENT PILLAR MAPPING'!F348&lt;&gt;"", 'CONTENT PILLAR MAPPING'!C351&lt;&gt;"", 'CONTENT PILLAR MAPPING'!C356&lt;&gt;"", 'CONTENT PILLAR MAPPING'!D356&lt;&gt;"", 'CONTENT PILLAR MAPPING'!E356&lt;&gt;"", 'CONTENT PILLAR MAPPING'!D364&lt;&gt;"", 'CONTENT PILLAR MAPPING'!D365&lt;&gt;""),
CONCATENATE(
"Sebagai seorang top konten kreator dengan niche utama '", 'CONTENT PILLAR MAPPING'!C348, "', spesifik kategori '", 'CONTENT PILLAR MAPPING'!E348, "', dan super spesifik '", 'CONTENT PILLAR MAPPING'!F348, "', yang dikenal sebagai '", 'CONTENT PILLAR MAPPING'!C351, "'.", CHAR(10),
"Saya memiliki Tone of Voice: '", 'CONTENT PILLAR MAPPING'!C356, "', Brand Archetype: '", 'CONTENT PILLAR MAPPING'!D356, "', dan Deskripsi Gaya Komunikasi: '", 'CONTENT PILLAR MAPPING'!E356, "'.", CHAR(10),
"Target audiens saya adalah: '", 'CONTENT PILLAR MAPPING'!D364, "', dengan segmentasi audiens: '", 'CONTENT PILLAR MAPPING'!D365, "'.", CHAR(10), CHAR(10),
"Mohon buatkan script konten yang **sangat powerful, menarik, inovatif, dan siap pakai** dengan judul ide '", B446, "'.", CHAR(10),
"Konten ini memiliki pilar '", C446, "', nilai tambah utama '", F446, "', dan akan menggunakan storytelling framework '", G446, "'.", CHAR(10),
"Gambaran singkat ide kontennya adalah: '", J446, "'.", CHAR(10),
"Konten ini akan diunggah di platform '", E446, "' dengan format '", D446,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MAPPING'!C351, "'.** Sesuaikan dengan gaya komunikasi saya, dengan fokus pada nilai tambah '", F446,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MAPPING'!D364, ", khusus ", 'CONTENT PILLAR MAPPING'!D365, ") dan membantu mereka menyelesaikan masalah atau mencapai tujuan mereka.", CHAR(10),
"✔ Membantuku membangun personal branding yang kuat dan sustainable, sesuai dengan Positioning saya sebagai '", 'CONTENT PILLAR MAPPING'!C351, "' dan Brand Archetype '", 'CONTENT PILLAR MAPPING'!D356, "'.", CHAR(10),
"✔ Kemas dalam bentuk tabel agar rapi, mudah di baca dan dipahami, dengan kolom 'Judul Konten', 'Pilar', 'Format', 'Draft Script', 'CTA', 'Saran Visual', dan 'Full Caption'. (Kosongkan kolom Link Prompt jika ada)."
),
"")</f>
        <v/>
      </c>
      <c r="L446" s="199" t="n"/>
      <c r="M446" s="199" t="n"/>
      <c r="N446" s="102" t="n"/>
      <c r="O446" s="102" t="n"/>
      <c r="P446" s="102" t="n"/>
      <c r="Q446" s="102" t="n"/>
      <c r="R446" s="102" t="n"/>
      <c r="S446" s="102" t="n"/>
      <c r="T446" s="102" t="n"/>
      <c r="U446" s="102" t="n"/>
      <c r="V446" s="102" t="n"/>
      <c r="W446" s="102" t="n"/>
      <c r="X446" s="102" t="n"/>
      <c r="Y446" s="102" t="n"/>
      <c r="Z446" s="102" t="n"/>
      <c r="AA446" s="102" t="n"/>
      <c r="AB446" s="102" t="n"/>
      <c r="AC446" s="102" t="n"/>
      <c r="AD446" s="102" t="n"/>
    </row>
    <row r="447" ht="15.75" customHeight="1" s="205">
      <c r="A447" s="102" t="n"/>
      <c r="B447" s="142" t="n"/>
      <c r="C447" s="143" t="n"/>
      <c r="D447" s="143" t="n"/>
      <c r="E447" s="143" t="n"/>
      <c r="F447" s="143" t="n"/>
      <c r="G447" s="144" t="n"/>
      <c r="H447" s="145">
        <f>IF(K447&lt;&gt;"", HYPERLINK("https://chatgpt.com/?prompt=" &amp; SUBSTITUTE(SUBSTITUTE(K447, " ", "+"), "&amp;", "dan") &amp; "&amp;force-refresh=true&amp;timestamp=" &amp; TEXT(NOW(), "yyyymmddhhmmss"), "👉 Klik untuk Generate Script! 🔥"), "")</f>
        <v/>
      </c>
      <c r="I447" s="143" t="n"/>
      <c r="J447" s="146" t="n"/>
      <c r="K447" s="130">
        <f>IF(AND(B447&lt;&gt;"", C447&lt;&gt;"", D447&lt;&gt;"", E447&lt;&gt;"", F447&lt;&gt;"", G447&lt;&gt;"", J447&lt;&gt;"", 'CONTENT PILLAR MAPPING'!C350&lt;&gt;"", 'CONTENT PILLAR MAPPING'!E350&lt;&gt;"", 'CONTENT PILLAR MAPPING'!F350&lt;&gt;"", 'CONTENT PILLAR MAPPING'!C353&lt;&gt;"", 'CONTENT PILLAR MAPPING'!C358&lt;&gt;"", 'CONTENT PILLAR MAPPING'!D358&lt;&gt;"", 'CONTENT PILLAR MAPPING'!E358&lt;&gt;"", 'CONTENT PILLAR MAPPING'!D366&lt;&gt;"", 'CONTENT PILLAR MAPPING'!D367&lt;&gt;""),
CONCATENATE(
"Sebagai seorang top konten kreator dengan niche utama '", 'CONTENT PILLAR MAPPING'!C350, "', spesifik kategori '", 'CONTENT PILLAR MAPPING'!E350, "', dan super spesifik '", 'CONTENT PILLAR MAPPING'!F350, "', yang dikenal sebagai '", 'CONTENT PILLAR MAPPING'!C353, "'.", CHAR(10),
"Saya memiliki Tone of Voice: '", 'CONTENT PILLAR MAPPING'!C358, "', Brand Archetype: '", 'CONTENT PILLAR MAPPING'!D358, "', dan Deskripsi Gaya Komunikasi: '", 'CONTENT PILLAR MAPPING'!E358, "'.", CHAR(10),
"Target audiens saya adalah: '", 'CONTENT PILLAR MAPPING'!D366, "', dengan segmentasi audiens: '", 'CONTENT PILLAR MAPPING'!D367, "'.", CHAR(10), CHAR(10),
"Mohon buatkan script konten yang **sangat powerful, menarik, inovatif, dan siap pakai** dengan judul ide '", B447, "'.", CHAR(10),
"Konten ini memiliki pilar '", C447, "', nilai tambah utama '", F447, "', dan akan menggunakan storytelling framework '", G447, "'.", CHAR(10),
"Gambaran singkat ide kontennya adalah: '", J447, "'.", CHAR(10),
"Konten ini akan diunggah di platform '", E447, "' dengan format '", D447,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MAPPING'!C353, "'.** Sesuaikan dengan gaya komunikasi saya, dengan fokus pada nilai tambah '", F447,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MAPPING'!D366, ", khusus ", 'CONTENT PILLAR MAPPING'!D367, ") dan membantu mereka menyelesaikan masalah atau mencapai tujuan mereka.", CHAR(10),
"✔ Membantuku membangun personal branding yang kuat dan sustainable, sesuai dengan Positioning saya sebagai '", 'CONTENT PILLAR MAPPING'!C353, "' dan Brand Archetype '", 'CONTENT PILLAR MAPPING'!D358, "'.", CHAR(10),
"✔ Kemas dalam bentuk tabel agar rapi, mudah di baca dan dipahami, dengan kolom 'Judul Konten', 'Pilar', 'Format', 'Draft Script', 'CTA', 'Saran Visual', dan 'Full Caption'. (Kosongkan kolom Link Prompt jika ada)."
),
"")</f>
        <v/>
      </c>
      <c r="L447" s="91" t="n"/>
      <c r="M447" s="91" t="n"/>
      <c r="N447" s="102" t="n"/>
      <c r="O447" s="102" t="n"/>
      <c r="P447" s="102" t="n"/>
      <c r="Q447" s="102" t="n"/>
      <c r="R447" s="102" t="n"/>
      <c r="S447" s="102" t="n"/>
      <c r="T447" s="102" t="n"/>
      <c r="U447" s="102" t="n"/>
      <c r="V447" s="102" t="n"/>
      <c r="W447" s="102" t="n"/>
      <c r="X447" s="102" t="n"/>
      <c r="Y447" s="102" t="n"/>
      <c r="Z447" s="102" t="n"/>
      <c r="AA447" s="102" t="n"/>
      <c r="AB447" s="102" t="n"/>
      <c r="AC447" s="102" t="n"/>
      <c r="AD447" s="102" t="n"/>
    </row>
    <row r="448" ht="15.75" customHeight="1" s="205">
      <c r="A448" s="102" t="n"/>
      <c r="B448" s="147" t="n"/>
      <c r="C448" s="144" t="n"/>
      <c r="D448" s="144" t="n"/>
      <c r="E448" s="144" t="n"/>
      <c r="F448" s="144" t="n"/>
      <c r="G448" s="144" t="n"/>
      <c r="H448" s="141">
        <f>IF(K448&lt;&gt;"", HYPERLINK("https://chatgpt.com/?prompt=" &amp; SUBSTITUTE(SUBSTITUTE(K448, " ", "+"), "&amp;", "dan") &amp; "&amp;force-refresh=true&amp;timestamp=" &amp; TEXT(NOW(), "yyyymmddhhmmss"), "👉 Klik untuk Generate Script! 🔥"), "")</f>
        <v/>
      </c>
      <c r="I448" s="144" t="n"/>
      <c r="J448" s="148" t="n"/>
      <c r="K448" s="140">
        <f>IF(AND(B448&lt;&gt;"", C448&lt;&gt;"", D448&lt;&gt;"", E448&lt;&gt;"", F448&lt;&gt;"", G448&lt;&gt;"", J448&lt;&gt;"", 'CONTENT PILLAR MAPPING'!C350&lt;&gt;"", 'CONTENT PILLAR MAPPING'!E350&lt;&gt;"", 'CONTENT PILLAR MAPPING'!F350&lt;&gt;"", 'CONTENT PILLAR MAPPING'!C353&lt;&gt;"", 'CONTENT PILLAR MAPPING'!C358&lt;&gt;"", 'CONTENT PILLAR MAPPING'!D358&lt;&gt;"", 'CONTENT PILLAR MAPPING'!E358&lt;&gt;"", 'CONTENT PILLAR MAPPING'!D366&lt;&gt;"", 'CONTENT PILLAR MAPPING'!D367&lt;&gt;""),
CONCATENATE(
"Sebagai seorang top konten kreator dengan niche utama '", 'CONTENT PILLAR MAPPING'!C350, "', spesifik kategori '", 'CONTENT PILLAR MAPPING'!E350, "', dan super spesifik '", 'CONTENT PILLAR MAPPING'!F350, "', yang dikenal sebagai '", 'CONTENT PILLAR MAPPING'!C353, "'.", CHAR(10),
"Saya memiliki Tone of Voice: '", 'CONTENT PILLAR MAPPING'!C358, "', Brand Archetype: '", 'CONTENT PILLAR MAPPING'!D358, "', dan Deskripsi Gaya Komunikasi: '", 'CONTENT PILLAR MAPPING'!E358, "'.", CHAR(10),
"Target audiens saya adalah: '", 'CONTENT PILLAR MAPPING'!D366, "', dengan segmentasi audiens: '", 'CONTENT PILLAR MAPPING'!D367, "'.", CHAR(10), CHAR(10),
"Mohon buatkan script konten yang **sangat powerful, menarik, inovatif, dan siap pakai** dengan judul ide '", B448, "'.", CHAR(10),
"Konten ini memiliki pilar '", C448, "', nilai tambah utama '", F448, "', dan akan menggunakan storytelling framework '", G448, "'.", CHAR(10),
"Gambaran singkat ide kontennya adalah: '", J448, "'.", CHAR(10),
"Konten ini akan diunggah di platform '", E448, "' dengan format '", D448,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MAPPING'!C353, "'.** Sesuaikan dengan gaya komunikasi saya, dengan fokus pada nilai tambah '", F448,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MAPPING'!D366, ", khusus ", 'CONTENT PILLAR MAPPING'!D367, ") dan membantu mereka menyelesaikan masalah atau mencapai tujuan mereka.", CHAR(10),
"✔ Membantuku membangun personal branding yang kuat dan sustainable, sesuai dengan Positioning saya sebagai '", 'CONTENT PILLAR MAPPING'!C353, "' dan Brand Archetype '", 'CONTENT PILLAR MAPPING'!D358, "'.", CHAR(10),
"✔ Kemas dalam bentuk tabel agar rapi, mudah di baca dan dipahami, dengan kolom 'Judul Konten', 'Pilar', 'Format', 'Draft Script', 'CTA', 'Saran Visual', dan 'Full Caption'. (Kosongkan kolom Link Prompt jika ada)."
),
"")</f>
        <v/>
      </c>
      <c r="L448" s="199" t="n"/>
      <c r="M448" s="199" t="n"/>
      <c r="N448" s="102" t="n"/>
      <c r="O448" s="102" t="n"/>
      <c r="P448" s="102" t="n"/>
      <c r="Q448" s="102" t="n"/>
      <c r="R448" s="102" t="n"/>
      <c r="S448" s="102" t="n"/>
      <c r="T448" s="102" t="n"/>
      <c r="U448" s="102" t="n"/>
      <c r="V448" s="102" t="n"/>
      <c r="W448" s="102" t="n"/>
      <c r="X448" s="102" t="n"/>
      <c r="Y448" s="102" t="n"/>
      <c r="Z448" s="102" t="n"/>
      <c r="AA448" s="102" t="n"/>
      <c r="AB448" s="102" t="n"/>
      <c r="AC448" s="102" t="n"/>
      <c r="AD448" s="102" t="n"/>
    </row>
    <row r="449" ht="15.75" customHeight="1" s="205">
      <c r="A449" s="102" t="n"/>
      <c r="B449" s="142" t="n"/>
      <c r="C449" s="143" t="n"/>
      <c r="D449" s="143" t="n"/>
      <c r="E449" s="143" t="n"/>
      <c r="F449" s="143" t="n"/>
      <c r="G449" s="144" t="n"/>
      <c r="H449" s="145">
        <f>IF(K449&lt;&gt;"", HYPERLINK("https://chatgpt.com/?prompt=" &amp; SUBSTITUTE(SUBSTITUTE(K449, " ", "+"), "&amp;", "dan") &amp; "&amp;force-refresh=true&amp;timestamp=" &amp; TEXT(NOW(), "yyyymmddhhmmss"), "👉 Klik untuk Generate Script! 🔥"), "")</f>
        <v/>
      </c>
      <c r="I449" s="143" t="n"/>
      <c r="J449" s="146" t="n"/>
      <c r="K449" s="130">
        <f>IF(AND(B449&lt;&gt;"", C449&lt;&gt;"", D449&lt;&gt;"", E449&lt;&gt;"", F449&lt;&gt;"", G449&lt;&gt;"", J449&lt;&gt;"", 'CONTENT PILLAR MAPPING'!C352&lt;&gt;"", 'CONTENT PILLAR MAPPING'!E352&lt;&gt;"", 'CONTENT PILLAR MAPPING'!F352&lt;&gt;"", 'CONTENT PILLAR MAPPING'!C355&lt;&gt;"", 'CONTENT PILLAR MAPPING'!C360&lt;&gt;"", 'CONTENT PILLAR MAPPING'!D360&lt;&gt;"", 'CONTENT PILLAR MAPPING'!E360&lt;&gt;"", 'CONTENT PILLAR MAPPING'!D368&lt;&gt;"", 'CONTENT PILLAR MAPPING'!D369&lt;&gt;""),
CONCATENATE(
"Sebagai seorang top konten kreator dengan niche utama '", 'CONTENT PILLAR MAPPING'!C352, "', spesifik kategori '", 'CONTENT PILLAR MAPPING'!E352, "', dan super spesifik '", 'CONTENT PILLAR MAPPING'!F352, "', yang dikenal sebagai '", 'CONTENT PILLAR MAPPING'!C355, "'.", CHAR(10),
"Saya memiliki Tone of Voice: '", 'CONTENT PILLAR MAPPING'!C360, "', Brand Archetype: '", 'CONTENT PILLAR MAPPING'!D360, "', dan Deskripsi Gaya Komunikasi: '", 'CONTENT PILLAR MAPPING'!E360, "'.", CHAR(10),
"Target audiens saya adalah: '", 'CONTENT PILLAR MAPPING'!D368, "', dengan segmentasi audiens: '", 'CONTENT PILLAR MAPPING'!D369, "'.", CHAR(10), CHAR(10),
"Mohon buatkan script konten yang **sangat powerful, menarik, inovatif, dan siap pakai** dengan judul ide '", B449, "'.", CHAR(10),
"Konten ini memiliki pilar '", C449, "', nilai tambah utama '", F449, "', dan akan menggunakan storytelling framework '", G449, "'.", CHAR(10),
"Gambaran singkat ide kontennya adalah: '", J449, "'.", CHAR(10),
"Konten ini akan diunggah di platform '", E449, "' dengan format '", D449,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MAPPING'!C355, "'.** Sesuaikan dengan gaya komunikasi saya, dengan fokus pada nilai tambah '", F449,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MAPPING'!D368, ", khusus ", 'CONTENT PILLAR MAPPING'!D369, ") dan membantu mereka menyelesaikan masalah atau mencapai tujuan mereka.", CHAR(10),
"✔ Membantuku membangun personal branding yang kuat dan sustainable, sesuai dengan Positioning saya sebagai '", 'CONTENT PILLAR MAPPING'!C355, "' dan Brand Archetype '", 'CONTENT PILLAR MAPPING'!D360, "'.", CHAR(10),
"✔ Kemas dalam bentuk tabel agar rapi, mudah di baca dan dipahami, dengan kolom 'Judul Konten', 'Pilar', 'Format', 'Draft Script', 'CTA', 'Saran Visual', dan 'Full Caption'. (Kosongkan kolom Link Prompt jika ada)."
),
"")</f>
        <v/>
      </c>
      <c r="L449" s="91" t="n"/>
      <c r="M449" s="91" t="n"/>
      <c r="N449" s="102" t="n"/>
      <c r="O449" s="102" t="n"/>
      <c r="P449" s="102" t="n"/>
      <c r="Q449" s="102" t="n"/>
      <c r="R449" s="102" t="n"/>
      <c r="S449" s="102" t="n"/>
      <c r="T449" s="102" t="n"/>
      <c r="U449" s="102" t="n"/>
      <c r="V449" s="102" t="n"/>
      <c r="W449" s="102" t="n"/>
      <c r="X449" s="102" t="n"/>
      <c r="Y449" s="102" t="n"/>
      <c r="Z449" s="102" t="n"/>
      <c r="AA449" s="102" t="n"/>
      <c r="AB449" s="102" t="n"/>
      <c r="AC449" s="102" t="n"/>
      <c r="AD449" s="102" t="n"/>
    </row>
    <row r="450" ht="15.75" customHeight="1" s="205">
      <c r="A450" s="102" t="n"/>
      <c r="B450" s="147" t="n"/>
      <c r="C450" s="144" t="n"/>
      <c r="D450" s="144" t="n"/>
      <c r="E450" s="144" t="n"/>
      <c r="F450" s="144" t="n"/>
      <c r="G450" s="144" t="n"/>
      <c r="H450" s="141">
        <f>IF(K450&lt;&gt;"", HYPERLINK("https://chatgpt.com/?prompt=" &amp; SUBSTITUTE(SUBSTITUTE(K450, " ", "+"), "&amp;", "dan") &amp; "&amp;force-refresh=true&amp;timestamp=" &amp; TEXT(NOW(), "yyyymmddhhmmss"), "👉 Klik untuk Generate Script! 🔥"), "")</f>
        <v/>
      </c>
      <c r="I450" s="144" t="n"/>
      <c r="J450" s="148" t="n"/>
      <c r="K450" s="140">
        <f>IF(AND(B450&lt;&gt;"", C450&lt;&gt;"", D450&lt;&gt;"", E450&lt;&gt;"", F450&lt;&gt;"", G450&lt;&gt;"", J450&lt;&gt;"", 'CONTENT PILLAR MAPPING'!C352&lt;&gt;"", 'CONTENT PILLAR MAPPING'!E352&lt;&gt;"", 'CONTENT PILLAR MAPPING'!F352&lt;&gt;"", 'CONTENT PILLAR MAPPING'!C355&lt;&gt;"", 'CONTENT PILLAR MAPPING'!C360&lt;&gt;"", 'CONTENT PILLAR MAPPING'!D360&lt;&gt;"", 'CONTENT PILLAR MAPPING'!E360&lt;&gt;"", 'CONTENT PILLAR MAPPING'!D368&lt;&gt;"", 'CONTENT PILLAR MAPPING'!D369&lt;&gt;""),
CONCATENATE(
"Sebagai seorang top konten kreator dengan niche utama '", 'CONTENT PILLAR MAPPING'!C352, "', spesifik kategori '", 'CONTENT PILLAR MAPPING'!E352, "', dan super spesifik '", 'CONTENT PILLAR MAPPING'!F352, "', yang dikenal sebagai '", 'CONTENT PILLAR MAPPING'!C355, "'.", CHAR(10),
"Saya memiliki Tone of Voice: '", 'CONTENT PILLAR MAPPING'!C360, "', Brand Archetype: '", 'CONTENT PILLAR MAPPING'!D360, "', dan Deskripsi Gaya Komunikasi: '", 'CONTENT PILLAR MAPPING'!E360, "'.", CHAR(10),
"Target audiens saya adalah: '", 'CONTENT PILLAR MAPPING'!D368, "', dengan segmentasi audiens: '", 'CONTENT PILLAR MAPPING'!D369, "'.", CHAR(10), CHAR(10),
"Mohon buatkan script konten yang **sangat powerful, menarik, inovatif, dan siap pakai** dengan judul ide '", B450, "'.", CHAR(10),
"Konten ini memiliki pilar '", C450, "', nilai tambah utama '", F450, "', dan akan menggunakan storytelling framework '", G450, "'.", CHAR(10),
"Gambaran singkat ide kontennya adalah: '", J450, "'.", CHAR(10),
"Konten ini akan diunggah di platform '", E450, "' dengan format '", D450,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MAPPING'!C355, "'.** Sesuaikan dengan gaya komunikasi saya, dengan fokus pada nilai tambah '", F450,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MAPPING'!D368, ", khusus ", 'CONTENT PILLAR MAPPING'!D369, ") dan membantu mereka menyelesaikan masalah atau mencapai tujuan mereka.", CHAR(10),
"✔ Membantuku membangun personal branding yang kuat dan sustainable, sesuai dengan Positioning saya sebagai '", 'CONTENT PILLAR MAPPING'!C355, "' dan Brand Archetype '", 'CONTENT PILLAR MAPPING'!D360, "'.", CHAR(10),
"✔ Kemas dalam bentuk tabel agar rapi, mudah di baca dan dipahami, dengan kolom 'Judul Konten', 'Pilar', 'Format', 'Draft Script', 'CTA', 'Saran Visual', dan 'Full Caption'. (Kosongkan kolom Link Prompt jika ada)."
),
"")</f>
        <v/>
      </c>
      <c r="L450" s="199" t="n"/>
      <c r="M450" s="199" t="n"/>
      <c r="N450" s="102" t="n"/>
      <c r="O450" s="102" t="n"/>
      <c r="P450" s="102" t="n"/>
      <c r="Q450" s="102" t="n"/>
      <c r="R450" s="102" t="n"/>
      <c r="S450" s="102" t="n"/>
      <c r="T450" s="102" t="n"/>
      <c r="U450" s="102" t="n"/>
      <c r="V450" s="102" t="n"/>
      <c r="W450" s="102" t="n"/>
      <c r="X450" s="102" t="n"/>
      <c r="Y450" s="102" t="n"/>
      <c r="Z450" s="102" t="n"/>
      <c r="AA450" s="102" t="n"/>
      <c r="AB450" s="102" t="n"/>
      <c r="AC450" s="102" t="n"/>
      <c r="AD450" s="102" t="n"/>
    </row>
    <row r="451" ht="15.75" customHeight="1" s="205">
      <c r="A451" s="102" t="n"/>
      <c r="B451" s="142" t="n"/>
      <c r="C451" s="143" t="n"/>
      <c r="D451" s="143" t="n"/>
      <c r="E451" s="143" t="n"/>
      <c r="F451" s="143" t="n"/>
      <c r="G451" s="144" t="n"/>
      <c r="H451" s="145">
        <f>IF(K451&lt;&gt;"", HYPERLINK("https://chatgpt.com/?prompt=" &amp; SUBSTITUTE(SUBSTITUTE(K451, " ", "+"), "&amp;", "dan") &amp; "&amp;force-refresh=true&amp;timestamp=" &amp; TEXT(NOW(), "yyyymmddhhmmss"), "👉 Klik untuk Generate Script! 🔥"), "")</f>
        <v/>
      </c>
      <c r="I451" s="143" t="n"/>
      <c r="J451" s="146" t="n"/>
      <c r="K451" s="130">
        <f>IF(AND(B451&lt;&gt;"", C451&lt;&gt;"", D451&lt;&gt;"", E451&lt;&gt;"", F451&lt;&gt;"", G451&lt;&gt;"", J451&lt;&gt;"", 'CONTENT PILLAR MAPPING'!C354&lt;&gt;"", 'CONTENT PILLAR MAPPING'!E354&lt;&gt;"", 'CONTENT PILLAR MAPPING'!F354&lt;&gt;"", 'CONTENT PILLAR MAPPING'!C357&lt;&gt;"", 'CONTENT PILLAR MAPPING'!C362&lt;&gt;"", 'CONTENT PILLAR MAPPING'!D362&lt;&gt;"", 'CONTENT PILLAR MAPPING'!E362&lt;&gt;"", 'CONTENT PILLAR MAPPING'!D370&lt;&gt;"", 'CONTENT PILLAR MAPPING'!D371&lt;&gt;""),
CONCATENATE(
"Sebagai seorang top konten kreator dengan niche utama '", 'CONTENT PILLAR MAPPING'!C354, "', spesifik kategori '", 'CONTENT PILLAR MAPPING'!E354, "', dan super spesifik '", 'CONTENT PILLAR MAPPING'!F354, "', yang dikenal sebagai '", 'CONTENT PILLAR MAPPING'!C357, "'.", CHAR(10),
"Saya memiliki Tone of Voice: '", 'CONTENT PILLAR MAPPING'!C362, "', Brand Archetype: '", 'CONTENT PILLAR MAPPING'!D362, "', dan Deskripsi Gaya Komunikasi: '", 'CONTENT PILLAR MAPPING'!E362, "'.", CHAR(10),
"Target audiens saya adalah: '", 'CONTENT PILLAR MAPPING'!D370, "', dengan segmentasi audiens: '", 'CONTENT PILLAR MAPPING'!D371, "'.", CHAR(10), CHAR(10),
"Mohon buatkan script konten yang **sangat powerful, menarik, inovatif, dan siap pakai** dengan judul ide '", B451, "'.", CHAR(10),
"Konten ini memiliki pilar '", C451, "', nilai tambah utama '", F451, "', dan akan menggunakan storytelling framework '", G451, "'.", CHAR(10),
"Gambaran singkat ide kontennya adalah: '", J451, "'.", CHAR(10),
"Konten ini akan diunggah di platform '", E451, "' dengan format '", D451,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MAPPING'!C357, "'.** Sesuaikan dengan gaya komunikasi saya, dengan fokus pada nilai tambah '", F451,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MAPPING'!D370, ", khusus ", 'CONTENT PILLAR MAPPING'!D371, ") dan membantu mereka menyelesaikan masalah atau mencapai tujuan mereka.", CHAR(10),
"✔ Membantuku membangun personal branding yang kuat dan sustainable, sesuai dengan Positioning saya sebagai '", 'CONTENT PILLAR MAPPING'!C357, "' dan Brand Archetype '", 'CONTENT PILLAR MAPPING'!D362, "'.", CHAR(10),
"✔ Kemas dalam bentuk tabel agar rapi, mudah di baca dan dipahami, dengan kolom 'Judul Konten', 'Pilar', 'Format', 'Draft Script', 'CTA', 'Saran Visual', dan 'Full Caption'. (Kosongkan kolom Link Prompt jika ada)."
),
"")</f>
        <v/>
      </c>
      <c r="L451" s="91" t="n"/>
      <c r="M451" s="91" t="n"/>
      <c r="N451" s="102" t="n"/>
      <c r="O451" s="102" t="n"/>
      <c r="P451" s="102" t="n"/>
      <c r="Q451" s="102" t="n"/>
      <c r="R451" s="102" t="n"/>
      <c r="S451" s="102" t="n"/>
      <c r="T451" s="102" t="n"/>
      <c r="U451" s="102" t="n"/>
      <c r="V451" s="102" t="n"/>
      <c r="W451" s="102" t="n"/>
      <c r="X451" s="102" t="n"/>
      <c r="Y451" s="102" t="n"/>
      <c r="Z451" s="102" t="n"/>
      <c r="AA451" s="102" t="n"/>
      <c r="AB451" s="102" t="n"/>
      <c r="AC451" s="102" t="n"/>
      <c r="AD451" s="102" t="n"/>
    </row>
    <row r="452" ht="15.75" customHeight="1" s="205">
      <c r="A452" s="102" t="n"/>
      <c r="B452" s="147" t="n"/>
      <c r="C452" s="144" t="n"/>
      <c r="D452" s="144" t="n"/>
      <c r="E452" s="144" t="n"/>
      <c r="F452" s="144" t="n"/>
      <c r="G452" s="144" t="n"/>
      <c r="H452" s="141">
        <f>IF(K452&lt;&gt;"", HYPERLINK("https://chatgpt.com/?prompt=" &amp; SUBSTITUTE(SUBSTITUTE(K452, " ", "+"), "&amp;", "dan") &amp; "&amp;force-refresh=true&amp;timestamp=" &amp; TEXT(NOW(), "yyyymmddhhmmss"), "👉 Klik untuk Generate Script! 🔥"), "")</f>
        <v/>
      </c>
      <c r="I452" s="144" t="n"/>
      <c r="J452" s="148" t="n"/>
      <c r="K452" s="140">
        <f>IF(AND(B452&lt;&gt;"", C452&lt;&gt;"", D452&lt;&gt;"", E452&lt;&gt;"", F452&lt;&gt;"", G452&lt;&gt;"", J452&lt;&gt;"", 'CONTENT PILLAR MAPPING'!C354&lt;&gt;"", 'CONTENT PILLAR MAPPING'!E354&lt;&gt;"", 'CONTENT PILLAR MAPPING'!F354&lt;&gt;"", 'CONTENT PILLAR MAPPING'!C357&lt;&gt;"", 'CONTENT PILLAR MAPPING'!C362&lt;&gt;"", 'CONTENT PILLAR MAPPING'!D362&lt;&gt;"", 'CONTENT PILLAR MAPPING'!E362&lt;&gt;"", 'CONTENT PILLAR MAPPING'!D370&lt;&gt;"", 'CONTENT PILLAR MAPPING'!D371&lt;&gt;""),
CONCATENATE(
"Sebagai seorang top konten kreator dengan niche utama '", 'CONTENT PILLAR MAPPING'!C354, "', spesifik kategori '", 'CONTENT PILLAR MAPPING'!E354, "', dan super spesifik '", 'CONTENT PILLAR MAPPING'!F354, "', yang dikenal sebagai '", 'CONTENT PILLAR MAPPING'!C357, "'.", CHAR(10),
"Saya memiliki Tone of Voice: '", 'CONTENT PILLAR MAPPING'!C362, "', Brand Archetype: '", 'CONTENT PILLAR MAPPING'!D362, "', dan Deskripsi Gaya Komunikasi: '", 'CONTENT PILLAR MAPPING'!E362, "'.", CHAR(10),
"Target audiens saya adalah: '", 'CONTENT PILLAR MAPPING'!D370, "', dengan segmentasi audiens: '", 'CONTENT PILLAR MAPPING'!D371, "'.", CHAR(10), CHAR(10),
"Mohon buatkan script konten yang **sangat powerful, menarik, inovatif, dan siap pakai** dengan judul ide '", B452, "'.", CHAR(10),
"Konten ini memiliki pilar '", C452, "', nilai tambah utama '", F452, "', dan akan menggunakan storytelling framework '", G452, "'.", CHAR(10),
"Gambaran singkat ide kontennya adalah: '", J452, "'.", CHAR(10),
"Konten ini akan diunggah di platform '", E452, "' dengan format '", D452,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MAPPING'!C357, "'.** Sesuaikan dengan gaya komunikasi saya, dengan fokus pada nilai tambah '", F452,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MAPPING'!D370, ", khusus ", 'CONTENT PILLAR MAPPING'!D371, ") dan membantu mereka menyelesaikan masalah atau mencapai tujuan mereka.", CHAR(10),
"✔ Membantuku membangun personal branding yang kuat dan sustainable, sesuai dengan Positioning saya sebagai '", 'CONTENT PILLAR MAPPING'!C357, "' dan Brand Archetype '", 'CONTENT PILLAR MAPPING'!D362, "'.", CHAR(10),
"✔ Kemas dalam bentuk tabel agar rapi, mudah di baca dan dipahami, dengan kolom 'Judul Konten', 'Pilar', 'Format', 'Draft Script', 'CTA', 'Saran Visual', dan 'Full Caption'. (Kosongkan kolom Link Prompt jika ada)."
),
"")</f>
        <v/>
      </c>
      <c r="L452" s="199" t="n"/>
      <c r="M452" s="199" t="n"/>
      <c r="N452" s="102" t="n"/>
      <c r="O452" s="102" t="n"/>
      <c r="P452" s="102" t="n"/>
      <c r="Q452" s="102" t="n"/>
      <c r="R452" s="102" t="n"/>
      <c r="S452" s="102" t="n"/>
      <c r="T452" s="102" t="n"/>
      <c r="U452" s="102" t="n"/>
      <c r="V452" s="102" t="n"/>
      <c r="W452" s="102" t="n"/>
      <c r="X452" s="102" t="n"/>
      <c r="Y452" s="102" t="n"/>
      <c r="Z452" s="102" t="n"/>
      <c r="AA452" s="102" t="n"/>
      <c r="AB452" s="102" t="n"/>
      <c r="AC452" s="102" t="n"/>
      <c r="AD452" s="102" t="n"/>
    </row>
    <row r="453" ht="15.75" customHeight="1" s="205">
      <c r="A453" s="102" t="n"/>
      <c r="B453" s="142" t="n"/>
      <c r="C453" s="143" t="n"/>
      <c r="D453" s="143" t="n"/>
      <c r="E453" s="143" t="n"/>
      <c r="F453" s="143" t="n"/>
      <c r="G453" s="144" t="n"/>
      <c r="H453" s="145">
        <f>IF(K453&lt;&gt;"", HYPERLINK("https://chatgpt.com/?prompt=" &amp; SUBSTITUTE(SUBSTITUTE(K453, " ", "+"), "&amp;", "dan") &amp; "&amp;force-refresh=true&amp;timestamp=" &amp; TEXT(NOW(), "yyyymmddhhmmss"), "👉 Klik untuk Generate Script! 🔥"), "")</f>
        <v/>
      </c>
      <c r="I453" s="143" t="n"/>
      <c r="J453" s="146" t="n"/>
      <c r="K453" s="130">
        <f>IF(AND(B453&lt;&gt;"", C453&lt;&gt;"", D453&lt;&gt;"", E453&lt;&gt;"", F453&lt;&gt;"", G453&lt;&gt;"", J453&lt;&gt;"", 'CONTENT PILLAR MAPPING'!C356&lt;&gt;"", 'CONTENT PILLAR MAPPING'!E356&lt;&gt;"", 'CONTENT PILLAR MAPPING'!F356&lt;&gt;"", 'CONTENT PILLAR MAPPING'!C359&lt;&gt;"", 'CONTENT PILLAR MAPPING'!C364&lt;&gt;"", 'CONTENT PILLAR MAPPING'!D364&lt;&gt;"", 'CONTENT PILLAR MAPPING'!E364&lt;&gt;"", 'CONTENT PILLAR MAPPING'!D372&lt;&gt;"", 'CONTENT PILLAR MAPPING'!D373&lt;&gt;""),
CONCATENATE(
"Sebagai seorang top konten kreator dengan niche utama '", 'CONTENT PILLAR MAPPING'!C356, "', spesifik kategori '", 'CONTENT PILLAR MAPPING'!E356, "', dan super spesifik '", 'CONTENT PILLAR MAPPING'!F356, "', yang dikenal sebagai '", 'CONTENT PILLAR MAPPING'!C359, "'.", CHAR(10),
"Saya memiliki Tone of Voice: '", 'CONTENT PILLAR MAPPING'!C364, "', Brand Archetype: '", 'CONTENT PILLAR MAPPING'!D364, "', dan Deskripsi Gaya Komunikasi: '", 'CONTENT PILLAR MAPPING'!E364, "'.", CHAR(10),
"Target audiens saya adalah: '", 'CONTENT PILLAR MAPPING'!D372, "', dengan segmentasi audiens: '", 'CONTENT PILLAR MAPPING'!D373, "'.", CHAR(10), CHAR(10),
"Mohon buatkan script konten yang **sangat powerful, menarik, inovatif, dan siap pakai** dengan judul ide '", B453, "'.", CHAR(10),
"Konten ini memiliki pilar '", C453, "', nilai tambah utama '", F453, "', dan akan menggunakan storytelling framework '", G453, "'.", CHAR(10),
"Gambaran singkat ide kontennya adalah: '", J453, "'.", CHAR(10),
"Konten ini akan diunggah di platform '", E453, "' dengan format '", D453,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MAPPING'!C359, "'.** Sesuaikan dengan gaya komunikasi saya, dengan fokus pada nilai tambah '", F453,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MAPPING'!D372, ", khusus ", 'CONTENT PILLAR MAPPING'!D373, ") dan membantu mereka menyelesaikan masalah atau mencapai tujuan mereka.", CHAR(10),
"✔ Membantuku membangun personal branding yang kuat dan sustainable, sesuai dengan Positioning saya sebagai '", 'CONTENT PILLAR MAPPING'!C359, "' dan Brand Archetype '", 'CONTENT PILLAR MAPPING'!D364, "'.", CHAR(10),
"✔ Kemas dalam bentuk tabel agar rapi, mudah di baca dan dipahami, dengan kolom 'Judul Konten', 'Pilar', 'Format', 'Draft Script', 'CTA', 'Saran Visual', dan 'Full Caption'. (Kosongkan kolom Link Prompt jika ada)."
),
"")</f>
        <v/>
      </c>
      <c r="L453" s="91" t="n"/>
      <c r="M453" s="91" t="n"/>
      <c r="N453" s="102" t="n"/>
      <c r="O453" s="102" t="n"/>
      <c r="P453" s="102" t="n"/>
      <c r="Q453" s="102" t="n"/>
      <c r="R453" s="102" t="n"/>
      <c r="S453" s="102" t="n"/>
      <c r="T453" s="102" t="n"/>
      <c r="U453" s="102" t="n"/>
      <c r="V453" s="102" t="n"/>
      <c r="W453" s="102" t="n"/>
      <c r="X453" s="102" t="n"/>
      <c r="Y453" s="102" t="n"/>
      <c r="Z453" s="102" t="n"/>
      <c r="AA453" s="102" t="n"/>
      <c r="AB453" s="102" t="n"/>
      <c r="AC453" s="102" t="n"/>
      <c r="AD453" s="102" t="n"/>
    </row>
    <row r="454" ht="15.75" customHeight="1" s="205">
      <c r="A454" s="102" t="n"/>
      <c r="B454" s="147" t="n"/>
      <c r="C454" s="144" t="n"/>
      <c r="D454" s="144" t="n"/>
      <c r="E454" s="144" t="n"/>
      <c r="F454" s="144" t="n"/>
      <c r="G454" s="144" t="n"/>
      <c r="H454" s="141">
        <f>IF(K454&lt;&gt;"", HYPERLINK("https://chatgpt.com/?prompt=" &amp; SUBSTITUTE(SUBSTITUTE(K454, " ", "+"), "&amp;", "dan") &amp; "&amp;force-refresh=true&amp;timestamp=" &amp; TEXT(NOW(), "yyyymmddhhmmss"), "👉 Klik untuk Generate Script! 🔥"), "")</f>
        <v/>
      </c>
      <c r="I454" s="144" t="n"/>
      <c r="J454" s="148" t="n"/>
      <c r="K454" s="140">
        <f>IF(AND(B454&lt;&gt;"", C454&lt;&gt;"", D454&lt;&gt;"", E454&lt;&gt;"", F454&lt;&gt;"", G454&lt;&gt;"", J454&lt;&gt;"", 'CONTENT PILLAR MAPPING'!C356&lt;&gt;"", 'CONTENT PILLAR MAPPING'!E356&lt;&gt;"", 'CONTENT PILLAR MAPPING'!F356&lt;&gt;"", 'CONTENT PILLAR MAPPING'!C359&lt;&gt;"", 'CONTENT PILLAR MAPPING'!C364&lt;&gt;"", 'CONTENT PILLAR MAPPING'!D364&lt;&gt;"", 'CONTENT PILLAR MAPPING'!E364&lt;&gt;"", 'CONTENT PILLAR MAPPING'!D372&lt;&gt;"", 'CONTENT PILLAR MAPPING'!D373&lt;&gt;""),
CONCATENATE(
"Sebagai seorang top konten kreator dengan niche utama '", 'CONTENT PILLAR MAPPING'!C356, "', spesifik kategori '", 'CONTENT PILLAR MAPPING'!E356, "', dan super spesifik '", 'CONTENT PILLAR MAPPING'!F356, "', yang dikenal sebagai '", 'CONTENT PILLAR MAPPING'!C359, "'.", CHAR(10),
"Saya memiliki Tone of Voice: '", 'CONTENT PILLAR MAPPING'!C364, "', Brand Archetype: '", 'CONTENT PILLAR MAPPING'!D364, "', dan Deskripsi Gaya Komunikasi: '", 'CONTENT PILLAR MAPPING'!E364, "'.", CHAR(10),
"Target audiens saya adalah: '", 'CONTENT PILLAR MAPPING'!D372, "', dengan segmentasi audiens: '", 'CONTENT PILLAR MAPPING'!D373, "'.", CHAR(10), CHAR(10),
"Mohon buatkan script konten yang **sangat powerful, menarik, inovatif, dan siap pakai** dengan judul ide '", B454, "'.", CHAR(10),
"Konten ini memiliki pilar '", C454, "', nilai tambah utama '", F454, "', dan akan menggunakan storytelling framework '", G454, "'.", CHAR(10),
"Gambaran singkat ide kontennya adalah: '", J454, "'.", CHAR(10),
"Konten ini akan diunggah di platform '", E454, "' dengan format '", D454,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MAPPING'!C359, "'.** Sesuaikan dengan gaya komunikasi saya, dengan fokus pada nilai tambah '", F454,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MAPPING'!D372, ", khusus ", 'CONTENT PILLAR MAPPING'!D373, ") dan membantu mereka menyelesaikan masalah atau mencapai tujuan mereka.", CHAR(10),
"✔ Membantuku membangun personal branding yang kuat dan sustainable, sesuai dengan Positioning saya sebagai '", 'CONTENT PILLAR MAPPING'!C359, "' dan Brand Archetype '", 'CONTENT PILLAR MAPPING'!D364, "'.", CHAR(10),
"✔ Kemas dalam bentuk tabel agar rapi, mudah di baca dan dipahami, dengan kolom 'Judul Konten', 'Pilar', 'Format', 'Draft Script', 'CTA', 'Saran Visual', dan 'Full Caption'. (Kosongkan kolom Link Prompt jika ada)."
),
"")</f>
        <v/>
      </c>
      <c r="L454" s="199" t="n"/>
      <c r="M454" s="199" t="n"/>
      <c r="N454" s="102" t="n"/>
      <c r="O454" s="102" t="n"/>
      <c r="P454" s="102" t="n"/>
      <c r="Q454" s="102" t="n"/>
      <c r="R454" s="102" t="n"/>
      <c r="S454" s="102" t="n"/>
      <c r="T454" s="102" t="n"/>
      <c r="U454" s="102" t="n"/>
      <c r="V454" s="102" t="n"/>
      <c r="W454" s="102" t="n"/>
      <c r="X454" s="102" t="n"/>
      <c r="Y454" s="102" t="n"/>
      <c r="Z454" s="102" t="n"/>
      <c r="AA454" s="102" t="n"/>
      <c r="AB454" s="102" t="n"/>
      <c r="AC454" s="102" t="n"/>
      <c r="AD454" s="102" t="n"/>
    </row>
    <row r="455" ht="15.75" customHeight="1" s="205">
      <c r="A455" s="102" t="n"/>
      <c r="B455" s="142" t="n"/>
      <c r="C455" s="143" t="n"/>
      <c r="D455" s="143" t="n"/>
      <c r="E455" s="143" t="n"/>
      <c r="F455" s="143" t="n"/>
      <c r="G455" s="144" t="n"/>
      <c r="H455" s="145">
        <f>IF(K455&lt;&gt;"", HYPERLINK("https://chatgpt.com/?prompt=" &amp; SUBSTITUTE(SUBSTITUTE(K455, " ", "+"), "&amp;", "dan") &amp; "&amp;force-refresh=true&amp;timestamp=" &amp; TEXT(NOW(), "yyyymmddhhmmss"), "👉 Klik untuk Generate Script! 🔥"), "")</f>
        <v/>
      </c>
      <c r="I455" s="143" t="n"/>
      <c r="J455" s="146" t="n"/>
      <c r="K455" s="130">
        <f>IF(AND(B455&lt;&gt;"", C455&lt;&gt;"", D455&lt;&gt;"", E455&lt;&gt;"", F455&lt;&gt;"", G455&lt;&gt;"", J455&lt;&gt;"", 'CONTENT PILLAR MAPPING'!C358&lt;&gt;"", 'CONTENT PILLAR MAPPING'!E358&lt;&gt;"", 'CONTENT PILLAR MAPPING'!F358&lt;&gt;"", 'CONTENT PILLAR MAPPING'!C361&lt;&gt;"", 'CONTENT PILLAR MAPPING'!C366&lt;&gt;"", 'CONTENT PILLAR MAPPING'!D366&lt;&gt;"", 'CONTENT PILLAR MAPPING'!E366&lt;&gt;"", 'CONTENT PILLAR MAPPING'!D374&lt;&gt;"", 'CONTENT PILLAR MAPPING'!D375&lt;&gt;""),
CONCATENATE(
"Sebagai seorang top konten kreator dengan niche utama '", 'CONTENT PILLAR MAPPING'!C358, "', spesifik kategori '", 'CONTENT PILLAR MAPPING'!E358, "', dan super spesifik '", 'CONTENT PILLAR MAPPING'!F358, "', yang dikenal sebagai '", 'CONTENT PILLAR MAPPING'!C361, "'.", CHAR(10),
"Saya memiliki Tone of Voice: '", 'CONTENT PILLAR MAPPING'!C366, "', Brand Archetype: '", 'CONTENT PILLAR MAPPING'!D366, "', dan Deskripsi Gaya Komunikasi: '", 'CONTENT PILLAR MAPPING'!E366, "'.", CHAR(10),
"Target audiens saya adalah: '", 'CONTENT PILLAR MAPPING'!D374, "', dengan segmentasi audiens: '", 'CONTENT PILLAR MAPPING'!D375, "'.", CHAR(10), CHAR(10),
"Mohon buatkan script konten yang **sangat powerful, menarik, inovatif, dan siap pakai** dengan judul ide '", B455, "'.", CHAR(10),
"Konten ini memiliki pilar '", C455, "', nilai tambah utama '", F455, "', dan akan menggunakan storytelling framework '", G455, "'.", CHAR(10),
"Gambaran singkat ide kontennya adalah: '", J455, "'.", CHAR(10),
"Konten ini akan diunggah di platform '", E455, "' dengan format '", D455,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MAPPING'!C361, "'.** Sesuaikan dengan gaya komunikasi saya, dengan fokus pada nilai tambah '", F455,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MAPPING'!D374, ", khusus ", 'CONTENT PILLAR MAPPING'!D375, ") dan membantu mereka menyelesaikan masalah atau mencapai tujuan mereka.", CHAR(10),
"✔ Membantuku membangun personal branding yang kuat dan sustainable, sesuai dengan Positioning saya sebagai '", 'CONTENT PILLAR MAPPING'!C361, "' dan Brand Archetype '", 'CONTENT PILLAR MAPPING'!D366, "'.", CHAR(10),
"✔ Kemas dalam bentuk tabel agar rapi, mudah di baca dan dipahami, dengan kolom 'Judul Konten', 'Pilar', 'Format', 'Draft Script', 'CTA', 'Saran Visual', dan 'Full Caption'. (Kosongkan kolom Link Prompt jika ada)."
),
"")</f>
        <v/>
      </c>
      <c r="L455" s="91" t="n"/>
      <c r="M455" s="91" t="n"/>
      <c r="N455" s="102" t="n"/>
      <c r="O455" s="102" t="n"/>
      <c r="P455" s="102" t="n"/>
      <c r="Q455" s="102" t="n"/>
      <c r="R455" s="102" t="n"/>
      <c r="S455" s="102" t="n"/>
      <c r="T455" s="102" t="n"/>
      <c r="U455" s="102" t="n"/>
      <c r="V455" s="102" t="n"/>
      <c r="W455" s="102" t="n"/>
      <c r="X455" s="102" t="n"/>
      <c r="Y455" s="102" t="n"/>
      <c r="Z455" s="102" t="n"/>
      <c r="AA455" s="102" t="n"/>
      <c r="AB455" s="102" t="n"/>
      <c r="AC455" s="102" t="n"/>
      <c r="AD455" s="102" t="n"/>
    </row>
    <row r="456" ht="15.75" customHeight="1" s="205">
      <c r="A456" s="102" t="n"/>
      <c r="B456" s="147" t="n"/>
      <c r="C456" s="144" t="n"/>
      <c r="D456" s="144" t="n"/>
      <c r="E456" s="144" t="n"/>
      <c r="F456" s="144" t="n"/>
      <c r="G456" s="144" t="n"/>
      <c r="H456" s="141">
        <f>IF(K456&lt;&gt;"", HYPERLINK("https://chatgpt.com/?prompt=" &amp; SUBSTITUTE(SUBSTITUTE(K456, " ", "+"), "&amp;", "dan") &amp; "&amp;force-refresh=true&amp;timestamp=" &amp; TEXT(NOW(), "yyyymmddhhmmss"), "👉 Klik untuk Generate Script! 🔥"), "")</f>
        <v/>
      </c>
      <c r="I456" s="144" t="n"/>
      <c r="J456" s="148" t="n"/>
      <c r="K456" s="140">
        <f>IF(AND(B456&lt;&gt;"", C456&lt;&gt;"", D456&lt;&gt;"", E456&lt;&gt;"", F456&lt;&gt;"", G456&lt;&gt;"", J456&lt;&gt;"", 'CONTENT PILLAR MAPPING'!C358&lt;&gt;"", 'CONTENT PILLAR MAPPING'!E358&lt;&gt;"", 'CONTENT PILLAR MAPPING'!F358&lt;&gt;"", 'CONTENT PILLAR MAPPING'!C361&lt;&gt;"", 'CONTENT PILLAR MAPPING'!C366&lt;&gt;"", 'CONTENT PILLAR MAPPING'!D366&lt;&gt;"", 'CONTENT PILLAR MAPPING'!E366&lt;&gt;"", 'CONTENT PILLAR MAPPING'!D374&lt;&gt;"", 'CONTENT PILLAR MAPPING'!D375&lt;&gt;""),
CONCATENATE(
"Sebagai seorang top konten kreator dengan niche utama '", 'CONTENT PILLAR MAPPING'!C358, "', spesifik kategori '", 'CONTENT PILLAR MAPPING'!E358, "', dan super spesifik '", 'CONTENT PILLAR MAPPING'!F358, "', yang dikenal sebagai '", 'CONTENT PILLAR MAPPING'!C361, "'.", CHAR(10),
"Saya memiliki Tone of Voice: '", 'CONTENT PILLAR MAPPING'!C366, "', Brand Archetype: '", 'CONTENT PILLAR MAPPING'!D366, "', dan Deskripsi Gaya Komunikasi: '", 'CONTENT PILLAR MAPPING'!E366, "'.", CHAR(10),
"Target audiens saya adalah: '", 'CONTENT PILLAR MAPPING'!D374, "', dengan segmentasi audiens: '", 'CONTENT PILLAR MAPPING'!D375, "'.", CHAR(10), CHAR(10),
"Mohon buatkan script konten yang **sangat powerful, menarik, inovatif, dan siap pakai** dengan judul ide '", B456, "'.", CHAR(10),
"Konten ini memiliki pilar '", C456, "', nilai tambah utama '", F456, "', dan akan menggunakan storytelling framework '", G456, "'.", CHAR(10),
"Gambaran singkat ide kontennya adalah: '", J456, "'.", CHAR(10),
"Konten ini akan diunggah di platform '", E456, "' dengan format '", D456,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MAPPING'!C361, "'.** Sesuaikan dengan gaya komunikasi saya, dengan fokus pada nilai tambah '", F456,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MAPPING'!D374, ", khusus ", 'CONTENT PILLAR MAPPING'!D375, ") dan membantu mereka menyelesaikan masalah atau mencapai tujuan mereka.", CHAR(10),
"✔ Membantuku membangun personal branding yang kuat dan sustainable, sesuai dengan Positioning saya sebagai '", 'CONTENT PILLAR MAPPING'!C361, "' dan Brand Archetype '", 'CONTENT PILLAR MAPPING'!D366, "'.", CHAR(10),
"✔ Kemas dalam bentuk tabel agar rapi, mudah di baca dan dipahami, dengan kolom 'Judul Konten', 'Pilar', 'Format', 'Draft Script', 'CTA', 'Saran Visual', dan 'Full Caption'. (Kosongkan kolom Link Prompt jika ada)."
),
"")</f>
        <v/>
      </c>
      <c r="L456" s="199" t="n"/>
      <c r="M456" s="199" t="n"/>
      <c r="N456" s="102" t="n"/>
      <c r="O456" s="102" t="n"/>
      <c r="P456" s="102" t="n"/>
      <c r="Q456" s="102" t="n"/>
      <c r="R456" s="102" t="n"/>
      <c r="S456" s="102" t="n"/>
      <c r="T456" s="102" t="n"/>
      <c r="U456" s="102" t="n"/>
      <c r="V456" s="102" t="n"/>
      <c r="W456" s="102" t="n"/>
      <c r="X456" s="102" t="n"/>
      <c r="Y456" s="102" t="n"/>
      <c r="Z456" s="102" t="n"/>
      <c r="AA456" s="102" t="n"/>
      <c r="AB456" s="102" t="n"/>
      <c r="AC456" s="102" t="n"/>
      <c r="AD456" s="102" t="n"/>
    </row>
    <row r="457" ht="15.75" customHeight="1" s="205">
      <c r="A457" s="102" t="n"/>
      <c r="B457" s="142" t="n"/>
      <c r="C457" s="143" t="n"/>
      <c r="D457" s="143" t="n"/>
      <c r="E457" s="143" t="n"/>
      <c r="F457" s="143" t="n"/>
      <c r="G457" s="144" t="n"/>
      <c r="H457" s="145">
        <f>IF(K457&lt;&gt;"", HYPERLINK("https://chatgpt.com/?prompt=" &amp; SUBSTITUTE(SUBSTITUTE(K457, " ", "+"), "&amp;", "dan") &amp; "&amp;force-refresh=true&amp;timestamp=" &amp; TEXT(NOW(), "yyyymmddhhmmss"), "👉 Klik untuk Generate Script! 🔥"), "")</f>
        <v/>
      </c>
      <c r="I457" s="143" t="n"/>
      <c r="J457" s="146" t="n"/>
      <c r="K457" s="130">
        <f>IF(AND(B457&lt;&gt;"", C457&lt;&gt;"", D457&lt;&gt;"", E457&lt;&gt;"", F457&lt;&gt;"", G457&lt;&gt;"", J457&lt;&gt;"", 'CONTENT PILLAR MAPPING'!C360&lt;&gt;"", 'CONTENT PILLAR MAPPING'!E360&lt;&gt;"", 'CONTENT PILLAR MAPPING'!F360&lt;&gt;"", 'CONTENT PILLAR MAPPING'!C363&lt;&gt;"", 'CONTENT PILLAR MAPPING'!C368&lt;&gt;"", 'CONTENT PILLAR MAPPING'!D368&lt;&gt;"", 'CONTENT PILLAR MAPPING'!E368&lt;&gt;"", 'CONTENT PILLAR MAPPING'!D376&lt;&gt;"", 'CONTENT PILLAR MAPPING'!D377&lt;&gt;""),
CONCATENATE(
"Sebagai seorang top konten kreator dengan niche utama '", 'CONTENT PILLAR MAPPING'!C360, "', spesifik kategori '", 'CONTENT PILLAR MAPPING'!E360, "', dan super spesifik '", 'CONTENT PILLAR MAPPING'!F360, "', yang dikenal sebagai '", 'CONTENT PILLAR MAPPING'!C363, "'.", CHAR(10),
"Saya memiliki Tone of Voice: '", 'CONTENT PILLAR MAPPING'!C368, "', Brand Archetype: '", 'CONTENT PILLAR MAPPING'!D368, "', dan Deskripsi Gaya Komunikasi: '", 'CONTENT PILLAR MAPPING'!E368, "'.", CHAR(10),
"Target audiens saya adalah: '", 'CONTENT PILLAR MAPPING'!D376, "', dengan segmentasi audiens: '", 'CONTENT PILLAR MAPPING'!D377, "'.", CHAR(10), CHAR(10),
"Mohon buatkan script konten yang **sangat powerful, menarik, inovatif, dan siap pakai** dengan judul ide '", B457, "'.", CHAR(10),
"Konten ini memiliki pilar '", C457, "', nilai tambah utama '", F457, "', dan akan menggunakan storytelling framework '", G457, "'.", CHAR(10),
"Gambaran singkat ide kontennya adalah: '", J457, "'.", CHAR(10),
"Konten ini akan diunggah di platform '", E457, "' dengan format '", D457,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MAPPING'!C363, "'.** Sesuaikan dengan gaya komunikasi saya, dengan fokus pada nilai tambah '", F457,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MAPPING'!D376, ", khusus ", 'CONTENT PILLAR MAPPING'!D377, ") dan membantu mereka menyelesaikan masalah atau mencapai tujuan mereka.", CHAR(10),
"✔ Membantuku membangun personal branding yang kuat dan sustainable, sesuai dengan Positioning saya sebagai '", 'CONTENT PILLAR MAPPING'!C363, "' dan Brand Archetype '", 'CONTENT PILLAR MAPPING'!D368, "'.", CHAR(10),
"✔ Kemas dalam bentuk tabel agar rapi, mudah di baca dan dipahami, dengan kolom 'Judul Konten', 'Pilar', 'Format', 'Draft Script', 'CTA', 'Saran Visual', dan 'Full Caption'. (Kosongkan kolom Link Prompt jika ada)."
),
"")</f>
        <v/>
      </c>
      <c r="L457" s="91" t="n"/>
      <c r="M457" s="91" t="n"/>
      <c r="N457" s="102" t="n"/>
      <c r="O457" s="102" t="n"/>
      <c r="P457" s="102" t="n"/>
      <c r="Q457" s="102" t="n"/>
      <c r="R457" s="102" t="n"/>
      <c r="S457" s="102" t="n"/>
      <c r="T457" s="102" t="n"/>
      <c r="U457" s="102" t="n"/>
      <c r="V457" s="102" t="n"/>
      <c r="W457" s="102" t="n"/>
      <c r="X457" s="102" t="n"/>
      <c r="Y457" s="102" t="n"/>
      <c r="Z457" s="102" t="n"/>
      <c r="AA457" s="102" t="n"/>
      <c r="AB457" s="102" t="n"/>
      <c r="AC457" s="102" t="n"/>
      <c r="AD457" s="102" t="n"/>
    </row>
    <row r="458" ht="15.75" customHeight="1" s="205">
      <c r="A458" s="102" t="n"/>
      <c r="B458" s="147" t="n"/>
      <c r="C458" s="144" t="n"/>
      <c r="D458" s="144" t="n"/>
      <c r="E458" s="144" t="n"/>
      <c r="F458" s="144" t="n"/>
      <c r="G458" s="144" t="n"/>
      <c r="H458" s="141">
        <f>IF(K458&lt;&gt;"", HYPERLINK("https://chatgpt.com/?prompt=" &amp; SUBSTITUTE(SUBSTITUTE(K458, " ", "+"), "&amp;", "dan") &amp; "&amp;force-refresh=true&amp;timestamp=" &amp; TEXT(NOW(), "yyyymmddhhmmss"), "👉 Klik untuk Generate Script! 🔥"), "")</f>
        <v/>
      </c>
      <c r="I458" s="144" t="n"/>
      <c r="J458" s="148" t="n"/>
      <c r="K458" s="140">
        <f>IF(AND(B458&lt;&gt;"", C458&lt;&gt;"", D458&lt;&gt;"", E458&lt;&gt;"", F458&lt;&gt;"", G458&lt;&gt;"", J458&lt;&gt;"", 'CONTENT PILLAR MAPPING'!C360&lt;&gt;"", 'CONTENT PILLAR MAPPING'!E360&lt;&gt;"", 'CONTENT PILLAR MAPPING'!F360&lt;&gt;"", 'CONTENT PILLAR MAPPING'!C363&lt;&gt;"", 'CONTENT PILLAR MAPPING'!C368&lt;&gt;"", 'CONTENT PILLAR MAPPING'!D368&lt;&gt;"", 'CONTENT PILLAR MAPPING'!E368&lt;&gt;"", 'CONTENT PILLAR MAPPING'!D376&lt;&gt;"", 'CONTENT PILLAR MAPPING'!D377&lt;&gt;""),
CONCATENATE(
"Sebagai seorang top konten kreator dengan niche utama '", 'CONTENT PILLAR MAPPING'!C360, "', spesifik kategori '", 'CONTENT PILLAR MAPPING'!E360, "', dan super spesifik '", 'CONTENT PILLAR MAPPING'!F360, "', yang dikenal sebagai '", 'CONTENT PILLAR MAPPING'!C363, "'.", CHAR(10),
"Saya memiliki Tone of Voice: '", 'CONTENT PILLAR MAPPING'!C368, "', Brand Archetype: '", 'CONTENT PILLAR MAPPING'!D368, "', dan Deskripsi Gaya Komunikasi: '", 'CONTENT PILLAR MAPPING'!E368, "'.", CHAR(10),
"Target audiens saya adalah: '", 'CONTENT PILLAR MAPPING'!D376, "', dengan segmentasi audiens: '", 'CONTENT PILLAR MAPPING'!D377, "'.", CHAR(10), CHAR(10),
"Mohon buatkan script konten yang **sangat powerful, menarik, inovatif, dan siap pakai** dengan judul ide '", B458, "'.", CHAR(10),
"Konten ini memiliki pilar '", C458, "', nilai tambah utama '", F458, "', dan akan menggunakan storytelling framework '", G458, "'.", CHAR(10),
"Gambaran singkat ide kontennya adalah: '", J458, "'.", CHAR(10),
"Konten ini akan diunggah di platform '", E458, "' dengan format '", D458,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MAPPING'!C363, "'.** Sesuaikan dengan gaya komunikasi saya, dengan fokus pada nilai tambah '", F458,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MAPPING'!D376, ", khusus ", 'CONTENT PILLAR MAPPING'!D377, ") dan membantu mereka menyelesaikan masalah atau mencapai tujuan mereka.", CHAR(10),
"✔ Membantuku membangun personal branding yang kuat dan sustainable, sesuai dengan Positioning saya sebagai '", 'CONTENT PILLAR MAPPING'!C363, "' dan Brand Archetype '", 'CONTENT PILLAR MAPPING'!D368, "'.", CHAR(10),
"✔ Kemas dalam bentuk tabel agar rapi, mudah di baca dan dipahami, dengan kolom 'Judul Konten', 'Pilar', 'Format', 'Draft Script', 'CTA', 'Saran Visual', dan 'Full Caption'. (Kosongkan kolom Link Prompt jika ada)."
),
"")</f>
        <v/>
      </c>
      <c r="L458" s="199" t="n"/>
      <c r="M458" s="199" t="n"/>
      <c r="N458" s="102" t="n"/>
      <c r="O458" s="102" t="n"/>
      <c r="P458" s="102" t="n"/>
      <c r="Q458" s="102" t="n"/>
      <c r="R458" s="102" t="n"/>
      <c r="S458" s="102" t="n"/>
      <c r="T458" s="102" t="n"/>
      <c r="U458" s="102" t="n"/>
      <c r="V458" s="102" t="n"/>
      <c r="W458" s="102" t="n"/>
      <c r="X458" s="102" t="n"/>
      <c r="Y458" s="102" t="n"/>
      <c r="Z458" s="102" t="n"/>
      <c r="AA458" s="102" t="n"/>
      <c r="AB458" s="102" t="n"/>
      <c r="AC458" s="102" t="n"/>
      <c r="AD458" s="102" t="n"/>
    </row>
    <row r="459" ht="15.75" customHeight="1" s="205">
      <c r="A459" s="102" t="n"/>
      <c r="B459" s="142" t="n"/>
      <c r="C459" s="143" t="n"/>
      <c r="D459" s="143" t="n"/>
      <c r="E459" s="143" t="n"/>
      <c r="F459" s="143" t="n"/>
      <c r="G459" s="144" t="n"/>
      <c r="H459" s="145">
        <f>IF(K459&lt;&gt;"", HYPERLINK("https://chatgpt.com/?prompt=" &amp; SUBSTITUTE(SUBSTITUTE(K459, " ", "+"), "&amp;", "dan") &amp; "&amp;force-refresh=true&amp;timestamp=" &amp; TEXT(NOW(), "yyyymmddhhmmss"), "👉 Klik untuk Generate Script! 🔥"), "")</f>
        <v/>
      </c>
      <c r="I459" s="143" t="n"/>
      <c r="J459" s="146" t="n"/>
      <c r="K459" s="130">
        <f>IF(AND(B459&lt;&gt;"", C459&lt;&gt;"", D459&lt;&gt;"", E459&lt;&gt;"", F459&lt;&gt;"", G459&lt;&gt;"", J459&lt;&gt;"", 'CONTENT PILLAR MAPPING'!C362&lt;&gt;"", 'CONTENT PILLAR MAPPING'!E362&lt;&gt;"", 'CONTENT PILLAR MAPPING'!F362&lt;&gt;"", 'CONTENT PILLAR MAPPING'!C365&lt;&gt;"", 'CONTENT PILLAR MAPPING'!C370&lt;&gt;"", 'CONTENT PILLAR MAPPING'!D370&lt;&gt;"", 'CONTENT PILLAR MAPPING'!E370&lt;&gt;"", 'CONTENT PILLAR MAPPING'!D378&lt;&gt;"", 'CONTENT PILLAR MAPPING'!D379&lt;&gt;""),
CONCATENATE(
"Sebagai seorang top konten kreator dengan niche utama '", 'CONTENT PILLAR MAPPING'!C362, "', spesifik kategori '", 'CONTENT PILLAR MAPPING'!E362, "', dan super spesifik '", 'CONTENT PILLAR MAPPING'!F362, "', yang dikenal sebagai '", 'CONTENT PILLAR MAPPING'!C365, "'.", CHAR(10),
"Saya memiliki Tone of Voice: '", 'CONTENT PILLAR MAPPING'!C370, "', Brand Archetype: '", 'CONTENT PILLAR MAPPING'!D370, "', dan Deskripsi Gaya Komunikasi: '", 'CONTENT PILLAR MAPPING'!E370, "'.", CHAR(10),
"Target audiens saya adalah: '", 'CONTENT PILLAR MAPPING'!D378, "', dengan segmentasi audiens: '", 'CONTENT PILLAR MAPPING'!D379, "'.", CHAR(10), CHAR(10),
"Mohon buatkan script konten yang **sangat powerful, menarik, inovatif, dan siap pakai** dengan judul ide '", B459, "'.", CHAR(10),
"Konten ini memiliki pilar '", C459, "', nilai tambah utama '", F459, "', dan akan menggunakan storytelling framework '", G459, "'.", CHAR(10),
"Gambaran singkat ide kontennya adalah: '", J459, "'.", CHAR(10),
"Konten ini akan diunggah di platform '", E459, "' dengan format '", D459,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MAPPING'!C365, "'.** Sesuaikan dengan gaya komunikasi saya, dengan fokus pada nilai tambah '", F459,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MAPPING'!D378, ", khusus ", 'CONTENT PILLAR MAPPING'!D379, ") dan membantu mereka menyelesaikan masalah atau mencapai tujuan mereka.", CHAR(10),
"✔ Membantuku membangun personal branding yang kuat dan sustainable, sesuai dengan Positioning saya sebagai '", 'CONTENT PILLAR MAPPING'!C365, "' dan Brand Archetype '", 'CONTENT PILLAR MAPPING'!D370, "'.", CHAR(10),
"✔ Kemas dalam bentuk tabel agar rapi, mudah di baca dan dipahami, dengan kolom 'Judul Konten', 'Pilar', 'Format', 'Draft Script', 'CTA', 'Saran Visual', dan 'Full Caption'. (Kosongkan kolom Link Prompt jika ada)."
),
"")</f>
        <v/>
      </c>
      <c r="L459" s="91" t="n"/>
      <c r="M459" s="91" t="n"/>
      <c r="N459" s="102" t="n"/>
      <c r="O459" s="102" t="n"/>
      <c r="P459" s="102" t="n"/>
      <c r="Q459" s="102" t="n"/>
      <c r="R459" s="102" t="n"/>
      <c r="S459" s="102" t="n"/>
      <c r="T459" s="102" t="n"/>
      <c r="U459" s="102" t="n"/>
      <c r="V459" s="102" t="n"/>
      <c r="W459" s="102" t="n"/>
      <c r="X459" s="102" t="n"/>
      <c r="Y459" s="102" t="n"/>
      <c r="Z459" s="102" t="n"/>
      <c r="AA459" s="102" t="n"/>
      <c r="AB459" s="102" t="n"/>
      <c r="AC459" s="102" t="n"/>
      <c r="AD459" s="102" t="n"/>
    </row>
    <row r="460" ht="15.75" customHeight="1" s="205">
      <c r="A460" s="102" t="n"/>
      <c r="B460" s="147" t="n"/>
      <c r="C460" s="144" t="n"/>
      <c r="D460" s="144" t="n"/>
      <c r="E460" s="144" t="n"/>
      <c r="F460" s="144" t="n"/>
      <c r="G460" s="144" t="n"/>
      <c r="H460" s="141">
        <f>IF(K460&lt;&gt;"", HYPERLINK("https://chatgpt.com/?prompt=" &amp; SUBSTITUTE(SUBSTITUTE(K460, " ", "+"), "&amp;", "dan") &amp; "&amp;force-refresh=true&amp;timestamp=" &amp; TEXT(NOW(), "yyyymmddhhmmss"), "👉 Klik untuk Generate Script! 🔥"), "")</f>
        <v/>
      </c>
      <c r="I460" s="144" t="n"/>
      <c r="J460" s="148" t="n"/>
      <c r="K460" s="140">
        <f>IF(AND(B460&lt;&gt;"", C460&lt;&gt;"", D460&lt;&gt;"", E460&lt;&gt;"", F460&lt;&gt;"", G460&lt;&gt;"", J460&lt;&gt;"", 'CONTENT PILLAR MAPPING'!C362&lt;&gt;"", 'CONTENT PILLAR MAPPING'!E362&lt;&gt;"", 'CONTENT PILLAR MAPPING'!F362&lt;&gt;"", 'CONTENT PILLAR MAPPING'!C365&lt;&gt;"", 'CONTENT PILLAR MAPPING'!C370&lt;&gt;"", 'CONTENT PILLAR MAPPING'!D370&lt;&gt;"", 'CONTENT PILLAR MAPPING'!E370&lt;&gt;"", 'CONTENT PILLAR MAPPING'!D378&lt;&gt;"", 'CONTENT PILLAR MAPPING'!D379&lt;&gt;""),
CONCATENATE(
"Sebagai seorang top konten kreator dengan niche utama '", 'CONTENT PILLAR MAPPING'!C362, "', spesifik kategori '", 'CONTENT PILLAR MAPPING'!E362, "', dan super spesifik '", 'CONTENT PILLAR MAPPING'!F362, "', yang dikenal sebagai '", 'CONTENT PILLAR MAPPING'!C365, "'.", CHAR(10),
"Saya memiliki Tone of Voice: '", 'CONTENT PILLAR MAPPING'!C370, "', Brand Archetype: '", 'CONTENT PILLAR MAPPING'!D370, "', dan Deskripsi Gaya Komunikasi: '", 'CONTENT PILLAR MAPPING'!E370, "'.", CHAR(10),
"Target audiens saya adalah: '", 'CONTENT PILLAR MAPPING'!D378, "', dengan segmentasi audiens: '", 'CONTENT PILLAR MAPPING'!D379, "'.", CHAR(10), CHAR(10),
"Mohon buatkan script konten yang **sangat powerful, menarik, inovatif, dan siap pakai** dengan judul ide '", B460, "'.", CHAR(10),
"Konten ini memiliki pilar '", C460, "', nilai tambah utama '", F460, "', dan akan menggunakan storytelling framework '", G460, "'.", CHAR(10),
"Gambaran singkat ide kontennya adalah: '", J460, "'.", CHAR(10),
"Konten ini akan diunggah di platform '", E460, "' dengan format '", D460,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MAPPING'!C365, "'.** Sesuaikan dengan gaya komunikasi saya, dengan fokus pada nilai tambah '", F460,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MAPPING'!D378, ", khusus ", 'CONTENT PILLAR MAPPING'!D379, ") dan membantu mereka menyelesaikan masalah atau mencapai tujuan mereka.", CHAR(10),
"✔ Membantuku membangun personal branding yang kuat dan sustainable, sesuai dengan Positioning saya sebagai '", 'CONTENT PILLAR MAPPING'!C365, "' dan Brand Archetype '", 'CONTENT PILLAR MAPPING'!D370, "'.", CHAR(10),
"✔ Kemas dalam bentuk tabel agar rapi, mudah di baca dan dipahami, dengan kolom 'Judul Konten', 'Pilar', 'Format', 'Draft Script', 'CTA', 'Saran Visual', dan 'Full Caption'. (Kosongkan kolom Link Prompt jika ada)."
),
"")</f>
        <v/>
      </c>
      <c r="L460" s="199" t="n"/>
      <c r="M460" s="199" t="n"/>
      <c r="N460" s="102" t="n"/>
      <c r="O460" s="102" t="n"/>
      <c r="P460" s="102" t="n"/>
      <c r="Q460" s="102" t="n"/>
      <c r="R460" s="102" t="n"/>
      <c r="S460" s="102" t="n"/>
      <c r="T460" s="102" t="n"/>
      <c r="U460" s="102" t="n"/>
      <c r="V460" s="102" t="n"/>
      <c r="W460" s="102" t="n"/>
      <c r="X460" s="102" t="n"/>
      <c r="Y460" s="102" t="n"/>
      <c r="Z460" s="102" t="n"/>
      <c r="AA460" s="102" t="n"/>
      <c r="AB460" s="102" t="n"/>
      <c r="AC460" s="102" t="n"/>
      <c r="AD460" s="102" t="n"/>
    </row>
    <row r="461" ht="15.75" customHeight="1" s="205">
      <c r="A461" s="102" t="n"/>
      <c r="B461" s="142" t="n"/>
      <c r="C461" s="143" t="n"/>
      <c r="D461" s="143" t="n"/>
      <c r="E461" s="143" t="n"/>
      <c r="F461" s="143" t="n"/>
      <c r="G461" s="144" t="n"/>
      <c r="H461" s="145">
        <f>IF(K461&lt;&gt;"", HYPERLINK("https://chatgpt.com/?prompt=" &amp; SUBSTITUTE(SUBSTITUTE(K461, " ", "+"), "&amp;", "dan") &amp; "&amp;force-refresh=true&amp;timestamp=" &amp; TEXT(NOW(), "yyyymmddhhmmss"), "👉 Klik untuk Generate Script! 🔥"), "")</f>
        <v/>
      </c>
      <c r="I461" s="143" t="n"/>
      <c r="J461" s="146" t="n"/>
      <c r="K461" s="130">
        <f>IF(AND(B461&lt;&gt;"", C461&lt;&gt;"", D461&lt;&gt;"", E461&lt;&gt;"", F461&lt;&gt;"", G461&lt;&gt;"", J461&lt;&gt;"", 'CONTENT PILLAR MAPPING'!C364&lt;&gt;"", 'CONTENT PILLAR MAPPING'!E364&lt;&gt;"", 'CONTENT PILLAR MAPPING'!F364&lt;&gt;"", 'CONTENT PILLAR MAPPING'!C367&lt;&gt;"", 'CONTENT PILLAR MAPPING'!C372&lt;&gt;"", 'CONTENT PILLAR MAPPING'!D372&lt;&gt;"", 'CONTENT PILLAR MAPPING'!E372&lt;&gt;"", 'CONTENT PILLAR MAPPING'!D380&lt;&gt;"", 'CONTENT PILLAR MAPPING'!D381&lt;&gt;""),
CONCATENATE(
"Sebagai seorang top konten kreator dengan niche utama '", 'CONTENT PILLAR MAPPING'!C364, "', spesifik kategori '", 'CONTENT PILLAR MAPPING'!E364, "', dan super spesifik '", 'CONTENT PILLAR MAPPING'!F364, "', yang dikenal sebagai '", 'CONTENT PILLAR MAPPING'!C367, "'.", CHAR(10),
"Saya memiliki Tone of Voice: '", 'CONTENT PILLAR MAPPING'!C372, "', Brand Archetype: '", 'CONTENT PILLAR MAPPING'!D372, "', dan Deskripsi Gaya Komunikasi: '", 'CONTENT PILLAR MAPPING'!E372, "'.", CHAR(10),
"Target audiens saya adalah: '", 'CONTENT PILLAR MAPPING'!D380, "', dengan segmentasi audiens: '", 'CONTENT PILLAR MAPPING'!D381, "'.", CHAR(10), CHAR(10),
"Mohon buatkan script konten yang **sangat powerful, menarik, inovatif, dan siap pakai** dengan judul ide '", B461, "'.", CHAR(10),
"Konten ini memiliki pilar '", C461, "', nilai tambah utama '", F461, "', dan akan menggunakan storytelling framework '", G461, "'.", CHAR(10),
"Gambaran singkat ide kontennya adalah: '", J461, "'.", CHAR(10),
"Konten ini akan diunggah di platform '", E461, "' dengan format '", D461,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MAPPING'!C367, "'.** Sesuaikan dengan gaya komunikasi saya, dengan fokus pada nilai tambah '", F461,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MAPPING'!D380, ", khusus ", 'CONTENT PILLAR MAPPING'!D381, ") dan membantu mereka menyelesaikan masalah atau mencapai tujuan mereka.", CHAR(10),
"✔ Membantuku membangun personal branding yang kuat dan sustainable, sesuai dengan Positioning saya sebagai '", 'CONTENT PILLAR MAPPING'!C367, "' dan Brand Archetype '", 'CONTENT PILLAR MAPPING'!D372, "'.", CHAR(10),
"✔ Kemas dalam bentuk tabel agar rapi, mudah di baca dan dipahami, dengan kolom 'Judul Konten', 'Pilar', 'Format', 'Draft Script', 'CTA', 'Saran Visual', dan 'Full Caption'. (Kosongkan kolom Link Prompt jika ada)."
),
"")</f>
        <v/>
      </c>
      <c r="L461" s="91" t="n"/>
      <c r="M461" s="91" t="n"/>
      <c r="N461" s="102" t="n"/>
      <c r="O461" s="102" t="n"/>
      <c r="P461" s="102" t="n"/>
      <c r="Q461" s="102" t="n"/>
      <c r="R461" s="102" t="n"/>
      <c r="S461" s="102" t="n"/>
      <c r="T461" s="102" t="n"/>
      <c r="U461" s="102" t="n"/>
      <c r="V461" s="102" t="n"/>
      <c r="W461" s="102" t="n"/>
      <c r="X461" s="102" t="n"/>
      <c r="Y461" s="102" t="n"/>
      <c r="Z461" s="102" t="n"/>
      <c r="AA461" s="102" t="n"/>
      <c r="AB461" s="102" t="n"/>
      <c r="AC461" s="102" t="n"/>
      <c r="AD461" s="102" t="n"/>
    </row>
    <row r="462" ht="15.75" customHeight="1" s="205">
      <c r="A462" s="102" t="n"/>
      <c r="B462" s="147" t="n"/>
      <c r="C462" s="144" t="n"/>
      <c r="D462" s="144" t="n"/>
      <c r="E462" s="144" t="n"/>
      <c r="F462" s="144" t="n"/>
      <c r="G462" s="144" t="n"/>
      <c r="H462" s="141">
        <f>IF(K462&lt;&gt;"", HYPERLINK("https://chatgpt.com/?prompt=" &amp; SUBSTITUTE(SUBSTITUTE(K462, " ", "+"), "&amp;", "dan") &amp; "&amp;force-refresh=true&amp;timestamp=" &amp; TEXT(NOW(), "yyyymmddhhmmss"), "👉 Klik untuk Generate Script! 🔥"), "")</f>
        <v/>
      </c>
      <c r="I462" s="144" t="n"/>
      <c r="J462" s="148" t="n"/>
      <c r="K462" s="140">
        <f>IF(AND(B462&lt;&gt;"", C462&lt;&gt;"", D462&lt;&gt;"", E462&lt;&gt;"", F462&lt;&gt;"", G462&lt;&gt;"", J462&lt;&gt;"", 'CONTENT PILLAR MAPPING'!C364&lt;&gt;"", 'CONTENT PILLAR MAPPING'!E364&lt;&gt;"", 'CONTENT PILLAR MAPPING'!F364&lt;&gt;"", 'CONTENT PILLAR MAPPING'!C367&lt;&gt;"", 'CONTENT PILLAR MAPPING'!C372&lt;&gt;"", 'CONTENT PILLAR MAPPING'!D372&lt;&gt;"", 'CONTENT PILLAR MAPPING'!E372&lt;&gt;"", 'CONTENT PILLAR MAPPING'!D380&lt;&gt;"", 'CONTENT PILLAR MAPPING'!D381&lt;&gt;""),
CONCATENATE(
"Sebagai seorang top konten kreator dengan niche utama '", 'CONTENT PILLAR MAPPING'!C364, "', spesifik kategori '", 'CONTENT PILLAR MAPPING'!E364, "', dan super spesifik '", 'CONTENT PILLAR MAPPING'!F364, "', yang dikenal sebagai '", 'CONTENT PILLAR MAPPING'!C367, "'.", CHAR(10),
"Saya memiliki Tone of Voice: '", 'CONTENT PILLAR MAPPING'!C372, "', Brand Archetype: '", 'CONTENT PILLAR MAPPING'!D372, "', dan Deskripsi Gaya Komunikasi: '", 'CONTENT PILLAR MAPPING'!E372, "'.", CHAR(10),
"Target audiens saya adalah: '", 'CONTENT PILLAR MAPPING'!D380, "', dengan segmentasi audiens: '", 'CONTENT PILLAR MAPPING'!D381, "'.", CHAR(10), CHAR(10),
"Mohon buatkan script konten yang **sangat powerful, menarik, inovatif, dan siap pakai** dengan judul ide '", B462, "'.", CHAR(10),
"Konten ini memiliki pilar '", C462, "', nilai tambah utama '", F462, "', dan akan menggunakan storytelling framework '", G462, "'.", CHAR(10),
"Gambaran singkat ide kontennya adalah: '", J462, "'.", CHAR(10),
"Konten ini akan diunggah di platform '", E462, "' dengan format '", D462,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MAPPING'!C367, "'.** Sesuaikan dengan gaya komunikasi saya, dengan fokus pada nilai tambah '", F462,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MAPPING'!D380, ", khusus ", 'CONTENT PILLAR MAPPING'!D381, ") dan membantu mereka menyelesaikan masalah atau mencapai tujuan mereka.", CHAR(10),
"✔ Membantuku membangun personal branding yang kuat dan sustainable, sesuai dengan Positioning saya sebagai '", 'CONTENT PILLAR MAPPING'!C367, "' dan Brand Archetype '", 'CONTENT PILLAR MAPPING'!D372, "'.", CHAR(10),
"✔ Kemas dalam bentuk tabel agar rapi, mudah di baca dan dipahami, dengan kolom 'Judul Konten', 'Pilar', 'Format', 'Draft Script', 'CTA', 'Saran Visual', dan 'Full Caption'. (Kosongkan kolom Link Prompt jika ada)."
),
"")</f>
        <v/>
      </c>
      <c r="L462" s="199" t="n"/>
      <c r="M462" s="199" t="n"/>
      <c r="N462" s="102" t="n"/>
      <c r="O462" s="102" t="n"/>
      <c r="P462" s="102" t="n"/>
      <c r="Q462" s="102" t="n"/>
      <c r="R462" s="102" t="n"/>
      <c r="S462" s="102" t="n"/>
      <c r="T462" s="102" t="n"/>
      <c r="U462" s="102" t="n"/>
      <c r="V462" s="102" t="n"/>
      <c r="W462" s="102" t="n"/>
      <c r="X462" s="102" t="n"/>
      <c r="Y462" s="102" t="n"/>
      <c r="Z462" s="102" t="n"/>
      <c r="AA462" s="102" t="n"/>
      <c r="AB462" s="102" t="n"/>
      <c r="AC462" s="102" t="n"/>
      <c r="AD462" s="102" t="n"/>
    </row>
    <row r="463" ht="15.75" customHeight="1" s="205">
      <c r="A463" s="102" t="n"/>
      <c r="B463" s="142" t="n"/>
      <c r="C463" s="143" t="n"/>
      <c r="D463" s="143" t="n"/>
      <c r="E463" s="143" t="n"/>
      <c r="F463" s="143" t="n"/>
      <c r="G463" s="144" t="n"/>
      <c r="H463" s="145">
        <f>IF(K463&lt;&gt;"", HYPERLINK("https://chatgpt.com/?prompt=" &amp; SUBSTITUTE(SUBSTITUTE(K463, " ", "+"), "&amp;", "dan") &amp; "&amp;force-refresh=true&amp;timestamp=" &amp; TEXT(NOW(), "yyyymmddhhmmss"), "👉 Klik untuk Generate Script! 🔥"), "")</f>
        <v/>
      </c>
      <c r="I463" s="143" t="n"/>
      <c r="J463" s="146" t="n"/>
      <c r="K463" s="130">
        <f>IF(AND(B463&lt;&gt;"", C463&lt;&gt;"", D463&lt;&gt;"", E463&lt;&gt;"", F463&lt;&gt;"", G463&lt;&gt;"", J463&lt;&gt;"", 'CONTENT PILLAR MAPPING'!C366&lt;&gt;"", 'CONTENT PILLAR MAPPING'!E366&lt;&gt;"", 'CONTENT PILLAR MAPPING'!F366&lt;&gt;"", 'CONTENT PILLAR MAPPING'!C369&lt;&gt;"", 'CONTENT PILLAR MAPPING'!C374&lt;&gt;"", 'CONTENT PILLAR MAPPING'!D374&lt;&gt;"", 'CONTENT PILLAR MAPPING'!E374&lt;&gt;"", 'CONTENT PILLAR MAPPING'!D382&lt;&gt;"", 'CONTENT PILLAR MAPPING'!D383&lt;&gt;""),
CONCATENATE(
"Sebagai seorang top konten kreator dengan niche utama '", 'CONTENT PILLAR MAPPING'!C366, "', spesifik kategori '", 'CONTENT PILLAR MAPPING'!E366, "', dan super spesifik '", 'CONTENT PILLAR MAPPING'!F366, "', yang dikenal sebagai '", 'CONTENT PILLAR MAPPING'!C369, "'.", CHAR(10),
"Saya memiliki Tone of Voice: '", 'CONTENT PILLAR MAPPING'!C374, "', Brand Archetype: '", 'CONTENT PILLAR MAPPING'!D374, "', dan Deskripsi Gaya Komunikasi: '", 'CONTENT PILLAR MAPPING'!E374, "'.", CHAR(10),
"Target audiens saya adalah: '", 'CONTENT PILLAR MAPPING'!D382, "', dengan segmentasi audiens: '", 'CONTENT PILLAR MAPPING'!D383, "'.", CHAR(10), CHAR(10),
"Mohon buatkan script konten yang **sangat powerful, menarik, inovatif, dan siap pakai** dengan judul ide '", B463, "'.", CHAR(10),
"Konten ini memiliki pilar '", C463, "', nilai tambah utama '", F463, "', dan akan menggunakan storytelling framework '", G463, "'.", CHAR(10),
"Gambaran singkat ide kontennya adalah: '", J463, "'.", CHAR(10),
"Konten ini akan diunggah di platform '", E463, "' dengan format '", D463,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MAPPING'!C369, "'.** Sesuaikan dengan gaya komunikasi saya, dengan fokus pada nilai tambah '", F463,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MAPPING'!D382, ", khusus ", 'CONTENT PILLAR MAPPING'!D383, ") dan membantu mereka menyelesaikan masalah atau mencapai tujuan mereka.", CHAR(10),
"✔ Membantuku membangun personal branding yang kuat dan sustainable, sesuai dengan Positioning saya sebagai '", 'CONTENT PILLAR MAPPING'!C369, "' dan Brand Archetype '", 'CONTENT PILLAR MAPPING'!D374, "'.", CHAR(10),
"✔ Kemas dalam bentuk tabel agar rapi, mudah di baca dan dipahami, dengan kolom 'Judul Konten', 'Pilar', 'Format', 'Draft Script', 'CTA', 'Saran Visual', dan 'Full Caption'. (Kosongkan kolom Link Prompt jika ada)."
),
"")</f>
        <v/>
      </c>
      <c r="L463" s="91" t="n"/>
      <c r="M463" s="91" t="n"/>
      <c r="N463" s="102" t="n"/>
      <c r="O463" s="102" t="n"/>
      <c r="P463" s="102" t="n"/>
      <c r="Q463" s="102" t="n"/>
      <c r="R463" s="102" t="n"/>
      <c r="S463" s="102" t="n"/>
      <c r="T463" s="102" t="n"/>
      <c r="U463" s="102" t="n"/>
      <c r="V463" s="102" t="n"/>
      <c r="W463" s="102" t="n"/>
      <c r="X463" s="102" t="n"/>
      <c r="Y463" s="102" t="n"/>
      <c r="Z463" s="102" t="n"/>
      <c r="AA463" s="102" t="n"/>
      <c r="AB463" s="102" t="n"/>
      <c r="AC463" s="102" t="n"/>
      <c r="AD463" s="102" t="n"/>
    </row>
    <row r="464" ht="15.75" customHeight="1" s="205">
      <c r="A464" s="102" t="n"/>
      <c r="B464" s="147" t="n"/>
      <c r="C464" s="144" t="n"/>
      <c r="D464" s="144" t="n"/>
      <c r="E464" s="144" t="n"/>
      <c r="F464" s="144" t="n"/>
      <c r="G464" s="144" t="n"/>
      <c r="H464" s="141">
        <f>IF(K464&lt;&gt;"", HYPERLINK("https://chatgpt.com/?prompt=" &amp; SUBSTITUTE(SUBSTITUTE(K464, " ", "+"), "&amp;", "dan") &amp; "&amp;force-refresh=true&amp;timestamp=" &amp; TEXT(NOW(), "yyyymmddhhmmss"), "👉 Klik untuk Generate Script! 🔥"), "")</f>
        <v/>
      </c>
      <c r="I464" s="144" t="n"/>
      <c r="J464" s="148" t="n"/>
      <c r="K464" s="140">
        <f>IF(AND(B464&lt;&gt;"", C464&lt;&gt;"", D464&lt;&gt;"", E464&lt;&gt;"", F464&lt;&gt;"", G464&lt;&gt;"", J464&lt;&gt;"", 'CONTENT PILLAR MAPPING'!C366&lt;&gt;"", 'CONTENT PILLAR MAPPING'!E366&lt;&gt;"", 'CONTENT PILLAR MAPPING'!F366&lt;&gt;"", 'CONTENT PILLAR MAPPING'!C369&lt;&gt;"", 'CONTENT PILLAR MAPPING'!C374&lt;&gt;"", 'CONTENT PILLAR MAPPING'!D374&lt;&gt;"", 'CONTENT PILLAR MAPPING'!E374&lt;&gt;"", 'CONTENT PILLAR MAPPING'!D382&lt;&gt;"", 'CONTENT PILLAR MAPPING'!D383&lt;&gt;""),
CONCATENATE(
"Sebagai seorang top konten kreator dengan niche utama '", 'CONTENT PILLAR MAPPING'!C366, "', spesifik kategori '", 'CONTENT PILLAR MAPPING'!E366, "', dan super spesifik '", 'CONTENT PILLAR MAPPING'!F366, "', yang dikenal sebagai '", 'CONTENT PILLAR MAPPING'!C369, "'.", CHAR(10),
"Saya memiliki Tone of Voice: '", 'CONTENT PILLAR MAPPING'!C374, "', Brand Archetype: '", 'CONTENT PILLAR MAPPING'!D374, "', dan Deskripsi Gaya Komunikasi: '", 'CONTENT PILLAR MAPPING'!E374, "'.", CHAR(10),
"Target audiens saya adalah: '", 'CONTENT PILLAR MAPPING'!D382, "', dengan segmentasi audiens: '", 'CONTENT PILLAR MAPPING'!D383, "'.", CHAR(10), CHAR(10),
"Mohon buatkan script konten yang **sangat powerful, menarik, inovatif, dan siap pakai** dengan judul ide '", B464, "'.", CHAR(10),
"Konten ini memiliki pilar '", C464, "', nilai tambah utama '", F464, "', dan akan menggunakan storytelling framework '", G464, "'.", CHAR(10),
"Gambaran singkat ide kontennya adalah: '", J464, "'.", CHAR(10),
"Konten ini akan diunggah di platform '", E464, "' dengan format '", D464,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MAPPING'!C369, "'.** Sesuaikan dengan gaya komunikasi saya, dengan fokus pada nilai tambah '", F464,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MAPPING'!D382, ", khusus ", 'CONTENT PILLAR MAPPING'!D383, ") dan membantu mereka menyelesaikan masalah atau mencapai tujuan mereka.", CHAR(10),
"✔ Membantuku membangun personal branding yang kuat dan sustainable, sesuai dengan Positioning saya sebagai '", 'CONTENT PILLAR MAPPING'!C369, "' dan Brand Archetype '", 'CONTENT PILLAR MAPPING'!D374, "'.", CHAR(10),
"✔ Kemas dalam bentuk tabel agar rapi, mudah di baca dan dipahami, dengan kolom 'Judul Konten', 'Pilar', 'Format', 'Draft Script', 'CTA', 'Saran Visual', dan 'Full Caption'. (Kosongkan kolom Link Prompt jika ada)."
),
"")</f>
        <v/>
      </c>
      <c r="L464" s="199" t="n"/>
      <c r="M464" s="199" t="n"/>
      <c r="N464" s="102" t="n"/>
      <c r="O464" s="102" t="n"/>
      <c r="P464" s="102" t="n"/>
      <c r="Q464" s="102" t="n"/>
      <c r="R464" s="102" t="n"/>
      <c r="S464" s="102" t="n"/>
      <c r="T464" s="102" t="n"/>
      <c r="U464" s="102" t="n"/>
      <c r="V464" s="102" t="n"/>
      <c r="W464" s="102" t="n"/>
      <c r="X464" s="102" t="n"/>
      <c r="Y464" s="102" t="n"/>
      <c r="Z464" s="102" t="n"/>
      <c r="AA464" s="102" t="n"/>
      <c r="AB464" s="102" t="n"/>
      <c r="AC464" s="102" t="n"/>
      <c r="AD464" s="102" t="n"/>
    </row>
    <row r="465" ht="15.75" customHeight="1" s="205">
      <c r="A465" s="102" t="n"/>
      <c r="B465" s="142" t="n"/>
      <c r="C465" s="143" t="n"/>
      <c r="D465" s="143" t="n"/>
      <c r="E465" s="143" t="n"/>
      <c r="F465" s="143" t="n"/>
      <c r="G465" s="144" t="n"/>
      <c r="H465" s="145">
        <f>IF(K465&lt;&gt;"", HYPERLINK("https://chatgpt.com/?prompt=" &amp; SUBSTITUTE(SUBSTITUTE(K465, " ", "+"), "&amp;", "dan") &amp; "&amp;force-refresh=true&amp;timestamp=" &amp; TEXT(NOW(), "yyyymmddhhmmss"), "👉 Klik untuk Generate Script! 🔥"), "")</f>
        <v/>
      </c>
      <c r="I465" s="143" t="n"/>
      <c r="J465" s="146" t="n"/>
      <c r="K465" s="130">
        <f>IF(AND(B465&lt;&gt;"", C465&lt;&gt;"", D465&lt;&gt;"", E465&lt;&gt;"", F465&lt;&gt;"", G465&lt;&gt;"", J465&lt;&gt;"", 'CONTENT PILLAR MAPPING'!C368&lt;&gt;"", 'CONTENT PILLAR MAPPING'!E368&lt;&gt;"", 'CONTENT PILLAR MAPPING'!F368&lt;&gt;"", 'CONTENT PILLAR MAPPING'!C371&lt;&gt;"", 'CONTENT PILLAR MAPPING'!C376&lt;&gt;"", 'CONTENT PILLAR MAPPING'!D376&lt;&gt;"", 'CONTENT PILLAR MAPPING'!E376&lt;&gt;"", 'CONTENT PILLAR MAPPING'!D384&lt;&gt;"", 'CONTENT PILLAR MAPPING'!D385&lt;&gt;""),
CONCATENATE(
"Sebagai seorang top konten kreator dengan niche utama '", 'CONTENT PILLAR MAPPING'!C368, "', spesifik kategori '", 'CONTENT PILLAR MAPPING'!E368, "', dan super spesifik '", 'CONTENT PILLAR MAPPING'!F368, "', yang dikenal sebagai '", 'CONTENT PILLAR MAPPING'!C371, "'.", CHAR(10),
"Saya memiliki Tone of Voice: '", 'CONTENT PILLAR MAPPING'!C376, "', Brand Archetype: '", 'CONTENT PILLAR MAPPING'!D376, "', dan Deskripsi Gaya Komunikasi: '", 'CONTENT PILLAR MAPPING'!E376, "'.", CHAR(10),
"Target audiens saya adalah: '", 'CONTENT PILLAR MAPPING'!D384, "', dengan segmentasi audiens: '", 'CONTENT PILLAR MAPPING'!D385, "'.", CHAR(10), CHAR(10),
"Mohon buatkan script konten yang **sangat powerful, menarik, inovatif, dan siap pakai** dengan judul ide '", B465, "'.", CHAR(10),
"Konten ini memiliki pilar '", C465, "', nilai tambah utama '", F465, "', dan akan menggunakan storytelling framework '", G465, "'.", CHAR(10),
"Gambaran singkat ide kontennya adalah: '", J465, "'.", CHAR(10),
"Konten ini akan diunggah di platform '", E465, "' dengan format '", D465,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MAPPING'!C371, "'.** Sesuaikan dengan gaya komunikasi saya, dengan fokus pada nilai tambah '", F465,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MAPPING'!D384, ", khusus ", 'CONTENT PILLAR MAPPING'!D385, ") dan membantu mereka menyelesaikan masalah atau mencapai tujuan mereka.", CHAR(10),
"✔ Membantuku membangun personal branding yang kuat dan sustainable, sesuai dengan Positioning saya sebagai '", 'CONTENT PILLAR MAPPING'!C371, "' dan Brand Archetype '", 'CONTENT PILLAR MAPPING'!D376, "'.", CHAR(10),
"✔ Kemas dalam bentuk tabel agar rapi, mudah di baca dan dipahami, dengan kolom 'Judul Konten', 'Pilar', 'Format', 'Draft Script', 'CTA', 'Saran Visual', dan 'Full Caption'. (Kosongkan kolom Link Prompt jika ada)."
),
"")</f>
        <v/>
      </c>
      <c r="L465" s="91" t="n"/>
      <c r="M465" s="91" t="n"/>
      <c r="N465" s="102" t="n"/>
      <c r="O465" s="102" t="n"/>
      <c r="P465" s="102" t="n"/>
      <c r="Q465" s="102" t="n"/>
      <c r="R465" s="102" t="n"/>
      <c r="S465" s="102" t="n"/>
      <c r="T465" s="102" t="n"/>
      <c r="U465" s="102" t="n"/>
      <c r="V465" s="102" t="n"/>
      <c r="W465" s="102" t="n"/>
      <c r="X465" s="102" t="n"/>
      <c r="Y465" s="102" t="n"/>
      <c r="Z465" s="102" t="n"/>
      <c r="AA465" s="102" t="n"/>
      <c r="AB465" s="102" t="n"/>
      <c r="AC465" s="102" t="n"/>
      <c r="AD465" s="102" t="n"/>
    </row>
    <row r="466" ht="15.75" customHeight="1" s="205">
      <c r="A466" s="102" t="n"/>
      <c r="B466" s="147" t="n"/>
      <c r="C466" s="144" t="n"/>
      <c r="D466" s="144" t="n"/>
      <c r="E466" s="144" t="n"/>
      <c r="F466" s="144" t="n"/>
      <c r="G466" s="144" t="n"/>
      <c r="H466" s="141">
        <f>IF(K466&lt;&gt;"", HYPERLINK("https://chatgpt.com/?prompt=" &amp; SUBSTITUTE(SUBSTITUTE(K466, " ", "+"), "&amp;", "dan") &amp; "&amp;force-refresh=true&amp;timestamp=" &amp; TEXT(NOW(), "yyyymmddhhmmss"), "👉 Klik untuk Generate Script! 🔥"), "")</f>
        <v/>
      </c>
      <c r="I466" s="144" t="n"/>
      <c r="J466" s="148" t="n"/>
      <c r="K466" s="140">
        <f>IF(AND(B466&lt;&gt;"", C466&lt;&gt;"", D466&lt;&gt;"", E466&lt;&gt;"", F466&lt;&gt;"", G466&lt;&gt;"", J466&lt;&gt;"", 'CONTENT PILLAR MAPPING'!C368&lt;&gt;"", 'CONTENT PILLAR MAPPING'!E368&lt;&gt;"", 'CONTENT PILLAR MAPPING'!F368&lt;&gt;"", 'CONTENT PILLAR MAPPING'!C371&lt;&gt;"", 'CONTENT PILLAR MAPPING'!C376&lt;&gt;"", 'CONTENT PILLAR MAPPING'!D376&lt;&gt;"", 'CONTENT PILLAR MAPPING'!E376&lt;&gt;"", 'CONTENT PILLAR MAPPING'!D384&lt;&gt;"", 'CONTENT PILLAR MAPPING'!D385&lt;&gt;""),
CONCATENATE(
"Sebagai seorang top konten kreator dengan niche utama '", 'CONTENT PILLAR MAPPING'!C368, "', spesifik kategori '", 'CONTENT PILLAR MAPPING'!E368, "', dan super spesifik '", 'CONTENT PILLAR MAPPING'!F368, "', yang dikenal sebagai '", 'CONTENT PILLAR MAPPING'!C371, "'.", CHAR(10),
"Saya memiliki Tone of Voice: '", 'CONTENT PILLAR MAPPING'!C376, "', Brand Archetype: '", 'CONTENT PILLAR MAPPING'!D376, "', dan Deskripsi Gaya Komunikasi: '", 'CONTENT PILLAR MAPPING'!E376, "'.", CHAR(10),
"Target audiens saya adalah: '", 'CONTENT PILLAR MAPPING'!D384, "', dengan segmentasi audiens: '", 'CONTENT PILLAR MAPPING'!D385, "'.", CHAR(10), CHAR(10),
"Mohon buatkan script konten yang **sangat powerful, menarik, inovatif, dan siap pakai** dengan judul ide '", B466, "'.", CHAR(10),
"Konten ini memiliki pilar '", C466, "', nilai tambah utama '", F466, "', dan akan menggunakan storytelling framework '", G466, "'.", CHAR(10),
"Gambaran singkat ide kontennya adalah: '", J466, "'.", CHAR(10),
"Konten ini akan diunggah di platform '", E466, "' dengan format '", D466,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MAPPING'!C371, "'.** Sesuaikan dengan gaya komunikasi saya, dengan fokus pada nilai tambah '", F466,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MAPPING'!D384, ", khusus ", 'CONTENT PILLAR MAPPING'!D385, ") dan membantu mereka menyelesaikan masalah atau mencapai tujuan mereka.", CHAR(10),
"✔ Membantuku membangun personal branding yang kuat dan sustainable, sesuai dengan Positioning saya sebagai '", 'CONTENT PILLAR MAPPING'!C371, "' dan Brand Archetype '", 'CONTENT PILLAR MAPPING'!D376, "'.", CHAR(10),
"✔ Kemas dalam bentuk tabel agar rapi, mudah di baca dan dipahami, dengan kolom 'Judul Konten', 'Pilar', 'Format', 'Draft Script', 'CTA', 'Saran Visual', dan 'Full Caption'. (Kosongkan kolom Link Prompt jika ada)."
),
"")</f>
        <v/>
      </c>
      <c r="L466" s="199" t="n"/>
      <c r="M466" s="199" t="n"/>
      <c r="N466" s="102" t="n"/>
      <c r="O466" s="102" t="n"/>
      <c r="P466" s="102" t="n"/>
      <c r="Q466" s="102" t="n"/>
      <c r="R466" s="102" t="n"/>
      <c r="S466" s="102" t="n"/>
      <c r="T466" s="102" t="n"/>
      <c r="U466" s="102" t="n"/>
      <c r="V466" s="102" t="n"/>
      <c r="W466" s="102" t="n"/>
      <c r="X466" s="102" t="n"/>
      <c r="Y466" s="102" t="n"/>
      <c r="Z466" s="102" t="n"/>
      <c r="AA466" s="102" t="n"/>
      <c r="AB466" s="102" t="n"/>
      <c r="AC466" s="102" t="n"/>
      <c r="AD466" s="102" t="n"/>
    </row>
    <row r="467" ht="15.75" customHeight="1" s="205">
      <c r="A467" s="102" t="n"/>
      <c r="B467" s="142" t="n"/>
      <c r="C467" s="143" t="n"/>
      <c r="D467" s="143" t="n"/>
      <c r="E467" s="143" t="n"/>
      <c r="F467" s="143" t="n"/>
      <c r="G467" s="144" t="n"/>
      <c r="H467" s="145">
        <f>IF(K467&lt;&gt;"", HYPERLINK("https://chatgpt.com/?prompt=" &amp; SUBSTITUTE(SUBSTITUTE(K467, " ", "+"), "&amp;", "dan") &amp; "&amp;force-refresh=true&amp;timestamp=" &amp; TEXT(NOW(), "yyyymmddhhmmss"), "👉 Klik untuk Generate Script! 🔥"), "")</f>
        <v/>
      </c>
      <c r="I467" s="143" t="n"/>
      <c r="J467" s="146" t="n"/>
      <c r="K467" s="130">
        <f>IF(AND(B467&lt;&gt;"", C467&lt;&gt;"", D467&lt;&gt;"", E467&lt;&gt;"", F467&lt;&gt;"", G467&lt;&gt;"", J467&lt;&gt;"", 'CONTENT PILLAR MAPPING'!C370&lt;&gt;"", 'CONTENT PILLAR MAPPING'!E370&lt;&gt;"", 'CONTENT PILLAR MAPPING'!F370&lt;&gt;"", 'CONTENT PILLAR MAPPING'!C373&lt;&gt;"", 'CONTENT PILLAR MAPPING'!C378&lt;&gt;"", 'CONTENT PILLAR MAPPING'!D378&lt;&gt;"", 'CONTENT PILLAR MAPPING'!E378&lt;&gt;"", 'CONTENT PILLAR MAPPING'!D386&lt;&gt;"", 'CONTENT PILLAR MAPPING'!D387&lt;&gt;""),
CONCATENATE(
"Sebagai seorang top konten kreator dengan niche utama '", 'CONTENT PILLAR MAPPING'!C370, "', spesifik kategori '", 'CONTENT PILLAR MAPPING'!E370, "', dan super spesifik '", 'CONTENT PILLAR MAPPING'!F370, "', yang dikenal sebagai '", 'CONTENT PILLAR MAPPING'!C373, "'.", CHAR(10),
"Saya memiliki Tone of Voice: '", 'CONTENT PILLAR MAPPING'!C378, "', Brand Archetype: '", 'CONTENT PILLAR MAPPING'!D378, "', dan Deskripsi Gaya Komunikasi: '", 'CONTENT PILLAR MAPPING'!E378, "'.", CHAR(10),
"Target audiens saya adalah: '", 'CONTENT PILLAR MAPPING'!D386, "', dengan segmentasi audiens: '", 'CONTENT PILLAR MAPPING'!D387, "'.", CHAR(10), CHAR(10),
"Mohon buatkan script konten yang **sangat powerful, menarik, inovatif, dan siap pakai** dengan judul ide '", B467, "'.", CHAR(10),
"Konten ini memiliki pilar '", C467, "', nilai tambah utama '", F467, "', dan akan menggunakan storytelling framework '", G467, "'.", CHAR(10),
"Gambaran singkat ide kontennya adalah: '", J467, "'.", CHAR(10),
"Konten ini akan diunggah di platform '", E467, "' dengan format '", D467,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MAPPING'!C373, "'.** Sesuaikan dengan gaya komunikasi saya, dengan fokus pada nilai tambah '", F467,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MAPPING'!D386, ", khusus ", 'CONTENT PILLAR MAPPING'!D387, ") dan membantu mereka menyelesaikan masalah atau mencapai tujuan mereka.", CHAR(10),
"✔ Membantuku membangun personal branding yang kuat dan sustainable, sesuai dengan Positioning saya sebagai '", 'CONTENT PILLAR MAPPING'!C373, "' dan Brand Archetype '", 'CONTENT PILLAR MAPPING'!D378, "'.", CHAR(10),
"✔ Kemas dalam bentuk tabel agar rapi, mudah di baca dan dipahami, dengan kolom 'Judul Konten', 'Pilar', 'Format', 'Draft Script', 'CTA', 'Saran Visual', dan 'Full Caption'. (Kosongkan kolom Link Prompt jika ada)."
),
"")</f>
        <v/>
      </c>
      <c r="L467" s="91" t="n"/>
      <c r="M467" s="91" t="n"/>
      <c r="N467" s="102" t="n"/>
      <c r="O467" s="102" t="n"/>
      <c r="P467" s="102" t="n"/>
      <c r="Q467" s="102" t="n"/>
      <c r="R467" s="102" t="n"/>
      <c r="S467" s="102" t="n"/>
      <c r="T467" s="102" t="n"/>
      <c r="U467" s="102" t="n"/>
      <c r="V467" s="102" t="n"/>
      <c r="W467" s="102" t="n"/>
      <c r="X467" s="102" t="n"/>
      <c r="Y467" s="102" t="n"/>
      <c r="Z467" s="102" t="n"/>
      <c r="AA467" s="102" t="n"/>
      <c r="AB467" s="102" t="n"/>
      <c r="AC467" s="102" t="n"/>
      <c r="AD467" s="102" t="n"/>
    </row>
    <row r="468" ht="15.75" customHeight="1" s="205">
      <c r="A468" s="102" t="n"/>
      <c r="B468" s="147" t="n"/>
      <c r="C468" s="144" t="n"/>
      <c r="D468" s="144" t="n"/>
      <c r="E468" s="144" t="n"/>
      <c r="F468" s="144" t="n"/>
      <c r="G468" s="144" t="n"/>
      <c r="H468" s="141">
        <f>IF(K468&lt;&gt;"", HYPERLINK("https://chatgpt.com/?prompt=" &amp; SUBSTITUTE(SUBSTITUTE(K468, " ", "+"), "&amp;", "dan") &amp; "&amp;force-refresh=true&amp;timestamp=" &amp; TEXT(NOW(), "yyyymmddhhmmss"), "👉 Klik untuk Generate Script! 🔥"), "")</f>
        <v/>
      </c>
      <c r="I468" s="144" t="n"/>
      <c r="J468" s="148" t="n"/>
      <c r="K468" s="140">
        <f>IF(AND(B468&lt;&gt;"", C468&lt;&gt;"", D468&lt;&gt;"", E468&lt;&gt;"", F468&lt;&gt;"", G468&lt;&gt;"", J468&lt;&gt;"", 'CONTENT PILLAR MAPPING'!C370&lt;&gt;"", 'CONTENT PILLAR MAPPING'!E370&lt;&gt;"", 'CONTENT PILLAR MAPPING'!F370&lt;&gt;"", 'CONTENT PILLAR MAPPING'!C373&lt;&gt;"", 'CONTENT PILLAR MAPPING'!C378&lt;&gt;"", 'CONTENT PILLAR MAPPING'!D378&lt;&gt;"", 'CONTENT PILLAR MAPPING'!E378&lt;&gt;"", 'CONTENT PILLAR MAPPING'!D386&lt;&gt;"", 'CONTENT PILLAR MAPPING'!D387&lt;&gt;""),
CONCATENATE(
"Sebagai seorang top konten kreator dengan niche utama '", 'CONTENT PILLAR MAPPING'!C370, "', spesifik kategori '", 'CONTENT PILLAR MAPPING'!E370, "', dan super spesifik '", 'CONTENT PILLAR MAPPING'!F370, "', yang dikenal sebagai '", 'CONTENT PILLAR MAPPING'!C373, "'.", CHAR(10),
"Saya memiliki Tone of Voice: '", 'CONTENT PILLAR MAPPING'!C378, "', Brand Archetype: '", 'CONTENT PILLAR MAPPING'!D378, "', dan Deskripsi Gaya Komunikasi: '", 'CONTENT PILLAR MAPPING'!E378, "'.", CHAR(10),
"Target audiens saya adalah: '", 'CONTENT PILLAR MAPPING'!D386, "', dengan segmentasi audiens: '", 'CONTENT PILLAR MAPPING'!D387, "'.", CHAR(10), CHAR(10),
"Mohon buatkan script konten yang **sangat powerful, menarik, inovatif, dan siap pakai** dengan judul ide '", B468, "'.", CHAR(10),
"Konten ini memiliki pilar '", C468, "', nilai tambah utama '", F468, "', dan akan menggunakan storytelling framework '", G468, "'.", CHAR(10),
"Gambaran singkat ide kontennya adalah: '", J468, "'.", CHAR(10),
"Konten ini akan diunggah di platform '", E468, "' dengan format '", D468,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MAPPING'!C373, "'.** Sesuaikan dengan gaya komunikasi saya, dengan fokus pada nilai tambah '", F468,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MAPPING'!D386, ", khusus ", 'CONTENT PILLAR MAPPING'!D387, ") dan membantu mereka menyelesaikan masalah atau mencapai tujuan mereka.", CHAR(10),
"✔ Membantuku membangun personal branding yang kuat dan sustainable, sesuai dengan Positioning saya sebagai '", 'CONTENT PILLAR MAPPING'!C373, "' dan Brand Archetype '", 'CONTENT PILLAR MAPPING'!D378, "'.", CHAR(10),
"✔ Kemas dalam bentuk tabel agar rapi, mudah di baca dan dipahami, dengan kolom 'Judul Konten', 'Pilar', 'Format', 'Draft Script', 'CTA', 'Saran Visual', dan 'Full Caption'. (Kosongkan kolom Link Prompt jika ada)."
),
"")</f>
        <v/>
      </c>
      <c r="L468" s="199" t="n"/>
      <c r="M468" s="199" t="n"/>
      <c r="N468" s="102" t="n"/>
      <c r="O468" s="102" t="n"/>
      <c r="P468" s="102" t="n"/>
      <c r="Q468" s="102" t="n"/>
      <c r="R468" s="102" t="n"/>
      <c r="S468" s="102" t="n"/>
      <c r="T468" s="102" t="n"/>
      <c r="U468" s="102" t="n"/>
      <c r="V468" s="102" t="n"/>
      <c r="W468" s="102" t="n"/>
      <c r="X468" s="102" t="n"/>
      <c r="Y468" s="102" t="n"/>
      <c r="Z468" s="102" t="n"/>
      <c r="AA468" s="102" t="n"/>
      <c r="AB468" s="102" t="n"/>
      <c r="AC468" s="102" t="n"/>
      <c r="AD468" s="102" t="n"/>
    </row>
    <row r="469" ht="15.75" customHeight="1" s="205">
      <c r="A469" s="102" t="n"/>
      <c r="B469" s="142" t="n"/>
      <c r="C469" s="143" t="n"/>
      <c r="D469" s="143" t="n"/>
      <c r="E469" s="143" t="n"/>
      <c r="F469" s="143" t="n"/>
      <c r="G469" s="144" t="n"/>
      <c r="H469" s="145">
        <f>IF(K469&lt;&gt;"", HYPERLINK("https://chatgpt.com/?prompt=" &amp; SUBSTITUTE(SUBSTITUTE(K469, " ", "+"), "&amp;", "dan") &amp; "&amp;force-refresh=true&amp;timestamp=" &amp; TEXT(NOW(), "yyyymmddhhmmss"), "👉 Klik untuk Generate Script! 🔥"), "")</f>
        <v/>
      </c>
      <c r="I469" s="143" t="n"/>
      <c r="J469" s="146" t="n"/>
      <c r="K469" s="130">
        <f>IF(AND(B469&lt;&gt;"", C469&lt;&gt;"", D469&lt;&gt;"", E469&lt;&gt;"", F469&lt;&gt;"", G469&lt;&gt;"", J469&lt;&gt;"", 'CONTENT PILLAR MAPPING'!C372&lt;&gt;"", 'CONTENT PILLAR MAPPING'!E372&lt;&gt;"", 'CONTENT PILLAR MAPPING'!F372&lt;&gt;"", 'CONTENT PILLAR MAPPING'!C375&lt;&gt;"", 'CONTENT PILLAR MAPPING'!C380&lt;&gt;"", 'CONTENT PILLAR MAPPING'!D380&lt;&gt;"", 'CONTENT PILLAR MAPPING'!E380&lt;&gt;"", 'CONTENT PILLAR MAPPING'!D388&lt;&gt;"", 'CONTENT PILLAR MAPPING'!D389&lt;&gt;""),
CONCATENATE(
"Sebagai seorang top konten kreator dengan niche utama '", 'CONTENT PILLAR MAPPING'!C372, "', spesifik kategori '", 'CONTENT PILLAR MAPPING'!E372, "', dan super spesifik '", 'CONTENT PILLAR MAPPING'!F372, "', yang dikenal sebagai '", 'CONTENT PILLAR MAPPING'!C375, "'.", CHAR(10),
"Saya memiliki Tone of Voice: '", 'CONTENT PILLAR MAPPING'!C380, "', Brand Archetype: '", 'CONTENT PILLAR MAPPING'!D380, "', dan Deskripsi Gaya Komunikasi: '", 'CONTENT PILLAR MAPPING'!E380, "'.", CHAR(10),
"Target audiens saya adalah: '", 'CONTENT PILLAR MAPPING'!D388, "', dengan segmentasi audiens: '", 'CONTENT PILLAR MAPPING'!D389, "'.", CHAR(10), CHAR(10),
"Mohon buatkan script konten yang **sangat powerful, menarik, inovatif, dan siap pakai** dengan judul ide '", B469, "'.", CHAR(10),
"Konten ini memiliki pilar '", C469, "', nilai tambah utama '", F469, "', dan akan menggunakan storytelling framework '", G469, "'.", CHAR(10),
"Gambaran singkat ide kontennya adalah: '", J469, "'.", CHAR(10),
"Konten ini akan diunggah di platform '", E469, "' dengan format '", D469,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MAPPING'!C375, "'.** Sesuaikan dengan gaya komunikasi saya, dengan fokus pada nilai tambah '", F469,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MAPPING'!D388, ", khusus ", 'CONTENT PILLAR MAPPING'!D389, ") dan membantu mereka menyelesaikan masalah atau mencapai tujuan mereka.", CHAR(10),
"✔ Membantuku membangun personal branding yang kuat dan sustainable, sesuai dengan Positioning saya sebagai '", 'CONTENT PILLAR MAPPING'!C375, "' dan Brand Archetype '", 'CONTENT PILLAR MAPPING'!D380, "'.", CHAR(10),
"✔ Kemas dalam bentuk tabel agar rapi, mudah di baca dan dipahami, dengan kolom 'Judul Konten', 'Pilar', 'Format', 'Draft Script', 'CTA', 'Saran Visual', dan 'Full Caption'. (Kosongkan kolom Link Prompt jika ada)."
),
"")</f>
        <v/>
      </c>
      <c r="L469" s="91" t="n"/>
      <c r="M469" s="91" t="n"/>
      <c r="N469" s="102" t="n"/>
      <c r="O469" s="102" t="n"/>
      <c r="P469" s="102" t="n"/>
      <c r="Q469" s="102" t="n"/>
      <c r="R469" s="102" t="n"/>
      <c r="S469" s="102" t="n"/>
      <c r="T469" s="102" t="n"/>
      <c r="U469" s="102" t="n"/>
      <c r="V469" s="102" t="n"/>
      <c r="W469" s="102" t="n"/>
      <c r="X469" s="102" t="n"/>
      <c r="Y469" s="102" t="n"/>
      <c r="Z469" s="102" t="n"/>
      <c r="AA469" s="102" t="n"/>
      <c r="AB469" s="102" t="n"/>
      <c r="AC469" s="102" t="n"/>
      <c r="AD469" s="102" t="n"/>
    </row>
    <row r="470" ht="15.75" customHeight="1" s="205">
      <c r="A470" s="102" t="n"/>
      <c r="B470" s="147" t="n"/>
      <c r="C470" s="144" t="n"/>
      <c r="D470" s="144" t="n"/>
      <c r="E470" s="144" t="n"/>
      <c r="F470" s="144" t="n"/>
      <c r="G470" s="144" t="n"/>
      <c r="H470" s="141">
        <f>IF(K470&lt;&gt;"", HYPERLINK("https://chatgpt.com/?prompt=" &amp; SUBSTITUTE(SUBSTITUTE(K470, " ", "+"), "&amp;", "dan") &amp; "&amp;force-refresh=true&amp;timestamp=" &amp; TEXT(NOW(), "yyyymmddhhmmss"), "👉 Klik untuk Generate Script! 🔥"), "")</f>
        <v/>
      </c>
      <c r="I470" s="144" t="n"/>
      <c r="J470" s="148" t="n"/>
      <c r="K470" s="140">
        <f>IF(AND(B470&lt;&gt;"", C470&lt;&gt;"", D470&lt;&gt;"", E470&lt;&gt;"", F470&lt;&gt;"", G470&lt;&gt;"", J470&lt;&gt;"", 'CONTENT PILLAR MAPPING'!C372&lt;&gt;"", 'CONTENT PILLAR MAPPING'!E372&lt;&gt;"", 'CONTENT PILLAR MAPPING'!F372&lt;&gt;"", 'CONTENT PILLAR MAPPING'!C375&lt;&gt;"", 'CONTENT PILLAR MAPPING'!C380&lt;&gt;"", 'CONTENT PILLAR MAPPING'!D380&lt;&gt;"", 'CONTENT PILLAR MAPPING'!E380&lt;&gt;"", 'CONTENT PILLAR MAPPING'!D388&lt;&gt;"", 'CONTENT PILLAR MAPPING'!D389&lt;&gt;""),
CONCATENATE(
"Sebagai seorang top konten kreator dengan niche utama '", 'CONTENT PILLAR MAPPING'!C372, "', spesifik kategori '", 'CONTENT PILLAR MAPPING'!E372, "', dan super spesifik '", 'CONTENT PILLAR MAPPING'!F372, "', yang dikenal sebagai '", 'CONTENT PILLAR MAPPING'!C375, "'.", CHAR(10),
"Saya memiliki Tone of Voice: '", 'CONTENT PILLAR MAPPING'!C380, "', Brand Archetype: '", 'CONTENT PILLAR MAPPING'!D380, "', dan Deskripsi Gaya Komunikasi: '", 'CONTENT PILLAR MAPPING'!E380, "'.", CHAR(10),
"Target audiens saya adalah: '", 'CONTENT PILLAR MAPPING'!D388, "', dengan segmentasi audiens: '", 'CONTENT PILLAR MAPPING'!D389, "'.", CHAR(10), CHAR(10),
"Mohon buatkan script konten yang **sangat powerful, menarik, inovatif, dan siap pakai** dengan judul ide '", B470, "'.", CHAR(10),
"Konten ini memiliki pilar '", C470, "', nilai tambah utama '", F470, "', dan akan menggunakan storytelling framework '", G470, "'.", CHAR(10),
"Gambaran singkat ide kontennya adalah: '", J470, "'.", CHAR(10),
"Konten ini akan diunggah di platform '", E470, "' dengan format '", D470,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MAPPING'!C375, "'.** Sesuaikan dengan gaya komunikasi saya, dengan fokus pada nilai tambah '", F470,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MAPPING'!D388, ", khusus ", 'CONTENT PILLAR MAPPING'!D389, ") dan membantu mereka menyelesaikan masalah atau mencapai tujuan mereka.", CHAR(10),
"✔ Membantuku membangun personal branding yang kuat dan sustainable, sesuai dengan Positioning saya sebagai '", 'CONTENT PILLAR MAPPING'!C375, "' dan Brand Archetype '", 'CONTENT PILLAR MAPPING'!D380, "'.", CHAR(10),
"✔ Kemas dalam bentuk tabel agar rapi, mudah di baca dan dipahami, dengan kolom 'Judul Konten', 'Pilar', 'Format', 'Draft Script', 'CTA', 'Saran Visual', dan 'Full Caption'. (Kosongkan kolom Link Prompt jika ada)."
),
"")</f>
        <v/>
      </c>
      <c r="L470" s="199" t="n"/>
      <c r="M470" s="199" t="n"/>
      <c r="N470" s="102" t="n"/>
      <c r="O470" s="102" t="n"/>
      <c r="P470" s="102" t="n"/>
      <c r="Q470" s="102" t="n"/>
      <c r="R470" s="102" t="n"/>
      <c r="S470" s="102" t="n"/>
      <c r="T470" s="102" t="n"/>
      <c r="U470" s="102" t="n"/>
      <c r="V470" s="102" t="n"/>
      <c r="W470" s="102" t="n"/>
      <c r="X470" s="102" t="n"/>
      <c r="Y470" s="102" t="n"/>
      <c r="Z470" s="102" t="n"/>
      <c r="AA470" s="102" t="n"/>
      <c r="AB470" s="102" t="n"/>
      <c r="AC470" s="102" t="n"/>
      <c r="AD470" s="102" t="n"/>
    </row>
    <row r="471" ht="15.75" customHeight="1" s="205">
      <c r="A471" s="102" t="n"/>
      <c r="B471" s="142" t="n"/>
      <c r="C471" s="143" t="n"/>
      <c r="D471" s="143" t="n"/>
      <c r="E471" s="143" t="n"/>
      <c r="F471" s="143" t="n"/>
      <c r="G471" s="144" t="n"/>
      <c r="H471" s="145">
        <f>IF(K471&lt;&gt;"", HYPERLINK("https://chatgpt.com/?prompt=" &amp; SUBSTITUTE(SUBSTITUTE(K471, " ", "+"), "&amp;", "dan") &amp; "&amp;force-refresh=true&amp;timestamp=" &amp; TEXT(NOW(), "yyyymmddhhmmss"), "👉 Klik untuk Generate Script! 🔥"), "")</f>
        <v/>
      </c>
      <c r="I471" s="143" t="n"/>
      <c r="J471" s="146" t="n"/>
      <c r="K471" s="130">
        <f>IF(AND(B471&lt;&gt;"", C471&lt;&gt;"", D471&lt;&gt;"", E471&lt;&gt;"", F471&lt;&gt;"", G471&lt;&gt;"", J471&lt;&gt;"", 'CONTENT PILLAR MAPPING'!C374&lt;&gt;"", 'CONTENT PILLAR MAPPING'!E374&lt;&gt;"", 'CONTENT PILLAR MAPPING'!F374&lt;&gt;"", 'CONTENT PILLAR MAPPING'!C377&lt;&gt;"", 'CONTENT PILLAR MAPPING'!C382&lt;&gt;"", 'CONTENT PILLAR MAPPING'!D382&lt;&gt;"", 'CONTENT PILLAR MAPPING'!E382&lt;&gt;"", 'CONTENT PILLAR MAPPING'!D390&lt;&gt;"", 'CONTENT PILLAR MAPPING'!D391&lt;&gt;""),
CONCATENATE(
"Sebagai seorang top konten kreator dengan niche utama '", 'CONTENT PILLAR MAPPING'!C374, "', spesifik kategori '", 'CONTENT PILLAR MAPPING'!E374, "', dan super spesifik '", 'CONTENT PILLAR MAPPING'!F374, "', yang dikenal sebagai '", 'CONTENT PILLAR MAPPING'!C377, "'.", CHAR(10),
"Saya memiliki Tone of Voice: '", 'CONTENT PILLAR MAPPING'!C382, "', Brand Archetype: '", 'CONTENT PILLAR MAPPING'!D382, "', dan Deskripsi Gaya Komunikasi: '", 'CONTENT PILLAR MAPPING'!E382, "'.", CHAR(10),
"Target audiens saya adalah: '", 'CONTENT PILLAR MAPPING'!D390, "', dengan segmentasi audiens: '", 'CONTENT PILLAR MAPPING'!D391, "'.", CHAR(10), CHAR(10),
"Mohon buatkan script konten yang **sangat powerful, menarik, inovatif, dan siap pakai** dengan judul ide '", B471, "'.", CHAR(10),
"Konten ini memiliki pilar '", C471, "', nilai tambah utama '", F471, "', dan akan menggunakan storytelling framework '", G471, "'.", CHAR(10),
"Gambaran singkat ide kontennya adalah: '", J471, "'.", CHAR(10),
"Konten ini akan diunggah di platform '", E471, "' dengan format '", D471,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MAPPING'!C377, "'.** Sesuaikan dengan gaya komunikasi saya, dengan fokus pada nilai tambah '", F471,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MAPPING'!D390, ", khusus ", 'CONTENT PILLAR MAPPING'!D391, ") dan membantu mereka menyelesaikan masalah atau mencapai tujuan mereka.", CHAR(10),
"✔ Membantuku membangun personal branding yang kuat dan sustainable, sesuai dengan Positioning saya sebagai '", 'CONTENT PILLAR MAPPING'!C377, "' dan Brand Archetype '", 'CONTENT PILLAR MAPPING'!D382, "'.", CHAR(10),
"✔ Kemas dalam bentuk tabel agar rapi, mudah di baca dan dipahami, dengan kolom 'Judul Konten', 'Pilar', 'Format', 'Draft Script', 'CTA', 'Saran Visual', dan 'Full Caption'. (Kosongkan kolom Link Prompt jika ada)."
),
"")</f>
        <v/>
      </c>
      <c r="L471" s="91" t="n"/>
      <c r="M471" s="91" t="n"/>
      <c r="N471" s="102" t="n"/>
      <c r="O471" s="102" t="n"/>
      <c r="P471" s="102" t="n"/>
      <c r="Q471" s="102" t="n"/>
      <c r="R471" s="102" t="n"/>
      <c r="S471" s="102" t="n"/>
      <c r="T471" s="102" t="n"/>
      <c r="U471" s="102" t="n"/>
      <c r="V471" s="102" t="n"/>
      <c r="W471" s="102" t="n"/>
      <c r="X471" s="102" t="n"/>
      <c r="Y471" s="102" t="n"/>
      <c r="Z471" s="102" t="n"/>
      <c r="AA471" s="102" t="n"/>
      <c r="AB471" s="102" t="n"/>
      <c r="AC471" s="102" t="n"/>
      <c r="AD471" s="102" t="n"/>
    </row>
    <row r="472" ht="15.75" customHeight="1" s="205">
      <c r="A472" s="102" t="n"/>
      <c r="B472" s="147" t="n"/>
      <c r="C472" s="144" t="n"/>
      <c r="D472" s="144" t="n"/>
      <c r="E472" s="144" t="n"/>
      <c r="F472" s="144" t="n"/>
      <c r="G472" s="144" t="n"/>
      <c r="H472" s="141">
        <f>IF(K472&lt;&gt;"", HYPERLINK("https://chatgpt.com/?prompt=" &amp; SUBSTITUTE(SUBSTITUTE(K472, " ", "+"), "&amp;", "dan") &amp; "&amp;force-refresh=true&amp;timestamp=" &amp; TEXT(NOW(), "yyyymmddhhmmss"), "👉 Klik untuk Generate Script! 🔥"), "")</f>
        <v/>
      </c>
      <c r="I472" s="144" t="n"/>
      <c r="J472" s="148" t="n"/>
      <c r="K472" s="140">
        <f>IF(AND(B472&lt;&gt;"", C472&lt;&gt;"", D472&lt;&gt;"", E472&lt;&gt;"", F472&lt;&gt;"", G472&lt;&gt;"", J472&lt;&gt;"", 'CONTENT PILLAR MAPPING'!C374&lt;&gt;"", 'CONTENT PILLAR MAPPING'!E374&lt;&gt;"", 'CONTENT PILLAR MAPPING'!F374&lt;&gt;"", 'CONTENT PILLAR MAPPING'!C377&lt;&gt;"", 'CONTENT PILLAR MAPPING'!C382&lt;&gt;"", 'CONTENT PILLAR MAPPING'!D382&lt;&gt;"", 'CONTENT PILLAR MAPPING'!E382&lt;&gt;"", 'CONTENT PILLAR MAPPING'!D390&lt;&gt;"", 'CONTENT PILLAR MAPPING'!D391&lt;&gt;""),
CONCATENATE(
"Sebagai seorang top konten kreator dengan niche utama '", 'CONTENT PILLAR MAPPING'!C374, "', spesifik kategori '", 'CONTENT PILLAR MAPPING'!E374, "', dan super spesifik '", 'CONTENT PILLAR MAPPING'!F374, "', yang dikenal sebagai '", 'CONTENT PILLAR MAPPING'!C377, "'.", CHAR(10),
"Saya memiliki Tone of Voice: '", 'CONTENT PILLAR MAPPING'!C382, "', Brand Archetype: '", 'CONTENT PILLAR MAPPING'!D382, "', dan Deskripsi Gaya Komunikasi: '", 'CONTENT PILLAR MAPPING'!E382, "'.", CHAR(10),
"Target audiens saya adalah: '", 'CONTENT PILLAR MAPPING'!D390, "', dengan segmentasi audiens: '", 'CONTENT PILLAR MAPPING'!D391, "'.", CHAR(10), CHAR(10),
"Mohon buatkan script konten yang **sangat powerful, menarik, inovatif, dan siap pakai** dengan judul ide '", B472, "'.", CHAR(10),
"Konten ini memiliki pilar '", C472, "', nilai tambah utama '", F472, "', dan akan menggunakan storytelling framework '", G472, "'.", CHAR(10),
"Gambaran singkat ide kontennya adalah: '", J472, "'.", CHAR(10),
"Konten ini akan diunggah di platform '", E472, "' dengan format '", D472,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MAPPING'!C377, "'.** Sesuaikan dengan gaya komunikasi saya, dengan fokus pada nilai tambah '", F472,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MAPPING'!D390, ", khusus ", 'CONTENT PILLAR MAPPING'!D391, ") dan membantu mereka menyelesaikan masalah atau mencapai tujuan mereka.", CHAR(10),
"✔ Membantuku membangun personal branding yang kuat dan sustainable, sesuai dengan Positioning saya sebagai '", 'CONTENT PILLAR MAPPING'!C377, "' dan Brand Archetype '", 'CONTENT PILLAR MAPPING'!D382, "'.", CHAR(10),
"✔ Kemas dalam bentuk tabel agar rapi, mudah di baca dan dipahami, dengan kolom 'Judul Konten', 'Pilar', 'Format', 'Draft Script', 'CTA', 'Saran Visual', dan 'Full Caption'. (Kosongkan kolom Link Prompt jika ada)."
),
"")</f>
        <v/>
      </c>
      <c r="L472" s="199" t="n"/>
      <c r="M472" s="199" t="n"/>
      <c r="N472" s="102" t="n"/>
      <c r="O472" s="102" t="n"/>
      <c r="P472" s="102" t="n"/>
      <c r="Q472" s="102" t="n"/>
      <c r="R472" s="102" t="n"/>
      <c r="S472" s="102" t="n"/>
      <c r="T472" s="102" t="n"/>
      <c r="U472" s="102" t="n"/>
      <c r="V472" s="102" t="n"/>
      <c r="W472" s="102" t="n"/>
      <c r="X472" s="102" t="n"/>
      <c r="Y472" s="102" t="n"/>
      <c r="Z472" s="102" t="n"/>
      <c r="AA472" s="102" t="n"/>
      <c r="AB472" s="102" t="n"/>
      <c r="AC472" s="102" t="n"/>
      <c r="AD472" s="102" t="n"/>
    </row>
    <row r="473" ht="15.75" customHeight="1" s="205">
      <c r="A473" s="102" t="n"/>
      <c r="B473" s="142" t="n"/>
      <c r="C473" s="143" t="n"/>
      <c r="D473" s="143" t="n"/>
      <c r="E473" s="143" t="n"/>
      <c r="F473" s="143" t="n"/>
      <c r="G473" s="144" t="n"/>
      <c r="H473" s="145">
        <f>IF(K473&lt;&gt;"", HYPERLINK("https://chatgpt.com/?prompt=" &amp; SUBSTITUTE(SUBSTITUTE(K473, " ", "+"), "&amp;", "dan") &amp; "&amp;force-refresh=true&amp;timestamp=" &amp; TEXT(NOW(), "yyyymmddhhmmss"), "👉 Klik untuk Generate Script! 🔥"), "")</f>
        <v/>
      </c>
      <c r="I473" s="143" t="n"/>
      <c r="J473" s="146" t="n"/>
      <c r="K473" s="130">
        <f>IF(AND(B473&lt;&gt;"", C473&lt;&gt;"", D473&lt;&gt;"", E473&lt;&gt;"", F473&lt;&gt;"", G473&lt;&gt;"", J473&lt;&gt;"", 'CONTENT PILLAR MAPPING'!C376&lt;&gt;"", 'CONTENT PILLAR MAPPING'!E376&lt;&gt;"", 'CONTENT PILLAR MAPPING'!F376&lt;&gt;"", 'CONTENT PILLAR MAPPING'!C379&lt;&gt;"", 'CONTENT PILLAR MAPPING'!C384&lt;&gt;"", 'CONTENT PILLAR MAPPING'!D384&lt;&gt;"", 'CONTENT PILLAR MAPPING'!E384&lt;&gt;"", 'CONTENT PILLAR MAPPING'!D392&lt;&gt;"", 'CONTENT PILLAR MAPPING'!D393&lt;&gt;""),
CONCATENATE(
"Sebagai seorang top konten kreator dengan niche utama '", 'CONTENT PILLAR MAPPING'!C376, "', spesifik kategori '", 'CONTENT PILLAR MAPPING'!E376, "', dan super spesifik '", 'CONTENT PILLAR MAPPING'!F376, "', yang dikenal sebagai '", 'CONTENT PILLAR MAPPING'!C379, "'.", CHAR(10),
"Saya memiliki Tone of Voice: '", 'CONTENT PILLAR MAPPING'!C384, "', Brand Archetype: '", 'CONTENT PILLAR MAPPING'!D384, "', dan Deskripsi Gaya Komunikasi: '", 'CONTENT PILLAR MAPPING'!E384, "'.", CHAR(10),
"Target audiens saya adalah: '", 'CONTENT PILLAR MAPPING'!D392, "', dengan segmentasi audiens: '", 'CONTENT PILLAR MAPPING'!D393, "'.", CHAR(10), CHAR(10),
"Mohon buatkan script konten yang **sangat powerful, menarik, inovatif, dan siap pakai** dengan judul ide '", B473, "'.", CHAR(10),
"Konten ini memiliki pilar '", C473, "', nilai tambah utama '", F473, "', dan akan menggunakan storytelling framework '", G473, "'.", CHAR(10),
"Gambaran singkat ide kontennya adalah: '", J473, "'.", CHAR(10),
"Konten ini akan diunggah di platform '", E473, "' dengan format '", D473,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MAPPING'!C379, "'.** Sesuaikan dengan gaya komunikasi saya, dengan fokus pada nilai tambah '", F473,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MAPPING'!D392, ", khusus ", 'CONTENT PILLAR MAPPING'!D393, ") dan membantu mereka menyelesaikan masalah atau mencapai tujuan mereka.", CHAR(10),
"✔ Membantuku membangun personal branding yang kuat dan sustainable, sesuai dengan Positioning saya sebagai '", 'CONTENT PILLAR MAPPING'!C379, "' dan Brand Archetype '", 'CONTENT PILLAR MAPPING'!D384, "'.", CHAR(10),
"✔ Kemas dalam bentuk tabel agar rapi, mudah di baca dan dipahami, dengan kolom 'Judul Konten', 'Pilar', 'Format', 'Draft Script', 'CTA', 'Saran Visual', dan 'Full Caption'. (Kosongkan kolom Link Prompt jika ada)."
),
"")</f>
        <v/>
      </c>
      <c r="L473" s="91" t="n"/>
      <c r="M473" s="91" t="n"/>
      <c r="N473" s="102" t="n"/>
      <c r="O473" s="102" t="n"/>
      <c r="P473" s="102" t="n"/>
      <c r="Q473" s="102" t="n"/>
      <c r="R473" s="102" t="n"/>
      <c r="S473" s="102" t="n"/>
      <c r="T473" s="102" t="n"/>
      <c r="U473" s="102" t="n"/>
      <c r="V473" s="102" t="n"/>
      <c r="W473" s="102" t="n"/>
      <c r="X473" s="102" t="n"/>
      <c r="Y473" s="102" t="n"/>
      <c r="Z473" s="102" t="n"/>
      <c r="AA473" s="102" t="n"/>
      <c r="AB473" s="102" t="n"/>
      <c r="AC473" s="102" t="n"/>
      <c r="AD473" s="102" t="n"/>
    </row>
    <row r="474" ht="15.75" customHeight="1" s="205">
      <c r="A474" s="102" t="n"/>
      <c r="B474" s="147" t="n"/>
      <c r="C474" s="144" t="n"/>
      <c r="D474" s="144" t="n"/>
      <c r="E474" s="144" t="n"/>
      <c r="F474" s="144" t="n"/>
      <c r="G474" s="144" t="n"/>
      <c r="H474" s="141">
        <f>IF(K474&lt;&gt;"", HYPERLINK("https://chatgpt.com/?prompt=" &amp; SUBSTITUTE(SUBSTITUTE(K474, " ", "+"), "&amp;", "dan") &amp; "&amp;force-refresh=true&amp;timestamp=" &amp; TEXT(NOW(), "yyyymmddhhmmss"), "👉 Klik untuk Generate Script! 🔥"), "")</f>
        <v/>
      </c>
      <c r="I474" s="144" t="n"/>
      <c r="J474" s="148" t="n"/>
      <c r="K474" s="140">
        <f>IF(AND(B474&lt;&gt;"", C474&lt;&gt;"", D474&lt;&gt;"", E474&lt;&gt;"", F474&lt;&gt;"", G474&lt;&gt;"", J474&lt;&gt;"", 'CONTENT PILLAR MAPPING'!C376&lt;&gt;"", 'CONTENT PILLAR MAPPING'!E376&lt;&gt;"", 'CONTENT PILLAR MAPPING'!F376&lt;&gt;"", 'CONTENT PILLAR MAPPING'!C379&lt;&gt;"", 'CONTENT PILLAR MAPPING'!C384&lt;&gt;"", 'CONTENT PILLAR MAPPING'!D384&lt;&gt;"", 'CONTENT PILLAR MAPPING'!E384&lt;&gt;"", 'CONTENT PILLAR MAPPING'!D392&lt;&gt;"", 'CONTENT PILLAR MAPPING'!D393&lt;&gt;""),
CONCATENATE(
"Sebagai seorang top konten kreator dengan niche utama '", 'CONTENT PILLAR MAPPING'!C376, "', spesifik kategori '", 'CONTENT PILLAR MAPPING'!E376, "', dan super spesifik '", 'CONTENT PILLAR MAPPING'!F376, "', yang dikenal sebagai '", 'CONTENT PILLAR MAPPING'!C379, "'.", CHAR(10),
"Saya memiliki Tone of Voice: '", 'CONTENT PILLAR MAPPING'!C384, "', Brand Archetype: '", 'CONTENT PILLAR MAPPING'!D384, "', dan Deskripsi Gaya Komunikasi: '", 'CONTENT PILLAR MAPPING'!E384, "'.", CHAR(10),
"Target audiens saya adalah: '", 'CONTENT PILLAR MAPPING'!D392, "', dengan segmentasi audiens: '", 'CONTENT PILLAR MAPPING'!D393, "'.", CHAR(10), CHAR(10),
"Mohon buatkan script konten yang **sangat powerful, menarik, inovatif, dan siap pakai** dengan judul ide '", B474, "'.", CHAR(10),
"Konten ini memiliki pilar '", C474, "', nilai tambah utama '", F474, "', dan akan menggunakan storytelling framework '", G474, "'.", CHAR(10),
"Gambaran singkat ide kontennya adalah: '", J474, "'.", CHAR(10),
"Konten ini akan diunggah di platform '", E474, "' dengan format '", D474,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MAPPING'!C379, "'.** Sesuaikan dengan gaya komunikasi saya, dengan fokus pada nilai tambah '", F474,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MAPPING'!D392, ", khusus ", 'CONTENT PILLAR MAPPING'!D393, ") dan membantu mereka menyelesaikan masalah atau mencapai tujuan mereka.", CHAR(10),
"✔ Membantuku membangun personal branding yang kuat dan sustainable, sesuai dengan Positioning saya sebagai '", 'CONTENT PILLAR MAPPING'!C379, "' dan Brand Archetype '", 'CONTENT PILLAR MAPPING'!D384, "'.", CHAR(10),
"✔ Kemas dalam bentuk tabel agar rapi, mudah di baca dan dipahami, dengan kolom 'Judul Konten', 'Pilar', 'Format', 'Draft Script', 'CTA', 'Saran Visual', dan 'Full Caption'. (Kosongkan kolom Link Prompt jika ada)."
),
"")</f>
        <v/>
      </c>
      <c r="L474" s="199" t="n"/>
      <c r="M474" s="199" t="n"/>
      <c r="N474" s="102" t="n"/>
      <c r="O474" s="102" t="n"/>
      <c r="P474" s="102" t="n"/>
      <c r="Q474" s="102" t="n"/>
      <c r="R474" s="102" t="n"/>
      <c r="S474" s="102" t="n"/>
      <c r="T474" s="102" t="n"/>
      <c r="U474" s="102" t="n"/>
      <c r="V474" s="102" t="n"/>
      <c r="W474" s="102" t="n"/>
      <c r="X474" s="102" t="n"/>
      <c r="Y474" s="102" t="n"/>
      <c r="Z474" s="102" t="n"/>
      <c r="AA474" s="102" t="n"/>
      <c r="AB474" s="102" t="n"/>
      <c r="AC474" s="102" t="n"/>
      <c r="AD474" s="102" t="n"/>
    </row>
    <row r="475" ht="15.75" customHeight="1" s="205">
      <c r="A475" s="102" t="n"/>
      <c r="B475" s="142" t="n"/>
      <c r="C475" s="143" t="n"/>
      <c r="D475" s="143" t="n"/>
      <c r="E475" s="143" t="n"/>
      <c r="F475" s="143" t="n"/>
      <c r="G475" s="144" t="n"/>
      <c r="H475" s="145">
        <f>IF(K475&lt;&gt;"", HYPERLINK("https://chatgpt.com/?prompt=" &amp; SUBSTITUTE(SUBSTITUTE(K475, " ", "+"), "&amp;", "dan") &amp; "&amp;force-refresh=true&amp;timestamp=" &amp; TEXT(NOW(), "yyyymmddhhmmss"), "👉 Klik untuk Generate Script! 🔥"), "")</f>
        <v/>
      </c>
      <c r="I475" s="143" t="n"/>
      <c r="J475" s="146" t="n"/>
      <c r="K475" s="130">
        <f>IF(AND(B475&lt;&gt;"", C475&lt;&gt;"", D475&lt;&gt;"", E475&lt;&gt;"", F475&lt;&gt;"", G475&lt;&gt;"", J475&lt;&gt;"", 'CONTENT PILLAR MAPPING'!C378&lt;&gt;"", 'CONTENT PILLAR MAPPING'!E378&lt;&gt;"", 'CONTENT PILLAR MAPPING'!F378&lt;&gt;"", 'CONTENT PILLAR MAPPING'!C381&lt;&gt;"", 'CONTENT PILLAR MAPPING'!C386&lt;&gt;"", 'CONTENT PILLAR MAPPING'!D386&lt;&gt;"", 'CONTENT PILLAR MAPPING'!E386&lt;&gt;"", 'CONTENT PILLAR MAPPING'!D394&lt;&gt;"", 'CONTENT PILLAR MAPPING'!D395&lt;&gt;""),
CONCATENATE(
"Sebagai seorang top konten kreator dengan niche utama '", 'CONTENT PILLAR MAPPING'!C378, "', spesifik kategori '", 'CONTENT PILLAR MAPPING'!E378, "', dan super spesifik '", 'CONTENT PILLAR MAPPING'!F378, "', yang dikenal sebagai '", 'CONTENT PILLAR MAPPING'!C381, "'.", CHAR(10),
"Saya memiliki Tone of Voice: '", 'CONTENT PILLAR MAPPING'!C386, "', Brand Archetype: '", 'CONTENT PILLAR MAPPING'!D386, "', dan Deskripsi Gaya Komunikasi: '", 'CONTENT PILLAR MAPPING'!E386, "'.", CHAR(10),
"Target audiens saya adalah: '", 'CONTENT PILLAR MAPPING'!D394, "', dengan segmentasi audiens: '", 'CONTENT PILLAR MAPPING'!D395, "'.", CHAR(10), CHAR(10),
"Mohon buatkan script konten yang **sangat powerful, menarik, inovatif, dan siap pakai** dengan judul ide '", B475, "'.", CHAR(10),
"Konten ini memiliki pilar '", C475, "', nilai tambah utama '", F475, "', dan akan menggunakan storytelling framework '", G475, "'.", CHAR(10),
"Gambaran singkat ide kontennya adalah: '", J475, "'.", CHAR(10),
"Konten ini akan diunggah di platform '", E475, "' dengan format '", D475,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MAPPING'!C381, "'.** Sesuaikan dengan gaya komunikasi saya, dengan fokus pada nilai tambah '", F475,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MAPPING'!D394, ", khusus ", 'CONTENT PILLAR MAPPING'!D395, ") dan membantu mereka menyelesaikan masalah atau mencapai tujuan mereka.", CHAR(10),
"✔ Membantuku membangun personal branding yang kuat dan sustainable, sesuai dengan Positioning saya sebagai '", 'CONTENT PILLAR MAPPING'!C381, "' dan Brand Archetype '", 'CONTENT PILLAR MAPPING'!D386, "'.", CHAR(10),
"✔ Kemas dalam bentuk tabel agar rapi, mudah di baca dan dipahami, dengan kolom 'Judul Konten', 'Pilar', 'Format', 'Draft Script', 'CTA', 'Saran Visual', dan 'Full Caption'. (Kosongkan kolom Link Prompt jika ada)."
),
"")</f>
        <v/>
      </c>
      <c r="L475" s="91" t="n"/>
      <c r="M475" s="91" t="n"/>
      <c r="N475" s="102" t="n"/>
      <c r="O475" s="102" t="n"/>
      <c r="P475" s="102" t="n"/>
      <c r="Q475" s="102" t="n"/>
      <c r="R475" s="102" t="n"/>
      <c r="S475" s="102" t="n"/>
      <c r="T475" s="102" t="n"/>
      <c r="U475" s="102" t="n"/>
      <c r="V475" s="102" t="n"/>
      <c r="W475" s="102" t="n"/>
      <c r="X475" s="102" t="n"/>
      <c r="Y475" s="102" t="n"/>
      <c r="Z475" s="102" t="n"/>
      <c r="AA475" s="102" t="n"/>
      <c r="AB475" s="102" t="n"/>
      <c r="AC475" s="102" t="n"/>
      <c r="AD475" s="102" t="n"/>
    </row>
    <row r="476" ht="15.75" customHeight="1" s="205">
      <c r="A476" s="102" t="n"/>
      <c r="B476" s="147" t="n"/>
      <c r="C476" s="144" t="n"/>
      <c r="D476" s="144" t="n"/>
      <c r="E476" s="144" t="n"/>
      <c r="F476" s="144" t="n"/>
      <c r="G476" s="144" t="n"/>
      <c r="H476" s="141">
        <f>IF(K476&lt;&gt;"", HYPERLINK("https://chatgpt.com/?prompt=" &amp; SUBSTITUTE(SUBSTITUTE(K476, " ", "+"), "&amp;", "dan") &amp; "&amp;force-refresh=true&amp;timestamp=" &amp; TEXT(NOW(), "yyyymmddhhmmss"), "👉 Klik untuk Generate Script! 🔥"), "")</f>
        <v/>
      </c>
      <c r="I476" s="144" t="n"/>
      <c r="J476" s="148" t="n"/>
      <c r="K476" s="140">
        <f>IF(AND(B476&lt;&gt;"", C476&lt;&gt;"", D476&lt;&gt;"", E476&lt;&gt;"", F476&lt;&gt;"", G476&lt;&gt;"", J476&lt;&gt;"", 'CONTENT PILLAR MAPPING'!C378&lt;&gt;"", 'CONTENT PILLAR MAPPING'!E378&lt;&gt;"", 'CONTENT PILLAR MAPPING'!F378&lt;&gt;"", 'CONTENT PILLAR MAPPING'!C381&lt;&gt;"", 'CONTENT PILLAR MAPPING'!C386&lt;&gt;"", 'CONTENT PILLAR MAPPING'!D386&lt;&gt;"", 'CONTENT PILLAR MAPPING'!E386&lt;&gt;"", 'CONTENT PILLAR MAPPING'!D394&lt;&gt;"", 'CONTENT PILLAR MAPPING'!D395&lt;&gt;""),
CONCATENATE(
"Sebagai seorang top konten kreator dengan niche utama '", 'CONTENT PILLAR MAPPING'!C378, "', spesifik kategori '", 'CONTENT PILLAR MAPPING'!E378, "', dan super spesifik '", 'CONTENT PILLAR MAPPING'!F378, "', yang dikenal sebagai '", 'CONTENT PILLAR MAPPING'!C381, "'.", CHAR(10),
"Saya memiliki Tone of Voice: '", 'CONTENT PILLAR MAPPING'!C386, "', Brand Archetype: '", 'CONTENT PILLAR MAPPING'!D386, "', dan Deskripsi Gaya Komunikasi: '", 'CONTENT PILLAR MAPPING'!E386, "'.", CHAR(10),
"Target audiens saya adalah: '", 'CONTENT PILLAR MAPPING'!D394, "', dengan segmentasi audiens: '", 'CONTENT PILLAR MAPPING'!D395, "'.", CHAR(10), CHAR(10),
"Mohon buatkan script konten yang **sangat powerful, menarik, inovatif, dan siap pakai** dengan judul ide '", B476, "'.", CHAR(10),
"Konten ini memiliki pilar '", C476, "', nilai tambah utama '", F476, "', dan akan menggunakan storytelling framework '", G476, "'.", CHAR(10),
"Gambaran singkat ide kontennya adalah: '", J476, "'.", CHAR(10),
"Konten ini akan diunggah di platform '", E476, "' dengan format '", D476,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MAPPING'!C381, "'.** Sesuaikan dengan gaya komunikasi saya, dengan fokus pada nilai tambah '", F476,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MAPPING'!D394, ", khusus ", 'CONTENT PILLAR MAPPING'!D395, ") dan membantu mereka menyelesaikan masalah atau mencapai tujuan mereka.", CHAR(10),
"✔ Membantuku membangun personal branding yang kuat dan sustainable, sesuai dengan Positioning saya sebagai '", 'CONTENT PILLAR MAPPING'!C381, "' dan Brand Archetype '", 'CONTENT PILLAR MAPPING'!D386, "'.", CHAR(10),
"✔ Kemas dalam bentuk tabel agar rapi, mudah di baca dan dipahami, dengan kolom 'Judul Konten', 'Pilar', 'Format', 'Draft Script', 'CTA', 'Saran Visual', dan 'Full Caption'. (Kosongkan kolom Link Prompt jika ada)."
),
"")</f>
        <v/>
      </c>
      <c r="L476" s="199" t="n"/>
      <c r="M476" s="199" t="n"/>
      <c r="N476" s="102" t="n"/>
      <c r="O476" s="102" t="n"/>
      <c r="P476" s="102" t="n"/>
      <c r="Q476" s="102" t="n"/>
      <c r="R476" s="102" t="n"/>
      <c r="S476" s="102" t="n"/>
      <c r="T476" s="102" t="n"/>
      <c r="U476" s="102" t="n"/>
      <c r="V476" s="102" t="n"/>
      <c r="W476" s="102" t="n"/>
      <c r="X476" s="102" t="n"/>
      <c r="Y476" s="102" t="n"/>
      <c r="Z476" s="102" t="n"/>
      <c r="AA476" s="102" t="n"/>
      <c r="AB476" s="102" t="n"/>
      <c r="AC476" s="102" t="n"/>
      <c r="AD476" s="102" t="n"/>
    </row>
    <row r="477" ht="15.75" customHeight="1" s="205">
      <c r="A477" s="102" t="n"/>
      <c r="B477" s="142" t="n"/>
      <c r="C477" s="143" t="n"/>
      <c r="D477" s="143" t="n"/>
      <c r="E477" s="143" t="n"/>
      <c r="F477" s="143" t="n"/>
      <c r="G477" s="144" t="n"/>
      <c r="H477" s="145">
        <f>IF(K477&lt;&gt;"", HYPERLINK("https://chatgpt.com/?prompt=" &amp; SUBSTITUTE(SUBSTITUTE(K477, " ", "+"), "&amp;", "dan") &amp; "&amp;force-refresh=true&amp;timestamp=" &amp; TEXT(NOW(), "yyyymmddhhmmss"), "👉 Klik untuk Generate Script! 🔥"), "")</f>
        <v/>
      </c>
      <c r="I477" s="143" t="n"/>
      <c r="J477" s="146" t="n"/>
      <c r="K477" s="130">
        <f>IF(AND(B477&lt;&gt;"", C477&lt;&gt;"", D477&lt;&gt;"", E477&lt;&gt;"", F477&lt;&gt;"", G477&lt;&gt;"", J477&lt;&gt;"", 'CONTENT PILLAR MAPPING'!C380&lt;&gt;"", 'CONTENT PILLAR MAPPING'!E380&lt;&gt;"", 'CONTENT PILLAR MAPPING'!F380&lt;&gt;"", 'CONTENT PILLAR MAPPING'!C383&lt;&gt;"", 'CONTENT PILLAR MAPPING'!C388&lt;&gt;"", 'CONTENT PILLAR MAPPING'!D388&lt;&gt;"", 'CONTENT PILLAR MAPPING'!E388&lt;&gt;"", 'CONTENT PILLAR MAPPING'!D396&lt;&gt;"", 'CONTENT PILLAR MAPPING'!D397&lt;&gt;""),
CONCATENATE(
"Sebagai seorang top konten kreator dengan niche utama '", 'CONTENT PILLAR MAPPING'!C380, "', spesifik kategori '", 'CONTENT PILLAR MAPPING'!E380, "', dan super spesifik '", 'CONTENT PILLAR MAPPING'!F380, "', yang dikenal sebagai '", 'CONTENT PILLAR MAPPING'!C383, "'.", CHAR(10),
"Saya memiliki Tone of Voice: '", 'CONTENT PILLAR MAPPING'!C388, "', Brand Archetype: '", 'CONTENT PILLAR MAPPING'!D388, "', dan Deskripsi Gaya Komunikasi: '", 'CONTENT PILLAR MAPPING'!E388, "'.", CHAR(10),
"Target audiens saya adalah: '", 'CONTENT PILLAR MAPPING'!D396, "', dengan segmentasi audiens: '", 'CONTENT PILLAR MAPPING'!D397, "'.", CHAR(10), CHAR(10),
"Mohon buatkan script konten yang **sangat powerful, menarik, inovatif, dan siap pakai** dengan judul ide '", B477, "'.", CHAR(10),
"Konten ini memiliki pilar '", C477, "', nilai tambah utama '", F477, "', dan akan menggunakan storytelling framework '", G477, "'.", CHAR(10),
"Gambaran singkat ide kontennya adalah: '", J477, "'.", CHAR(10),
"Konten ini akan diunggah di platform '", E477, "' dengan format '", D477,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MAPPING'!C383, "'.** Sesuaikan dengan gaya komunikasi saya, dengan fokus pada nilai tambah '", F477,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MAPPING'!D396, ", khusus ", 'CONTENT PILLAR MAPPING'!D397, ") dan membantu mereka menyelesaikan masalah atau mencapai tujuan mereka.", CHAR(10),
"✔ Membantuku membangun personal branding yang kuat dan sustainable, sesuai dengan Positioning saya sebagai '", 'CONTENT PILLAR MAPPING'!C383, "' dan Brand Archetype '", 'CONTENT PILLAR MAPPING'!D388, "'.", CHAR(10),
"✔ Kemas dalam bentuk tabel agar rapi, mudah di baca dan dipahami, dengan kolom 'Judul Konten', 'Pilar', 'Format', 'Draft Script', 'CTA', 'Saran Visual', dan 'Full Caption'. (Kosongkan kolom Link Prompt jika ada)."
),
"")</f>
        <v/>
      </c>
      <c r="L477" s="91" t="n"/>
      <c r="M477" s="91" t="n"/>
      <c r="N477" s="102" t="n"/>
      <c r="O477" s="102" t="n"/>
      <c r="P477" s="102" t="n"/>
      <c r="Q477" s="102" t="n"/>
      <c r="R477" s="102" t="n"/>
      <c r="S477" s="102" t="n"/>
      <c r="T477" s="102" t="n"/>
      <c r="U477" s="102" t="n"/>
      <c r="V477" s="102" t="n"/>
      <c r="W477" s="102" t="n"/>
      <c r="X477" s="102" t="n"/>
      <c r="Y477" s="102" t="n"/>
      <c r="Z477" s="102" t="n"/>
      <c r="AA477" s="102" t="n"/>
      <c r="AB477" s="102" t="n"/>
      <c r="AC477" s="102" t="n"/>
      <c r="AD477" s="102" t="n"/>
    </row>
    <row r="478" ht="15.75" customHeight="1" s="205">
      <c r="A478" s="102" t="n"/>
      <c r="B478" s="147" t="n"/>
      <c r="C478" s="144" t="n"/>
      <c r="D478" s="144" t="n"/>
      <c r="E478" s="144" t="n"/>
      <c r="F478" s="144" t="n"/>
      <c r="G478" s="144" t="n"/>
      <c r="H478" s="141">
        <f>IF(K478&lt;&gt;"", HYPERLINK("https://chatgpt.com/?prompt=" &amp; SUBSTITUTE(SUBSTITUTE(K478, " ", "+"), "&amp;", "dan") &amp; "&amp;force-refresh=true&amp;timestamp=" &amp; TEXT(NOW(), "yyyymmddhhmmss"), "👉 Klik untuk Generate Script! 🔥"), "")</f>
        <v/>
      </c>
      <c r="I478" s="144" t="n"/>
      <c r="J478" s="148" t="n"/>
      <c r="K478" s="140">
        <f>IF(AND(B478&lt;&gt;"", C478&lt;&gt;"", D478&lt;&gt;"", E478&lt;&gt;"", F478&lt;&gt;"", G478&lt;&gt;"", J478&lt;&gt;"", 'CONTENT PILLAR MAPPING'!C380&lt;&gt;"", 'CONTENT PILLAR MAPPING'!E380&lt;&gt;"", 'CONTENT PILLAR MAPPING'!F380&lt;&gt;"", 'CONTENT PILLAR MAPPING'!C383&lt;&gt;"", 'CONTENT PILLAR MAPPING'!C388&lt;&gt;"", 'CONTENT PILLAR MAPPING'!D388&lt;&gt;"", 'CONTENT PILLAR MAPPING'!E388&lt;&gt;"", 'CONTENT PILLAR MAPPING'!D396&lt;&gt;"", 'CONTENT PILLAR MAPPING'!D397&lt;&gt;""),
CONCATENATE(
"Sebagai seorang top konten kreator dengan niche utama '", 'CONTENT PILLAR MAPPING'!C380, "', spesifik kategori '", 'CONTENT PILLAR MAPPING'!E380, "', dan super spesifik '", 'CONTENT PILLAR MAPPING'!F380, "', yang dikenal sebagai '", 'CONTENT PILLAR MAPPING'!C383, "'.", CHAR(10),
"Saya memiliki Tone of Voice: '", 'CONTENT PILLAR MAPPING'!C388, "', Brand Archetype: '", 'CONTENT PILLAR MAPPING'!D388, "', dan Deskripsi Gaya Komunikasi: '", 'CONTENT PILLAR MAPPING'!E388, "'.", CHAR(10),
"Target audiens saya adalah: '", 'CONTENT PILLAR MAPPING'!D396, "', dengan segmentasi audiens: '", 'CONTENT PILLAR MAPPING'!D397, "'.", CHAR(10), CHAR(10),
"Mohon buatkan script konten yang **sangat powerful, menarik, inovatif, dan siap pakai** dengan judul ide '", B478, "'.", CHAR(10),
"Konten ini memiliki pilar '", C478, "', nilai tambah utama '", F478, "', dan akan menggunakan storytelling framework '", G478, "'.", CHAR(10),
"Gambaran singkat ide kontennya adalah: '", J478, "'.", CHAR(10),
"Konten ini akan diunggah di platform '", E478, "' dengan format '", D478,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MAPPING'!C383, "'.** Sesuaikan dengan gaya komunikasi saya, dengan fokus pada nilai tambah '", F478,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MAPPING'!D396, ", khusus ", 'CONTENT PILLAR MAPPING'!D397, ") dan membantu mereka menyelesaikan masalah atau mencapai tujuan mereka.", CHAR(10),
"✔ Membantuku membangun personal branding yang kuat dan sustainable, sesuai dengan Positioning saya sebagai '", 'CONTENT PILLAR MAPPING'!C383, "' dan Brand Archetype '", 'CONTENT PILLAR MAPPING'!D388, "'.", CHAR(10),
"✔ Kemas dalam bentuk tabel agar rapi, mudah di baca dan dipahami, dengan kolom 'Judul Konten', 'Pilar', 'Format', 'Draft Script', 'CTA', 'Saran Visual', dan 'Full Caption'. (Kosongkan kolom Link Prompt jika ada)."
),
"")</f>
        <v/>
      </c>
      <c r="L478" s="199" t="n"/>
      <c r="M478" s="199" t="n"/>
      <c r="N478" s="102" t="n"/>
      <c r="O478" s="102" t="n"/>
      <c r="P478" s="102" t="n"/>
      <c r="Q478" s="102" t="n"/>
      <c r="R478" s="102" t="n"/>
      <c r="S478" s="102" t="n"/>
      <c r="T478" s="102" t="n"/>
      <c r="U478" s="102" t="n"/>
      <c r="V478" s="102" t="n"/>
      <c r="W478" s="102" t="n"/>
      <c r="X478" s="102" t="n"/>
      <c r="Y478" s="102" t="n"/>
      <c r="Z478" s="102" t="n"/>
      <c r="AA478" s="102" t="n"/>
      <c r="AB478" s="102" t="n"/>
      <c r="AC478" s="102" t="n"/>
      <c r="AD478" s="102" t="n"/>
    </row>
    <row r="479" ht="15.75" customHeight="1" s="205">
      <c r="A479" s="102" t="n"/>
      <c r="B479" s="142" t="n"/>
      <c r="C479" s="143" t="n"/>
      <c r="D479" s="143" t="n"/>
      <c r="E479" s="143" t="n"/>
      <c r="F479" s="143" t="n"/>
      <c r="G479" s="144" t="n"/>
      <c r="H479" s="145">
        <f>IF(K479&lt;&gt;"", HYPERLINK("https://chatgpt.com/?prompt=" &amp; SUBSTITUTE(SUBSTITUTE(K479, " ", "+"), "&amp;", "dan") &amp; "&amp;force-refresh=true&amp;timestamp=" &amp; TEXT(NOW(), "yyyymmddhhmmss"), "👉 Klik untuk Generate Script! 🔥"), "")</f>
        <v/>
      </c>
      <c r="I479" s="143" t="n"/>
      <c r="J479" s="146" t="n"/>
      <c r="K479" s="130">
        <f>IF(AND(B479&lt;&gt;"", C479&lt;&gt;"", D479&lt;&gt;"", E479&lt;&gt;"", F479&lt;&gt;"", G479&lt;&gt;"", J479&lt;&gt;"", 'CONTENT PILLAR MAPPING'!C382&lt;&gt;"", 'CONTENT PILLAR MAPPING'!E382&lt;&gt;"", 'CONTENT PILLAR MAPPING'!F382&lt;&gt;"", 'CONTENT PILLAR MAPPING'!C385&lt;&gt;"", 'CONTENT PILLAR MAPPING'!C390&lt;&gt;"", 'CONTENT PILLAR MAPPING'!D390&lt;&gt;"", 'CONTENT PILLAR MAPPING'!E390&lt;&gt;"", 'CONTENT PILLAR MAPPING'!D398&lt;&gt;"", 'CONTENT PILLAR MAPPING'!D399&lt;&gt;""),
CONCATENATE(
"Sebagai seorang top konten kreator dengan niche utama '", 'CONTENT PILLAR MAPPING'!C382, "', spesifik kategori '", 'CONTENT PILLAR MAPPING'!E382, "', dan super spesifik '", 'CONTENT PILLAR MAPPING'!F382, "', yang dikenal sebagai '", 'CONTENT PILLAR MAPPING'!C385, "'.", CHAR(10),
"Saya memiliki Tone of Voice: '", 'CONTENT PILLAR MAPPING'!C390, "', Brand Archetype: '", 'CONTENT PILLAR MAPPING'!D390, "', dan Deskripsi Gaya Komunikasi: '", 'CONTENT PILLAR MAPPING'!E390, "'.", CHAR(10),
"Target audiens saya adalah: '", 'CONTENT PILLAR MAPPING'!D398, "', dengan segmentasi audiens: '", 'CONTENT PILLAR MAPPING'!D399, "'.", CHAR(10), CHAR(10),
"Mohon buatkan script konten yang **sangat powerful, menarik, inovatif, dan siap pakai** dengan judul ide '", B479, "'.", CHAR(10),
"Konten ini memiliki pilar '", C479, "', nilai tambah utama '", F479, "', dan akan menggunakan storytelling framework '", G479, "'.", CHAR(10),
"Gambaran singkat ide kontennya adalah: '", J479, "'.", CHAR(10),
"Konten ini akan diunggah di platform '", E479, "' dengan format '", D479,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MAPPING'!C385, "'.** Sesuaikan dengan gaya komunikasi saya, dengan fokus pada nilai tambah '", F479,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MAPPING'!D398, ", khusus ", 'CONTENT PILLAR MAPPING'!D399, ") dan membantu mereka menyelesaikan masalah atau mencapai tujuan mereka.", CHAR(10),
"✔ Membantuku membangun personal branding yang kuat dan sustainable, sesuai dengan Positioning saya sebagai '", 'CONTENT PILLAR MAPPING'!C385, "' dan Brand Archetype '", 'CONTENT PILLAR MAPPING'!D390, "'.", CHAR(10),
"✔ Kemas dalam bentuk tabel agar rapi, mudah di baca dan dipahami, dengan kolom 'Judul Konten', 'Pilar', 'Format', 'Draft Script', 'CTA', 'Saran Visual', dan 'Full Caption'. (Kosongkan kolom Link Prompt jika ada)."
),
"")</f>
        <v/>
      </c>
      <c r="L479" s="91" t="n"/>
      <c r="M479" s="91" t="n"/>
      <c r="N479" s="102" t="n"/>
      <c r="O479" s="102" t="n"/>
      <c r="P479" s="102" t="n"/>
      <c r="Q479" s="102" t="n"/>
      <c r="R479" s="102" t="n"/>
      <c r="S479" s="102" t="n"/>
      <c r="T479" s="102" t="n"/>
      <c r="U479" s="102" t="n"/>
      <c r="V479" s="102" t="n"/>
      <c r="W479" s="102" t="n"/>
      <c r="X479" s="102" t="n"/>
      <c r="Y479" s="102" t="n"/>
      <c r="Z479" s="102" t="n"/>
      <c r="AA479" s="102" t="n"/>
      <c r="AB479" s="102" t="n"/>
      <c r="AC479" s="102" t="n"/>
      <c r="AD479" s="102" t="n"/>
    </row>
    <row r="480" ht="15.75" customHeight="1" s="205">
      <c r="A480" s="102" t="n"/>
      <c r="B480" s="147" t="n"/>
      <c r="C480" s="144" t="n"/>
      <c r="D480" s="144" t="n"/>
      <c r="E480" s="144" t="n"/>
      <c r="F480" s="144" t="n"/>
      <c r="G480" s="144" t="n"/>
      <c r="H480" s="141">
        <f>IF(K480&lt;&gt;"", HYPERLINK("https://chatgpt.com/?prompt=" &amp; SUBSTITUTE(SUBSTITUTE(K480, " ", "+"), "&amp;", "dan") &amp; "&amp;force-refresh=true&amp;timestamp=" &amp; TEXT(NOW(), "yyyymmddhhmmss"), "👉 Klik untuk Generate Script! 🔥"), "")</f>
        <v/>
      </c>
      <c r="I480" s="144" t="n"/>
      <c r="J480" s="148" t="n"/>
      <c r="K480" s="140">
        <f>IF(AND(B480&lt;&gt;"", C480&lt;&gt;"", D480&lt;&gt;"", E480&lt;&gt;"", F480&lt;&gt;"", G480&lt;&gt;"", J480&lt;&gt;"", 'CONTENT PILLAR MAPPING'!C382&lt;&gt;"", 'CONTENT PILLAR MAPPING'!E382&lt;&gt;"", 'CONTENT PILLAR MAPPING'!F382&lt;&gt;"", 'CONTENT PILLAR MAPPING'!C385&lt;&gt;"", 'CONTENT PILLAR MAPPING'!C390&lt;&gt;"", 'CONTENT PILLAR MAPPING'!D390&lt;&gt;"", 'CONTENT PILLAR MAPPING'!E390&lt;&gt;"", 'CONTENT PILLAR MAPPING'!D398&lt;&gt;"", 'CONTENT PILLAR MAPPING'!D399&lt;&gt;""),
CONCATENATE(
"Sebagai seorang top konten kreator dengan niche utama '", 'CONTENT PILLAR MAPPING'!C382, "', spesifik kategori '", 'CONTENT PILLAR MAPPING'!E382, "', dan super spesifik '", 'CONTENT PILLAR MAPPING'!F382, "', yang dikenal sebagai '", 'CONTENT PILLAR MAPPING'!C385, "'.", CHAR(10),
"Saya memiliki Tone of Voice: '", 'CONTENT PILLAR MAPPING'!C390, "', Brand Archetype: '", 'CONTENT PILLAR MAPPING'!D390, "', dan Deskripsi Gaya Komunikasi: '", 'CONTENT PILLAR MAPPING'!E390, "'.", CHAR(10),
"Target audiens saya adalah: '", 'CONTENT PILLAR MAPPING'!D398, "', dengan segmentasi audiens: '", 'CONTENT PILLAR MAPPING'!D399, "'.", CHAR(10), CHAR(10),
"Mohon buatkan script konten yang **sangat powerful, menarik, inovatif, dan siap pakai** dengan judul ide '", B480, "'.", CHAR(10),
"Konten ini memiliki pilar '", C480, "', nilai tambah utama '", F480, "', dan akan menggunakan storytelling framework '", G480, "'.", CHAR(10),
"Gambaran singkat ide kontennya adalah: '", J480, "'.", CHAR(10),
"Konten ini akan diunggah di platform '", E480, "' dengan format '", D480,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MAPPING'!C385, "'.** Sesuaikan dengan gaya komunikasi saya, dengan fokus pada nilai tambah '", F480,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MAPPING'!D398, ", khusus ", 'CONTENT PILLAR MAPPING'!D399, ") dan membantu mereka menyelesaikan masalah atau mencapai tujuan mereka.", CHAR(10),
"✔ Membantuku membangun personal branding yang kuat dan sustainable, sesuai dengan Positioning saya sebagai '", 'CONTENT PILLAR MAPPING'!C385, "' dan Brand Archetype '", 'CONTENT PILLAR MAPPING'!D390, "'.", CHAR(10),
"✔ Kemas dalam bentuk tabel agar rapi, mudah di baca dan dipahami, dengan kolom 'Judul Konten', 'Pilar', 'Format', 'Draft Script', 'CTA', 'Saran Visual', dan 'Full Caption'. (Kosongkan kolom Link Prompt jika ada)."
),
"")</f>
        <v/>
      </c>
      <c r="L480" s="199" t="n"/>
      <c r="M480" s="199" t="n"/>
      <c r="N480" s="102" t="n"/>
      <c r="O480" s="102" t="n"/>
      <c r="P480" s="102" t="n"/>
      <c r="Q480" s="102" t="n"/>
      <c r="R480" s="102" t="n"/>
      <c r="S480" s="102" t="n"/>
      <c r="T480" s="102" t="n"/>
      <c r="U480" s="102" t="n"/>
      <c r="V480" s="102" t="n"/>
      <c r="W480" s="102" t="n"/>
      <c r="X480" s="102" t="n"/>
      <c r="Y480" s="102" t="n"/>
      <c r="Z480" s="102" t="n"/>
      <c r="AA480" s="102" t="n"/>
      <c r="AB480" s="102" t="n"/>
      <c r="AC480" s="102" t="n"/>
      <c r="AD480" s="102" t="n"/>
    </row>
    <row r="481" ht="15.75" customHeight="1" s="205">
      <c r="A481" s="102" t="n"/>
      <c r="B481" s="142" t="n"/>
      <c r="C481" s="143" t="n"/>
      <c r="D481" s="143" t="n"/>
      <c r="E481" s="143" t="n"/>
      <c r="F481" s="143" t="n"/>
      <c r="G481" s="144" t="n"/>
      <c r="H481" s="145">
        <f>IF(K481&lt;&gt;"", HYPERLINK("https://chatgpt.com/?prompt=" &amp; SUBSTITUTE(SUBSTITUTE(K481, " ", "+"), "&amp;", "dan") &amp; "&amp;force-refresh=true&amp;timestamp=" &amp; TEXT(NOW(), "yyyymmddhhmmss"), "👉 Klik untuk Generate Script! 🔥"), "")</f>
        <v/>
      </c>
      <c r="I481" s="143" t="n"/>
      <c r="J481" s="146" t="n"/>
      <c r="K481" s="130">
        <f>IF(AND(B481&lt;&gt;"", C481&lt;&gt;"", D481&lt;&gt;"", E481&lt;&gt;"", F481&lt;&gt;"", G481&lt;&gt;"", J481&lt;&gt;"", 'CONTENT PILLAR MAPPING'!C384&lt;&gt;"", 'CONTENT PILLAR MAPPING'!E384&lt;&gt;"", 'CONTENT PILLAR MAPPING'!F384&lt;&gt;"", 'CONTENT PILLAR MAPPING'!C387&lt;&gt;"", 'CONTENT PILLAR MAPPING'!C392&lt;&gt;"", 'CONTENT PILLAR MAPPING'!D392&lt;&gt;"", 'CONTENT PILLAR MAPPING'!E392&lt;&gt;"", 'CONTENT PILLAR MAPPING'!D400&lt;&gt;"", 'CONTENT PILLAR MAPPING'!D401&lt;&gt;""),
CONCATENATE(
"Sebagai seorang top konten kreator dengan niche utama '", 'CONTENT PILLAR MAPPING'!C384, "', spesifik kategori '", 'CONTENT PILLAR MAPPING'!E384, "', dan super spesifik '", 'CONTENT PILLAR MAPPING'!F384, "', yang dikenal sebagai '", 'CONTENT PILLAR MAPPING'!C387, "'.", CHAR(10),
"Saya memiliki Tone of Voice: '", 'CONTENT PILLAR MAPPING'!C392, "', Brand Archetype: '", 'CONTENT PILLAR MAPPING'!D392, "', dan Deskripsi Gaya Komunikasi: '", 'CONTENT PILLAR MAPPING'!E392, "'.", CHAR(10),
"Target audiens saya adalah: '", 'CONTENT PILLAR MAPPING'!D400, "', dengan segmentasi audiens: '", 'CONTENT PILLAR MAPPING'!D401, "'.", CHAR(10), CHAR(10),
"Mohon buatkan script konten yang **sangat powerful, menarik, inovatif, dan siap pakai** dengan judul ide '", B481, "'.", CHAR(10),
"Konten ini memiliki pilar '", C481, "', nilai tambah utama '", F481, "', dan akan menggunakan storytelling framework '", G481, "'.", CHAR(10),
"Gambaran singkat ide kontennya adalah: '", J481, "'.", CHAR(10),
"Konten ini akan diunggah di platform '", E481, "' dengan format '", D481,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MAPPING'!C387, "'.** Sesuaikan dengan gaya komunikasi saya, dengan fokus pada nilai tambah '", F481,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MAPPING'!D400, ", khusus ", 'CONTENT PILLAR MAPPING'!D401, ") dan membantu mereka menyelesaikan masalah atau mencapai tujuan mereka.", CHAR(10),
"✔ Membantuku membangun personal branding yang kuat dan sustainable, sesuai dengan Positioning saya sebagai '", 'CONTENT PILLAR MAPPING'!C387, "' dan Brand Archetype '", 'CONTENT PILLAR MAPPING'!D392, "'.", CHAR(10),
"✔ Kemas dalam bentuk tabel agar rapi, mudah di baca dan dipahami, dengan kolom 'Judul Konten', 'Pilar', 'Format', 'Draft Script', 'CTA', 'Saran Visual', dan 'Full Caption'. (Kosongkan kolom Link Prompt jika ada)."
),
"")</f>
        <v/>
      </c>
      <c r="L481" s="91" t="n"/>
      <c r="M481" s="91" t="n"/>
      <c r="N481" s="102" t="n"/>
      <c r="O481" s="102" t="n"/>
      <c r="P481" s="102" t="n"/>
      <c r="Q481" s="102" t="n"/>
      <c r="R481" s="102" t="n"/>
      <c r="S481" s="102" t="n"/>
      <c r="T481" s="102" t="n"/>
      <c r="U481" s="102" t="n"/>
      <c r="V481" s="102" t="n"/>
      <c r="W481" s="102" t="n"/>
      <c r="X481" s="102" t="n"/>
      <c r="Y481" s="102" t="n"/>
      <c r="Z481" s="102" t="n"/>
      <c r="AA481" s="102" t="n"/>
      <c r="AB481" s="102" t="n"/>
      <c r="AC481" s="102" t="n"/>
      <c r="AD481" s="102" t="n"/>
    </row>
    <row r="482" ht="15.75" customHeight="1" s="205">
      <c r="A482" s="102" t="n"/>
      <c r="B482" s="147" t="n"/>
      <c r="C482" s="144" t="n"/>
      <c r="D482" s="144" t="n"/>
      <c r="E482" s="144" t="n"/>
      <c r="F482" s="144" t="n"/>
      <c r="G482" s="144" t="n"/>
      <c r="H482" s="141">
        <f>IF(K482&lt;&gt;"", HYPERLINK("https://chatgpt.com/?prompt=" &amp; SUBSTITUTE(SUBSTITUTE(K482, " ", "+"), "&amp;", "dan") &amp; "&amp;force-refresh=true&amp;timestamp=" &amp; TEXT(NOW(), "yyyymmddhhmmss"), "👉 Klik untuk Generate Script! 🔥"), "")</f>
        <v/>
      </c>
      <c r="I482" s="144" t="n"/>
      <c r="J482" s="148" t="n"/>
      <c r="K482" s="140">
        <f>IF(AND(B482&lt;&gt;"", C482&lt;&gt;"", D482&lt;&gt;"", E482&lt;&gt;"", F482&lt;&gt;"", G482&lt;&gt;"", J482&lt;&gt;"", 'CONTENT PILLAR MAPPING'!C384&lt;&gt;"", 'CONTENT PILLAR MAPPING'!E384&lt;&gt;"", 'CONTENT PILLAR MAPPING'!F384&lt;&gt;"", 'CONTENT PILLAR MAPPING'!C387&lt;&gt;"", 'CONTENT PILLAR MAPPING'!C392&lt;&gt;"", 'CONTENT PILLAR MAPPING'!D392&lt;&gt;"", 'CONTENT PILLAR MAPPING'!E392&lt;&gt;"", 'CONTENT PILLAR MAPPING'!D400&lt;&gt;"", 'CONTENT PILLAR MAPPING'!D401&lt;&gt;""),
CONCATENATE(
"Sebagai seorang top konten kreator dengan niche utama '", 'CONTENT PILLAR MAPPING'!C384, "', spesifik kategori '", 'CONTENT PILLAR MAPPING'!E384, "', dan super spesifik '", 'CONTENT PILLAR MAPPING'!F384, "', yang dikenal sebagai '", 'CONTENT PILLAR MAPPING'!C387, "'.", CHAR(10),
"Saya memiliki Tone of Voice: '", 'CONTENT PILLAR MAPPING'!C392, "', Brand Archetype: '", 'CONTENT PILLAR MAPPING'!D392, "', dan Deskripsi Gaya Komunikasi: '", 'CONTENT PILLAR MAPPING'!E392, "'.", CHAR(10),
"Target audiens saya adalah: '", 'CONTENT PILLAR MAPPING'!D400, "', dengan segmentasi audiens: '", 'CONTENT PILLAR MAPPING'!D401, "'.", CHAR(10), CHAR(10),
"Mohon buatkan script konten yang **sangat powerful, menarik, inovatif, dan siap pakai** dengan judul ide '", B482, "'.", CHAR(10),
"Konten ini memiliki pilar '", C482, "', nilai tambah utama '", F482, "', dan akan menggunakan storytelling framework '", G482, "'.", CHAR(10),
"Gambaran singkat ide kontennya adalah: '", J482, "'.", CHAR(10),
"Konten ini akan diunggah di platform '", E482, "' dengan format '", D482,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MAPPING'!C387, "'.** Sesuaikan dengan gaya komunikasi saya, dengan fokus pada nilai tambah '", F482,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MAPPING'!D400, ", khusus ", 'CONTENT PILLAR MAPPING'!D401, ") dan membantu mereka menyelesaikan masalah atau mencapai tujuan mereka.", CHAR(10),
"✔ Membantuku membangun personal branding yang kuat dan sustainable, sesuai dengan Positioning saya sebagai '", 'CONTENT PILLAR MAPPING'!C387, "' dan Brand Archetype '", 'CONTENT PILLAR MAPPING'!D392, "'.", CHAR(10),
"✔ Kemas dalam bentuk tabel agar rapi, mudah di baca dan dipahami, dengan kolom 'Judul Konten', 'Pilar', 'Format', 'Draft Script', 'CTA', 'Saran Visual', dan 'Full Caption'. (Kosongkan kolom Link Prompt jika ada)."
),
"")</f>
        <v/>
      </c>
      <c r="L482" s="199" t="n"/>
      <c r="M482" s="199" t="n"/>
      <c r="N482" s="102" t="n"/>
      <c r="O482" s="102" t="n"/>
      <c r="P482" s="102" t="n"/>
      <c r="Q482" s="102" t="n"/>
      <c r="R482" s="102" t="n"/>
      <c r="S482" s="102" t="n"/>
      <c r="T482" s="102" t="n"/>
      <c r="U482" s="102" t="n"/>
      <c r="V482" s="102" t="n"/>
      <c r="W482" s="102" t="n"/>
      <c r="X482" s="102" t="n"/>
      <c r="Y482" s="102" t="n"/>
      <c r="Z482" s="102" t="n"/>
      <c r="AA482" s="102" t="n"/>
      <c r="AB482" s="102" t="n"/>
      <c r="AC482" s="102" t="n"/>
      <c r="AD482" s="102" t="n"/>
    </row>
    <row r="483" ht="15.75" customHeight="1" s="205">
      <c r="A483" s="102" t="n"/>
      <c r="B483" s="142" t="n"/>
      <c r="C483" s="143" t="n"/>
      <c r="D483" s="143" t="n"/>
      <c r="E483" s="143" t="n"/>
      <c r="F483" s="143" t="n"/>
      <c r="G483" s="144" t="n"/>
      <c r="H483" s="145">
        <f>IF(K483&lt;&gt;"", HYPERLINK("https://chatgpt.com/?prompt=" &amp; SUBSTITUTE(SUBSTITUTE(K483, " ", "+"), "&amp;", "dan") &amp; "&amp;force-refresh=true&amp;timestamp=" &amp; TEXT(NOW(), "yyyymmddhhmmss"), "👉 Klik untuk Generate Script! 🔥"), "")</f>
        <v/>
      </c>
      <c r="I483" s="143" t="n"/>
      <c r="J483" s="146" t="n"/>
      <c r="K483" s="130">
        <f>IF(AND(B483&lt;&gt;"", C483&lt;&gt;"", D483&lt;&gt;"", E483&lt;&gt;"", F483&lt;&gt;"", G483&lt;&gt;"", J483&lt;&gt;"", 'CONTENT PILLAR MAPPING'!C386&lt;&gt;"", 'CONTENT PILLAR MAPPING'!E386&lt;&gt;"", 'CONTENT PILLAR MAPPING'!F386&lt;&gt;"", 'CONTENT PILLAR MAPPING'!C389&lt;&gt;"", 'CONTENT PILLAR MAPPING'!C394&lt;&gt;"", 'CONTENT PILLAR MAPPING'!D394&lt;&gt;"", 'CONTENT PILLAR MAPPING'!E394&lt;&gt;"", 'CONTENT PILLAR MAPPING'!D402&lt;&gt;"", 'CONTENT PILLAR MAPPING'!D403&lt;&gt;""),
CONCATENATE(
"Sebagai seorang top konten kreator dengan niche utama '", 'CONTENT PILLAR MAPPING'!C386, "', spesifik kategori '", 'CONTENT PILLAR MAPPING'!E386, "', dan super spesifik '", 'CONTENT PILLAR MAPPING'!F386, "', yang dikenal sebagai '", 'CONTENT PILLAR MAPPING'!C389, "'.", CHAR(10),
"Saya memiliki Tone of Voice: '", 'CONTENT PILLAR MAPPING'!C394, "', Brand Archetype: '", 'CONTENT PILLAR MAPPING'!D394, "', dan Deskripsi Gaya Komunikasi: '", 'CONTENT PILLAR MAPPING'!E394, "'.", CHAR(10),
"Target audiens saya adalah: '", 'CONTENT PILLAR MAPPING'!D402, "', dengan segmentasi audiens: '", 'CONTENT PILLAR MAPPING'!D403, "'.", CHAR(10), CHAR(10),
"Mohon buatkan script konten yang **sangat powerful, menarik, inovatif, dan siap pakai** dengan judul ide '", B483, "'.", CHAR(10),
"Konten ini memiliki pilar '", C483, "', nilai tambah utama '", F483, "', dan akan menggunakan storytelling framework '", G483, "'.", CHAR(10),
"Gambaran singkat ide kontennya adalah: '", J483, "'.", CHAR(10),
"Konten ini akan diunggah di platform '", E483, "' dengan format '", D483,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MAPPING'!C389, "'.** Sesuaikan dengan gaya komunikasi saya, dengan fokus pada nilai tambah '", F483,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MAPPING'!D402, ", khusus ", 'CONTENT PILLAR MAPPING'!D403, ") dan membantu mereka menyelesaikan masalah atau mencapai tujuan mereka.", CHAR(10),
"✔ Membantuku membangun personal branding yang kuat dan sustainable, sesuai dengan Positioning saya sebagai '", 'CONTENT PILLAR MAPPING'!C389, "' dan Brand Archetype '", 'CONTENT PILLAR MAPPING'!D394, "'.", CHAR(10),
"✔ Kemas dalam bentuk tabel agar rapi, mudah di baca dan dipahami, dengan kolom 'Judul Konten', 'Pilar', 'Format', 'Draft Script', 'CTA', 'Saran Visual', dan 'Full Caption'. (Kosongkan kolom Link Prompt jika ada)."
),
"")</f>
        <v/>
      </c>
      <c r="L483" s="91" t="n"/>
      <c r="M483" s="91" t="n"/>
      <c r="N483" s="102" t="n"/>
      <c r="O483" s="102" t="n"/>
      <c r="P483" s="102" t="n"/>
      <c r="Q483" s="102" t="n"/>
      <c r="R483" s="102" t="n"/>
      <c r="S483" s="102" t="n"/>
      <c r="T483" s="102" t="n"/>
      <c r="U483" s="102" t="n"/>
      <c r="V483" s="102" t="n"/>
      <c r="W483" s="102" t="n"/>
      <c r="X483" s="102" t="n"/>
      <c r="Y483" s="102" t="n"/>
      <c r="Z483" s="102" t="n"/>
      <c r="AA483" s="102" t="n"/>
      <c r="AB483" s="102" t="n"/>
      <c r="AC483" s="102" t="n"/>
      <c r="AD483" s="102" t="n"/>
    </row>
    <row r="484" ht="15.75" customHeight="1" s="205">
      <c r="A484" s="102" t="n"/>
      <c r="B484" s="147" t="n"/>
      <c r="C484" s="144" t="n"/>
      <c r="D484" s="144" t="n"/>
      <c r="E484" s="144" t="n"/>
      <c r="F484" s="144" t="n"/>
      <c r="G484" s="144" t="n"/>
      <c r="H484" s="141">
        <f>IF(K484&lt;&gt;"", HYPERLINK("https://chatgpt.com/?prompt=" &amp; SUBSTITUTE(SUBSTITUTE(K484, " ", "+"), "&amp;", "dan") &amp; "&amp;force-refresh=true&amp;timestamp=" &amp; TEXT(NOW(), "yyyymmddhhmmss"), "👉 Klik untuk Generate Script! 🔥"), "")</f>
        <v/>
      </c>
      <c r="I484" s="144" t="n"/>
      <c r="J484" s="148" t="n"/>
      <c r="K484" s="140">
        <f>IF(AND(B484&lt;&gt;"", C484&lt;&gt;"", D484&lt;&gt;"", E484&lt;&gt;"", F484&lt;&gt;"", G484&lt;&gt;"", J484&lt;&gt;"", 'CONTENT PILLAR MAPPING'!C386&lt;&gt;"", 'CONTENT PILLAR MAPPING'!E386&lt;&gt;"", 'CONTENT PILLAR MAPPING'!F386&lt;&gt;"", 'CONTENT PILLAR MAPPING'!C389&lt;&gt;"", 'CONTENT PILLAR MAPPING'!C394&lt;&gt;"", 'CONTENT PILLAR MAPPING'!D394&lt;&gt;"", 'CONTENT PILLAR MAPPING'!E394&lt;&gt;"", 'CONTENT PILLAR MAPPING'!D402&lt;&gt;"", 'CONTENT PILLAR MAPPING'!D403&lt;&gt;""),
CONCATENATE(
"Sebagai seorang top konten kreator dengan niche utama '", 'CONTENT PILLAR MAPPING'!C386, "', spesifik kategori '", 'CONTENT PILLAR MAPPING'!E386, "', dan super spesifik '", 'CONTENT PILLAR MAPPING'!F386, "', yang dikenal sebagai '", 'CONTENT PILLAR MAPPING'!C389, "'.", CHAR(10),
"Saya memiliki Tone of Voice: '", 'CONTENT PILLAR MAPPING'!C394, "', Brand Archetype: '", 'CONTENT PILLAR MAPPING'!D394, "', dan Deskripsi Gaya Komunikasi: '", 'CONTENT PILLAR MAPPING'!E394, "'.", CHAR(10),
"Target audiens saya adalah: '", 'CONTENT PILLAR MAPPING'!D402, "', dengan segmentasi audiens: '", 'CONTENT PILLAR MAPPING'!D403, "'.", CHAR(10), CHAR(10),
"Mohon buatkan script konten yang **sangat powerful, menarik, inovatif, dan siap pakai** dengan judul ide '", B484, "'.", CHAR(10),
"Konten ini memiliki pilar '", C484, "', nilai tambah utama '", F484, "', dan akan menggunakan storytelling framework '", G484, "'.", CHAR(10),
"Gambaran singkat ide kontennya adalah: '", J484, "'.", CHAR(10),
"Konten ini akan diunggah di platform '", E484, "' dengan format '", D484,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MAPPING'!C389, "'.** Sesuaikan dengan gaya komunikasi saya, dengan fokus pada nilai tambah '", F484,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MAPPING'!D402, ", khusus ", 'CONTENT PILLAR MAPPING'!D403, ") dan membantu mereka menyelesaikan masalah atau mencapai tujuan mereka.", CHAR(10),
"✔ Membantuku membangun personal branding yang kuat dan sustainable, sesuai dengan Positioning saya sebagai '", 'CONTENT PILLAR MAPPING'!C389, "' dan Brand Archetype '", 'CONTENT PILLAR MAPPING'!D394, "'.", CHAR(10),
"✔ Kemas dalam bentuk tabel agar rapi, mudah di baca dan dipahami, dengan kolom 'Judul Konten', 'Pilar', 'Format', 'Draft Script', 'CTA', 'Saran Visual', dan 'Full Caption'. (Kosongkan kolom Link Prompt jika ada)."
),
"")</f>
        <v/>
      </c>
      <c r="L484" s="199" t="n"/>
      <c r="M484" s="199" t="n"/>
      <c r="N484" s="102" t="n"/>
      <c r="O484" s="102" t="n"/>
      <c r="P484" s="102" t="n"/>
      <c r="Q484" s="102" t="n"/>
      <c r="R484" s="102" t="n"/>
      <c r="S484" s="102" t="n"/>
      <c r="T484" s="102" t="n"/>
      <c r="U484" s="102" t="n"/>
      <c r="V484" s="102" t="n"/>
      <c r="W484" s="102" t="n"/>
      <c r="X484" s="102" t="n"/>
      <c r="Y484" s="102" t="n"/>
      <c r="Z484" s="102" t="n"/>
      <c r="AA484" s="102" t="n"/>
      <c r="AB484" s="102" t="n"/>
      <c r="AC484" s="102" t="n"/>
      <c r="AD484" s="102" t="n"/>
    </row>
    <row r="485" ht="15.75" customHeight="1" s="205">
      <c r="A485" s="102" t="n"/>
      <c r="B485" s="142" t="n"/>
      <c r="C485" s="143" t="n"/>
      <c r="D485" s="143" t="n"/>
      <c r="E485" s="143" t="n"/>
      <c r="F485" s="143" t="n"/>
      <c r="G485" s="144" t="n"/>
      <c r="H485" s="145">
        <f>IF(K485&lt;&gt;"", HYPERLINK("https://chatgpt.com/?prompt=" &amp; SUBSTITUTE(SUBSTITUTE(K485, " ", "+"), "&amp;", "dan") &amp; "&amp;force-refresh=true&amp;timestamp=" &amp; TEXT(NOW(), "yyyymmddhhmmss"), "👉 Klik untuk Generate Script! 🔥"), "")</f>
        <v/>
      </c>
      <c r="I485" s="143" t="n"/>
      <c r="J485" s="146" t="n"/>
      <c r="K485" s="130">
        <f>IF(AND(B485&lt;&gt;"", C485&lt;&gt;"", D485&lt;&gt;"", E485&lt;&gt;"", F485&lt;&gt;"", G485&lt;&gt;"", J485&lt;&gt;"", 'CONTENT PILLAR MAPPING'!C388&lt;&gt;"", 'CONTENT PILLAR MAPPING'!E388&lt;&gt;"", 'CONTENT PILLAR MAPPING'!F388&lt;&gt;"", 'CONTENT PILLAR MAPPING'!C391&lt;&gt;"", 'CONTENT PILLAR MAPPING'!C396&lt;&gt;"", 'CONTENT PILLAR MAPPING'!D396&lt;&gt;"", 'CONTENT PILLAR MAPPING'!E396&lt;&gt;"", 'CONTENT PILLAR MAPPING'!D404&lt;&gt;"", 'CONTENT PILLAR MAPPING'!D405&lt;&gt;""),
CONCATENATE(
"Sebagai seorang top konten kreator dengan niche utama '", 'CONTENT PILLAR MAPPING'!C388, "', spesifik kategori '", 'CONTENT PILLAR MAPPING'!E388, "', dan super spesifik '", 'CONTENT PILLAR MAPPING'!F388, "', yang dikenal sebagai '", 'CONTENT PILLAR MAPPING'!C391, "'.", CHAR(10),
"Saya memiliki Tone of Voice: '", 'CONTENT PILLAR MAPPING'!C396, "', Brand Archetype: '", 'CONTENT PILLAR MAPPING'!D396, "', dan Deskripsi Gaya Komunikasi: '", 'CONTENT PILLAR MAPPING'!E396, "'.", CHAR(10),
"Target audiens saya adalah: '", 'CONTENT PILLAR MAPPING'!D404, "', dengan segmentasi audiens: '", 'CONTENT PILLAR MAPPING'!D405, "'.", CHAR(10), CHAR(10),
"Mohon buatkan script konten yang **sangat powerful, menarik, inovatif, dan siap pakai** dengan judul ide '", B485, "'.", CHAR(10),
"Konten ini memiliki pilar '", C485, "', nilai tambah utama '", F485, "', dan akan menggunakan storytelling framework '", G485, "'.", CHAR(10),
"Gambaran singkat ide kontennya adalah: '", J485, "'.", CHAR(10),
"Konten ini akan diunggah di platform '", E485, "' dengan format '", D485,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MAPPING'!C391, "'.** Sesuaikan dengan gaya komunikasi saya, dengan fokus pada nilai tambah '", F485,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MAPPING'!D404, ", khusus ", 'CONTENT PILLAR MAPPING'!D405, ") dan membantu mereka menyelesaikan masalah atau mencapai tujuan mereka.", CHAR(10),
"✔ Membantuku membangun personal branding yang kuat dan sustainable, sesuai dengan Positioning saya sebagai '", 'CONTENT PILLAR MAPPING'!C391, "' dan Brand Archetype '", 'CONTENT PILLAR MAPPING'!D396, "'.", CHAR(10),
"✔ Kemas dalam bentuk tabel agar rapi, mudah di baca dan dipahami, dengan kolom 'Judul Konten', 'Pilar', 'Format', 'Draft Script', 'CTA', 'Saran Visual', dan 'Full Caption'. (Kosongkan kolom Link Prompt jika ada)."
),
"")</f>
        <v/>
      </c>
      <c r="L485" s="91" t="n"/>
      <c r="M485" s="91" t="n"/>
      <c r="N485" s="102" t="n"/>
      <c r="O485" s="102" t="n"/>
      <c r="P485" s="102" t="n"/>
      <c r="Q485" s="102" t="n"/>
      <c r="R485" s="102" t="n"/>
      <c r="S485" s="102" t="n"/>
      <c r="T485" s="102" t="n"/>
      <c r="U485" s="102" t="n"/>
      <c r="V485" s="102" t="n"/>
      <c r="W485" s="102" t="n"/>
      <c r="X485" s="102" t="n"/>
      <c r="Y485" s="102" t="n"/>
      <c r="Z485" s="102" t="n"/>
      <c r="AA485" s="102" t="n"/>
      <c r="AB485" s="102" t="n"/>
      <c r="AC485" s="102" t="n"/>
      <c r="AD485" s="102" t="n"/>
    </row>
    <row r="486" ht="15.75" customHeight="1" s="205">
      <c r="A486" s="102" t="n"/>
      <c r="B486" s="147" t="n"/>
      <c r="C486" s="144" t="n"/>
      <c r="D486" s="144" t="n"/>
      <c r="E486" s="144" t="n"/>
      <c r="F486" s="144" t="n"/>
      <c r="G486" s="144" t="n"/>
      <c r="H486" s="141">
        <f>IF(K486&lt;&gt;"", HYPERLINK("https://chatgpt.com/?prompt=" &amp; SUBSTITUTE(SUBSTITUTE(K486, " ", "+"), "&amp;", "dan") &amp; "&amp;force-refresh=true&amp;timestamp=" &amp; TEXT(NOW(), "yyyymmddhhmmss"), "👉 Klik untuk Generate Script! 🔥"), "")</f>
        <v/>
      </c>
      <c r="I486" s="144" t="n"/>
      <c r="J486" s="148" t="n"/>
      <c r="K486" s="140">
        <f>IF(AND(B486&lt;&gt;"", C486&lt;&gt;"", D486&lt;&gt;"", E486&lt;&gt;"", F486&lt;&gt;"", G486&lt;&gt;"", J486&lt;&gt;"", 'CONTENT PILLAR MAPPING'!C388&lt;&gt;"", 'CONTENT PILLAR MAPPING'!E388&lt;&gt;"", 'CONTENT PILLAR MAPPING'!F388&lt;&gt;"", 'CONTENT PILLAR MAPPING'!C391&lt;&gt;"", 'CONTENT PILLAR MAPPING'!C396&lt;&gt;"", 'CONTENT PILLAR MAPPING'!D396&lt;&gt;"", 'CONTENT PILLAR MAPPING'!E396&lt;&gt;"", 'CONTENT PILLAR MAPPING'!D404&lt;&gt;"", 'CONTENT PILLAR MAPPING'!D405&lt;&gt;""),
CONCATENATE(
"Sebagai seorang top konten kreator dengan niche utama '", 'CONTENT PILLAR MAPPING'!C388, "', spesifik kategori '", 'CONTENT PILLAR MAPPING'!E388, "', dan super spesifik '", 'CONTENT PILLAR MAPPING'!F388, "', yang dikenal sebagai '", 'CONTENT PILLAR MAPPING'!C391, "'.", CHAR(10),
"Saya memiliki Tone of Voice: '", 'CONTENT PILLAR MAPPING'!C396, "', Brand Archetype: '", 'CONTENT PILLAR MAPPING'!D396, "', dan Deskripsi Gaya Komunikasi: '", 'CONTENT PILLAR MAPPING'!E396, "'.", CHAR(10),
"Target audiens saya adalah: '", 'CONTENT PILLAR MAPPING'!D404, "', dengan segmentasi audiens: '", 'CONTENT PILLAR MAPPING'!D405, "'.", CHAR(10), CHAR(10),
"Mohon buatkan script konten yang **sangat powerful, menarik, inovatif, dan siap pakai** dengan judul ide '", B486, "'.", CHAR(10),
"Konten ini memiliki pilar '", C486, "', nilai tambah utama '", F486, "', dan akan menggunakan storytelling framework '", G486, "'.", CHAR(10),
"Gambaran singkat ide kontennya adalah: '", J486, "'.", CHAR(10),
"Konten ini akan diunggah di platform '", E486, "' dengan format '", D486,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MAPPING'!C391, "'.** Sesuaikan dengan gaya komunikasi saya, dengan fokus pada nilai tambah '", F486,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MAPPING'!D404, ", khusus ", 'CONTENT PILLAR MAPPING'!D405, ") dan membantu mereka menyelesaikan masalah atau mencapai tujuan mereka.", CHAR(10),
"✔ Membantuku membangun personal branding yang kuat dan sustainable, sesuai dengan Positioning saya sebagai '", 'CONTENT PILLAR MAPPING'!C391, "' dan Brand Archetype '", 'CONTENT PILLAR MAPPING'!D396, "'.", CHAR(10),
"✔ Kemas dalam bentuk tabel agar rapi, mudah di baca dan dipahami, dengan kolom 'Judul Konten', 'Pilar', 'Format', 'Draft Script', 'CTA', 'Saran Visual', dan 'Full Caption'. (Kosongkan kolom Link Prompt jika ada)."
),
"")</f>
        <v/>
      </c>
      <c r="L486" s="199" t="n"/>
      <c r="M486" s="199" t="n"/>
      <c r="N486" s="102" t="n"/>
      <c r="O486" s="102" t="n"/>
      <c r="P486" s="102" t="n"/>
      <c r="Q486" s="102" t="n"/>
      <c r="R486" s="102" t="n"/>
      <c r="S486" s="102" t="n"/>
      <c r="T486" s="102" t="n"/>
      <c r="U486" s="102" t="n"/>
      <c r="V486" s="102" t="n"/>
      <c r="W486" s="102" t="n"/>
      <c r="X486" s="102" t="n"/>
      <c r="Y486" s="102" t="n"/>
      <c r="Z486" s="102" t="n"/>
      <c r="AA486" s="102" t="n"/>
      <c r="AB486" s="102" t="n"/>
      <c r="AC486" s="102" t="n"/>
      <c r="AD486" s="102" t="n"/>
    </row>
    <row r="487" ht="15.75" customHeight="1" s="205">
      <c r="A487" s="102" t="n"/>
      <c r="B487" s="142" t="n"/>
      <c r="C487" s="143" t="n"/>
      <c r="D487" s="143" t="n"/>
      <c r="E487" s="143" t="n"/>
      <c r="F487" s="143" t="n"/>
      <c r="G487" s="144" t="n"/>
      <c r="H487" s="145">
        <f>IF(K487&lt;&gt;"", HYPERLINK("https://chatgpt.com/?prompt=" &amp; SUBSTITUTE(SUBSTITUTE(K487, " ", "+"), "&amp;", "dan") &amp; "&amp;force-refresh=true&amp;timestamp=" &amp; TEXT(NOW(), "yyyymmddhhmmss"), "👉 Klik untuk Generate Script! 🔥"), "")</f>
        <v/>
      </c>
      <c r="I487" s="143" t="n"/>
      <c r="J487" s="146" t="n"/>
      <c r="K487" s="130">
        <f>IF(AND(B487&lt;&gt;"", C487&lt;&gt;"", D487&lt;&gt;"", E487&lt;&gt;"", F487&lt;&gt;"", G487&lt;&gt;"", J487&lt;&gt;"", 'CONTENT PILLAR MAPPING'!C390&lt;&gt;"", 'CONTENT PILLAR MAPPING'!E390&lt;&gt;"", 'CONTENT PILLAR MAPPING'!F390&lt;&gt;"", 'CONTENT PILLAR MAPPING'!C393&lt;&gt;"", 'CONTENT PILLAR MAPPING'!C398&lt;&gt;"", 'CONTENT PILLAR MAPPING'!D398&lt;&gt;"", 'CONTENT PILLAR MAPPING'!E398&lt;&gt;"", 'CONTENT PILLAR MAPPING'!D406&lt;&gt;"", 'CONTENT PILLAR MAPPING'!D407&lt;&gt;""),
CONCATENATE(
"Sebagai seorang top konten kreator dengan niche utama '", 'CONTENT PILLAR MAPPING'!C390, "', spesifik kategori '", 'CONTENT PILLAR MAPPING'!E390, "', dan super spesifik '", 'CONTENT PILLAR MAPPING'!F390, "', yang dikenal sebagai '", 'CONTENT PILLAR MAPPING'!C393, "'.", CHAR(10),
"Saya memiliki Tone of Voice: '", 'CONTENT PILLAR MAPPING'!C398, "', Brand Archetype: '", 'CONTENT PILLAR MAPPING'!D398, "', dan Deskripsi Gaya Komunikasi: '", 'CONTENT PILLAR MAPPING'!E398, "'.", CHAR(10),
"Target audiens saya adalah: '", 'CONTENT PILLAR MAPPING'!D406, "', dengan segmentasi audiens: '", 'CONTENT PILLAR MAPPING'!D407, "'.", CHAR(10), CHAR(10),
"Mohon buatkan script konten yang **sangat powerful, menarik, inovatif, dan siap pakai** dengan judul ide '", B487, "'.", CHAR(10),
"Konten ini memiliki pilar '", C487, "', nilai tambah utama '", F487, "', dan akan menggunakan storytelling framework '", G487, "'.", CHAR(10),
"Gambaran singkat ide kontennya adalah: '", J487, "'.", CHAR(10),
"Konten ini akan diunggah di platform '", E487, "' dengan format '", D487,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MAPPING'!C393, "'.** Sesuaikan dengan gaya komunikasi saya, dengan fokus pada nilai tambah '", F487,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MAPPING'!D406, ", khusus ", 'CONTENT PILLAR MAPPING'!D407, ") dan membantu mereka menyelesaikan masalah atau mencapai tujuan mereka.", CHAR(10),
"✔ Membantuku membangun personal branding yang kuat dan sustainable, sesuai dengan Positioning saya sebagai '", 'CONTENT PILLAR MAPPING'!C393, "' dan Brand Archetype '", 'CONTENT PILLAR MAPPING'!D398, "'.", CHAR(10),
"✔ Kemas dalam bentuk tabel agar rapi, mudah di baca dan dipahami, dengan kolom 'Judul Konten', 'Pilar', 'Format', 'Draft Script', 'CTA', 'Saran Visual', dan 'Full Caption'. (Kosongkan kolom Link Prompt jika ada)."
),
"")</f>
        <v/>
      </c>
      <c r="L487" s="91" t="n"/>
      <c r="M487" s="91" t="n"/>
      <c r="N487" s="102" t="n"/>
      <c r="O487" s="102" t="n"/>
      <c r="P487" s="102" t="n"/>
      <c r="Q487" s="102" t="n"/>
      <c r="R487" s="102" t="n"/>
      <c r="S487" s="102" t="n"/>
      <c r="T487" s="102" t="n"/>
      <c r="U487" s="102" t="n"/>
      <c r="V487" s="102" t="n"/>
      <c r="W487" s="102" t="n"/>
      <c r="X487" s="102" t="n"/>
      <c r="Y487" s="102" t="n"/>
      <c r="Z487" s="102" t="n"/>
      <c r="AA487" s="102" t="n"/>
      <c r="AB487" s="102" t="n"/>
      <c r="AC487" s="102" t="n"/>
      <c r="AD487" s="102" t="n"/>
    </row>
    <row r="488" ht="15.75" customHeight="1" s="205">
      <c r="A488" s="102" t="n"/>
      <c r="B488" s="147" t="n"/>
      <c r="C488" s="144" t="n"/>
      <c r="D488" s="144" t="n"/>
      <c r="E488" s="144" t="n"/>
      <c r="F488" s="144" t="n"/>
      <c r="G488" s="144" t="n"/>
      <c r="H488" s="141">
        <f>IF(K488&lt;&gt;"", HYPERLINK("https://chatgpt.com/?prompt=" &amp; SUBSTITUTE(SUBSTITUTE(K488, " ", "+"), "&amp;", "dan") &amp; "&amp;force-refresh=true&amp;timestamp=" &amp; TEXT(NOW(), "yyyymmddhhmmss"), "👉 Klik untuk Generate Script! 🔥"), "")</f>
        <v/>
      </c>
      <c r="I488" s="144" t="n"/>
      <c r="J488" s="148" t="n"/>
      <c r="K488" s="140">
        <f>IF(AND(B488&lt;&gt;"", C488&lt;&gt;"", D488&lt;&gt;"", E488&lt;&gt;"", F488&lt;&gt;"", G488&lt;&gt;"", J488&lt;&gt;"", 'CONTENT PILLAR MAPPING'!C390&lt;&gt;"", 'CONTENT PILLAR MAPPING'!E390&lt;&gt;"", 'CONTENT PILLAR MAPPING'!F390&lt;&gt;"", 'CONTENT PILLAR MAPPING'!C393&lt;&gt;"", 'CONTENT PILLAR MAPPING'!C398&lt;&gt;"", 'CONTENT PILLAR MAPPING'!D398&lt;&gt;"", 'CONTENT PILLAR MAPPING'!E398&lt;&gt;"", 'CONTENT PILLAR MAPPING'!D406&lt;&gt;"", 'CONTENT PILLAR MAPPING'!D407&lt;&gt;""),
CONCATENATE(
"Sebagai seorang top konten kreator dengan niche utama '", 'CONTENT PILLAR MAPPING'!C390, "', spesifik kategori '", 'CONTENT PILLAR MAPPING'!E390, "', dan super spesifik '", 'CONTENT PILLAR MAPPING'!F390, "', yang dikenal sebagai '", 'CONTENT PILLAR MAPPING'!C393, "'.", CHAR(10),
"Saya memiliki Tone of Voice: '", 'CONTENT PILLAR MAPPING'!C398, "', Brand Archetype: '", 'CONTENT PILLAR MAPPING'!D398, "', dan Deskripsi Gaya Komunikasi: '", 'CONTENT PILLAR MAPPING'!E398, "'.", CHAR(10),
"Target audiens saya adalah: '", 'CONTENT PILLAR MAPPING'!D406, "', dengan segmentasi audiens: '", 'CONTENT PILLAR MAPPING'!D407, "'.", CHAR(10), CHAR(10),
"Mohon buatkan script konten yang **sangat powerful, menarik, inovatif, dan siap pakai** dengan judul ide '", B488, "'.", CHAR(10),
"Konten ini memiliki pilar '", C488, "', nilai tambah utama '", F488, "', dan akan menggunakan storytelling framework '", G488, "'.", CHAR(10),
"Gambaran singkat ide kontennya adalah: '", J488, "'.", CHAR(10),
"Konten ini akan diunggah di platform '", E488, "' dengan format '", D488,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MAPPING'!C393, "'.** Sesuaikan dengan gaya komunikasi saya, dengan fokus pada nilai tambah '", F488,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MAPPING'!D406, ", khusus ", 'CONTENT PILLAR MAPPING'!D407, ") dan membantu mereka menyelesaikan masalah atau mencapai tujuan mereka.", CHAR(10),
"✔ Membantuku membangun personal branding yang kuat dan sustainable, sesuai dengan Positioning saya sebagai '", 'CONTENT PILLAR MAPPING'!C393, "' dan Brand Archetype '", 'CONTENT PILLAR MAPPING'!D398, "'.", CHAR(10),
"✔ Kemas dalam bentuk tabel agar rapi, mudah di baca dan dipahami, dengan kolom 'Judul Konten', 'Pilar', 'Format', 'Draft Script', 'CTA', 'Saran Visual', dan 'Full Caption'. (Kosongkan kolom Link Prompt jika ada)."
),
"")</f>
        <v/>
      </c>
      <c r="L488" s="199" t="n"/>
      <c r="M488" s="199" t="n"/>
      <c r="N488" s="102" t="n"/>
      <c r="O488" s="102" t="n"/>
      <c r="P488" s="102" t="n"/>
      <c r="Q488" s="102" t="n"/>
      <c r="R488" s="102" t="n"/>
      <c r="S488" s="102" t="n"/>
      <c r="T488" s="102" t="n"/>
      <c r="U488" s="102" t="n"/>
      <c r="V488" s="102" t="n"/>
      <c r="W488" s="102" t="n"/>
      <c r="X488" s="102" t="n"/>
      <c r="Y488" s="102" t="n"/>
      <c r="Z488" s="102" t="n"/>
      <c r="AA488" s="102" t="n"/>
      <c r="AB488" s="102" t="n"/>
      <c r="AC488" s="102" t="n"/>
      <c r="AD488" s="102" t="n"/>
    </row>
    <row r="489" ht="15.75" customHeight="1" s="205">
      <c r="A489" s="102" t="n"/>
      <c r="B489" s="142" t="n"/>
      <c r="C489" s="143" t="n"/>
      <c r="D489" s="143" t="n"/>
      <c r="E489" s="143" t="n"/>
      <c r="F489" s="143" t="n"/>
      <c r="G489" s="144" t="n"/>
      <c r="H489" s="145">
        <f>IF(K489&lt;&gt;"", HYPERLINK("https://chatgpt.com/?prompt=" &amp; SUBSTITUTE(SUBSTITUTE(K489, " ", "+"), "&amp;", "dan") &amp; "&amp;force-refresh=true&amp;timestamp=" &amp; TEXT(NOW(), "yyyymmddhhmmss"), "👉 Klik untuk Generate Script! 🔥"), "")</f>
        <v/>
      </c>
      <c r="I489" s="143" t="n"/>
      <c r="J489" s="146" t="n"/>
      <c r="K489" s="130">
        <f>IF(AND(B489&lt;&gt;"", C489&lt;&gt;"", D489&lt;&gt;"", E489&lt;&gt;"", F489&lt;&gt;"", G489&lt;&gt;"", J489&lt;&gt;"", 'CONTENT PILLAR MAPPING'!C392&lt;&gt;"", 'CONTENT PILLAR MAPPING'!E392&lt;&gt;"", 'CONTENT PILLAR MAPPING'!F392&lt;&gt;"", 'CONTENT PILLAR MAPPING'!C395&lt;&gt;"", 'CONTENT PILLAR MAPPING'!C400&lt;&gt;"", 'CONTENT PILLAR MAPPING'!D400&lt;&gt;"", 'CONTENT PILLAR MAPPING'!E400&lt;&gt;"", 'CONTENT PILLAR MAPPING'!D408&lt;&gt;"", 'CONTENT PILLAR MAPPING'!D409&lt;&gt;""),
CONCATENATE(
"Sebagai seorang top konten kreator dengan niche utama '", 'CONTENT PILLAR MAPPING'!C392, "', spesifik kategori '", 'CONTENT PILLAR MAPPING'!E392, "', dan super spesifik '", 'CONTENT PILLAR MAPPING'!F392, "', yang dikenal sebagai '", 'CONTENT PILLAR MAPPING'!C395, "'.", CHAR(10),
"Saya memiliki Tone of Voice: '", 'CONTENT PILLAR MAPPING'!C400, "', Brand Archetype: '", 'CONTENT PILLAR MAPPING'!D400, "', dan Deskripsi Gaya Komunikasi: '", 'CONTENT PILLAR MAPPING'!E400, "'.", CHAR(10),
"Target audiens saya adalah: '", 'CONTENT PILLAR MAPPING'!D408, "', dengan segmentasi audiens: '", 'CONTENT PILLAR MAPPING'!D409, "'.", CHAR(10), CHAR(10),
"Mohon buatkan script konten yang **sangat powerful, menarik, inovatif, dan siap pakai** dengan judul ide '", B489, "'.", CHAR(10),
"Konten ini memiliki pilar '", C489, "', nilai tambah utama '", F489, "', dan akan menggunakan storytelling framework '", G489, "'.", CHAR(10),
"Gambaran singkat ide kontennya adalah: '", J489, "'.", CHAR(10),
"Konten ini akan diunggah di platform '", E489, "' dengan format '", D489,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MAPPING'!C395, "'.** Sesuaikan dengan gaya komunikasi saya, dengan fokus pada nilai tambah '", F489,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MAPPING'!D408, ", khusus ", 'CONTENT PILLAR MAPPING'!D409, ") dan membantu mereka menyelesaikan masalah atau mencapai tujuan mereka.", CHAR(10),
"✔ Membantuku membangun personal branding yang kuat dan sustainable, sesuai dengan Positioning saya sebagai '", 'CONTENT PILLAR MAPPING'!C395, "' dan Brand Archetype '", 'CONTENT PILLAR MAPPING'!D400, "'.", CHAR(10),
"✔ Kemas dalam bentuk tabel agar rapi, mudah di baca dan dipahami, dengan kolom 'Judul Konten', 'Pilar', 'Format', 'Draft Script', 'CTA', 'Saran Visual', dan 'Full Caption'. (Kosongkan kolom Link Prompt jika ada)."
),
"")</f>
        <v/>
      </c>
      <c r="L489" s="91" t="n"/>
      <c r="M489" s="91" t="n"/>
      <c r="N489" s="102" t="n"/>
      <c r="O489" s="102" t="n"/>
      <c r="P489" s="102" t="n"/>
      <c r="Q489" s="102" t="n"/>
      <c r="R489" s="102" t="n"/>
      <c r="S489" s="102" t="n"/>
      <c r="T489" s="102" t="n"/>
      <c r="U489" s="102" t="n"/>
      <c r="V489" s="102" t="n"/>
      <c r="W489" s="102" t="n"/>
      <c r="X489" s="102" t="n"/>
      <c r="Y489" s="102" t="n"/>
      <c r="Z489" s="102" t="n"/>
      <c r="AA489" s="102" t="n"/>
      <c r="AB489" s="102" t="n"/>
      <c r="AC489" s="102" t="n"/>
      <c r="AD489" s="102" t="n"/>
    </row>
    <row r="490" ht="15.75" customHeight="1" s="205">
      <c r="A490" s="102" t="n"/>
      <c r="B490" s="147" t="n"/>
      <c r="C490" s="144" t="n"/>
      <c r="D490" s="144" t="n"/>
      <c r="E490" s="144" t="n"/>
      <c r="F490" s="144" t="n"/>
      <c r="G490" s="144" t="n"/>
      <c r="H490" s="141">
        <f>IF(K490&lt;&gt;"", HYPERLINK("https://chatgpt.com/?prompt=" &amp; SUBSTITUTE(SUBSTITUTE(K490, " ", "+"), "&amp;", "dan") &amp; "&amp;force-refresh=true&amp;timestamp=" &amp; TEXT(NOW(), "yyyymmddhhmmss"), "👉 Klik untuk Generate Script! 🔥"), "")</f>
        <v/>
      </c>
      <c r="I490" s="144" t="n"/>
      <c r="J490" s="148" t="n"/>
      <c r="K490" s="140">
        <f>IF(AND(B490&lt;&gt;"", C490&lt;&gt;"", D490&lt;&gt;"", E490&lt;&gt;"", F490&lt;&gt;"", G490&lt;&gt;"", J490&lt;&gt;"", 'CONTENT PILLAR MAPPING'!C392&lt;&gt;"", 'CONTENT PILLAR MAPPING'!E392&lt;&gt;"", 'CONTENT PILLAR MAPPING'!F392&lt;&gt;"", 'CONTENT PILLAR MAPPING'!C395&lt;&gt;"", 'CONTENT PILLAR MAPPING'!C400&lt;&gt;"", 'CONTENT PILLAR MAPPING'!D400&lt;&gt;"", 'CONTENT PILLAR MAPPING'!E400&lt;&gt;"", 'CONTENT PILLAR MAPPING'!D408&lt;&gt;"", 'CONTENT PILLAR MAPPING'!D409&lt;&gt;""),
CONCATENATE(
"Sebagai seorang top konten kreator dengan niche utama '", 'CONTENT PILLAR MAPPING'!C392, "', spesifik kategori '", 'CONTENT PILLAR MAPPING'!E392, "', dan super spesifik '", 'CONTENT PILLAR MAPPING'!F392, "', yang dikenal sebagai '", 'CONTENT PILLAR MAPPING'!C395, "'.", CHAR(10),
"Saya memiliki Tone of Voice: '", 'CONTENT PILLAR MAPPING'!C400, "', Brand Archetype: '", 'CONTENT PILLAR MAPPING'!D400, "', dan Deskripsi Gaya Komunikasi: '", 'CONTENT PILLAR MAPPING'!E400, "'.", CHAR(10),
"Target audiens saya adalah: '", 'CONTENT PILLAR MAPPING'!D408, "', dengan segmentasi audiens: '", 'CONTENT PILLAR MAPPING'!D409, "'.", CHAR(10), CHAR(10),
"Mohon buatkan script konten yang **sangat powerful, menarik, inovatif, dan siap pakai** dengan judul ide '", B490, "'.", CHAR(10),
"Konten ini memiliki pilar '", C490, "', nilai tambah utama '", F490, "', dan akan menggunakan storytelling framework '", G490, "'.", CHAR(10),
"Gambaran singkat ide kontennya adalah: '", J490, "'.", CHAR(10),
"Konten ini akan diunggah di platform '", E490, "' dengan format '", D490,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MAPPING'!C395, "'.** Sesuaikan dengan gaya komunikasi saya, dengan fokus pada nilai tambah '", F490,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MAPPING'!D408, ", khusus ", 'CONTENT PILLAR MAPPING'!D409, ") dan membantu mereka menyelesaikan masalah atau mencapai tujuan mereka.", CHAR(10),
"✔ Membantuku membangun personal branding yang kuat dan sustainable, sesuai dengan Positioning saya sebagai '", 'CONTENT PILLAR MAPPING'!C395, "' dan Brand Archetype '", 'CONTENT PILLAR MAPPING'!D400, "'.", CHAR(10),
"✔ Kemas dalam bentuk tabel agar rapi, mudah di baca dan dipahami, dengan kolom 'Judul Konten', 'Pilar', 'Format', 'Draft Script', 'CTA', 'Saran Visual', dan 'Full Caption'. (Kosongkan kolom Link Prompt jika ada)."
),
"")</f>
        <v/>
      </c>
      <c r="L490" s="199" t="n"/>
      <c r="M490" s="199" t="n"/>
      <c r="N490" s="102" t="n"/>
      <c r="O490" s="102" t="n"/>
      <c r="P490" s="102" t="n"/>
      <c r="Q490" s="102" t="n"/>
      <c r="R490" s="102" t="n"/>
      <c r="S490" s="102" t="n"/>
      <c r="T490" s="102" t="n"/>
      <c r="U490" s="102" t="n"/>
      <c r="V490" s="102" t="n"/>
      <c r="W490" s="102" t="n"/>
      <c r="X490" s="102" t="n"/>
      <c r="Y490" s="102" t="n"/>
      <c r="Z490" s="102" t="n"/>
      <c r="AA490" s="102" t="n"/>
      <c r="AB490" s="102" t="n"/>
      <c r="AC490" s="102" t="n"/>
      <c r="AD490" s="102" t="n"/>
    </row>
    <row r="491" ht="15.75" customHeight="1" s="205">
      <c r="A491" s="102" t="n"/>
      <c r="B491" s="142" t="n"/>
      <c r="C491" s="143" t="n"/>
      <c r="D491" s="143" t="n"/>
      <c r="E491" s="143" t="n"/>
      <c r="F491" s="143" t="n"/>
      <c r="G491" s="144" t="n"/>
      <c r="H491" s="145">
        <f>IF(K491&lt;&gt;"", HYPERLINK("https://chatgpt.com/?prompt=" &amp; SUBSTITUTE(SUBSTITUTE(K491, " ", "+"), "&amp;", "dan") &amp; "&amp;force-refresh=true&amp;timestamp=" &amp; TEXT(NOW(), "yyyymmddhhmmss"), "👉 Klik untuk Generate Script! 🔥"), "")</f>
        <v/>
      </c>
      <c r="I491" s="143" t="n"/>
      <c r="J491" s="146" t="n"/>
      <c r="K491" s="130">
        <f>IF(AND(B491&lt;&gt;"", C491&lt;&gt;"", D491&lt;&gt;"", E491&lt;&gt;"", F491&lt;&gt;"", G491&lt;&gt;"", J491&lt;&gt;"", 'CONTENT PILLAR MAPPING'!C394&lt;&gt;"", 'CONTENT PILLAR MAPPING'!E394&lt;&gt;"", 'CONTENT PILLAR MAPPING'!F394&lt;&gt;"", 'CONTENT PILLAR MAPPING'!C397&lt;&gt;"", 'CONTENT PILLAR MAPPING'!C402&lt;&gt;"", 'CONTENT PILLAR MAPPING'!D402&lt;&gt;"", 'CONTENT PILLAR MAPPING'!E402&lt;&gt;"", 'CONTENT PILLAR MAPPING'!D410&lt;&gt;"", 'CONTENT PILLAR MAPPING'!D411&lt;&gt;""),
CONCATENATE(
"Sebagai seorang top konten kreator dengan niche utama '", 'CONTENT PILLAR MAPPING'!C394, "', spesifik kategori '", 'CONTENT PILLAR MAPPING'!E394, "', dan super spesifik '", 'CONTENT PILLAR MAPPING'!F394, "', yang dikenal sebagai '", 'CONTENT PILLAR MAPPING'!C397, "'.", CHAR(10),
"Saya memiliki Tone of Voice: '", 'CONTENT PILLAR MAPPING'!C402, "', Brand Archetype: '", 'CONTENT PILLAR MAPPING'!D402, "', dan Deskripsi Gaya Komunikasi: '", 'CONTENT PILLAR MAPPING'!E402, "'.", CHAR(10),
"Target audiens saya adalah: '", 'CONTENT PILLAR MAPPING'!D410, "', dengan segmentasi audiens: '", 'CONTENT PILLAR MAPPING'!D411, "'.", CHAR(10), CHAR(10),
"Mohon buatkan script konten yang **sangat powerful, menarik, inovatif, dan siap pakai** dengan judul ide '", B491, "'.", CHAR(10),
"Konten ini memiliki pilar '", C491, "', nilai tambah utama '", F491, "', dan akan menggunakan storytelling framework '", G491, "'.", CHAR(10),
"Gambaran singkat ide kontennya adalah: '", J491, "'.", CHAR(10),
"Konten ini akan diunggah di platform '", E491, "' dengan format '", D491,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MAPPING'!C397, "'.** Sesuaikan dengan gaya komunikasi saya, dengan fokus pada nilai tambah '", F491,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MAPPING'!D410, ", khusus ", 'CONTENT PILLAR MAPPING'!D411, ") dan membantu mereka menyelesaikan masalah atau mencapai tujuan mereka.", CHAR(10),
"✔ Membantuku membangun personal branding yang kuat dan sustainable, sesuai dengan Positioning saya sebagai '", 'CONTENT PILLAR MAPPING'!C397, "' dan Brand Archetype '", 'CONTENT PILLAR MAPPING'!D402, "'.", CHAR(10),
"✔ Kemas dalam bentuk tabel agar rapi, mudah di baca dan dipahami, dengan kolom 'Judul Konten', 'Pilar', 'Format', 'Draft Script', 'CTA', 'Saran Visual', dan 'Full Caption'. (Kosongkan kolom Link Prompt jika ada)."
),
"")</f>
        <v/>
      </c>
      <c r="L491" s="91" t="n"/>
      <c r="M491" s="91" t="n"/>
      <c r="N491" s="102" t="n"/>
      <c r="O491" s="102" t="n"/>
      <c r="P491" s="102" t="n"/>
      <c r="Q491" s="102" t="n"/>
      <c r="R491" s="102" t="n"/>
      <c r="S491" s="102" t="n"/>
      <c r="T491" s="102" t="n"/>
      <c r="U491" s="102" t="n"/>
      <c r="V491" s="102" t="n"/>
      <c r="W491" s="102" t="n"/>
      <c r="X491" s="102" t="n"/>
      <c r="Y491" s="102" t="n"/>
      <c r="Z491" s="102" t="n"/>
      <c r="AA491" s="102" t="n"/>
      <c r="AB491" s="102" t="n"/>
      <c r="AC491" s="102" t="n"/>
      <c r="AD491" s="102" t="n"/>
    </row>
    <row r="492" ht="15.75" customHeight="1" s="205">
      <c r="A492" s="102" t="n"/>
      <c r="B492" s="147" t="n"/>
      <c r="C492" s="144" t="n"/>
      <c r="D492" s="144" t="n"/>
      <c r="E492" s="144" t="n"/>
      <c r="F492" s="144" t="n"/>
      <c r="G492" s="144" t="n"/>
      <c r="H492" s="141">
        <f>IF(K492&lt;&gt;"", HYPERLINK("https://chatgpt.com/?prompt=" &amp; SUBSTITUTE(SUBSTITUTE(K492, " ", "+"), "&amp;", "dan") &amp; "&amp;force-refresh=true&amp;timestamp=" &amp; TEXT(NOW(), "yyyymmddhhmmss"), "👉 Klik untuk Generate Script! 🔥"), "")</f>
        <v/>
      </c>
      <c r="I492" s="144" t="n"/>
      <c r="J492" s="148" t="n"/>
      <c r="K492" s="140">
        <f>IF(AND(B492&lt;&gt;"", C492&lt;&gt;"", D492&lt;&gt;"", E492&lt;&gt;"", F492&lt;&gt;"", G492&lt;&gt;"", J492&lt;&gt;"", 'CONTENT PILLAR MAPPING'!C394&lt;&gt;"", 'CONTENT PILLAR MAPPING'!E394&lt;&gt;"", 'CONTENT PILLAR MAPPING'!F394&lt;&gt;"", 'CONTENT PILLAR MAPPING'!C397&lt;&gt;"", 'CONTENT PILLAR MAPPING'!C402&lt;&gt;"", 'CONTENT PILLAR MAPPING'!D402&lt;&gt;"", 'CONTENT PILLAR MAPPING'!E402&lt;&gt;"", 'CONTENT PILLAR MAPPING'!D410&lt;&gt;"", 'CONTENT PILLAR MAPPING'!D411&lt;&gt;""),
CONCATENATE(
"Sebagai seorang top konten kreator dengan niche utama '", 'CONTENT PILLAR MAPPING'!C394, "', spesifik kategori '", 'CONTENT PILLAR MAPPING'!E394, "', dan super spesifik '", 'CONTENT PILLAR MAPPING'!F394, "', yang dikenal sebagai '", 'CONTENT PILLAR MAPPING'!C397, "'.", CHAR(10),
"Saya memiliki Tone of Voice: '", 'CONTENT PILLAR MAPPING'!C402, "', Brand Archetype: '", 'CONTENT PILLAR MAPPING'!D402, "', dan Deskripsi Gaya Komunikasi: '", 'CONTENT PILLAR MAPPING'!E402, "'.", CHAR(10),
"Target audiens saya adalah: '", 'CONTENT PILLAR MAPPING'!D410, "', dengan segmentasi audiens: '", 'CONTENT PILLAR MAPPING'!D411, "'.", CHAR(10), CHAR(10),
"Mohon buatkan script konten yang **sangat powerful, menarik, inovatif, dan siap pakai** dengan judul ide '", B492, "'.", CHAR(10),
"Konten ini memiliki pilar '", C492, "', nilai tambah utama '", F492, "', dan akan menggunakan storytelling framework '", G492, "'.", CHAR(10),
"Gambaran singkat ide kontennya adalah: '", J492, "'.", CHAR(10),
"Konten ini akan diunggah di platform '", E492, "' dengan format '", D492,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MAPPING'!C397, "'.** Sesuaikan dengan gaya komunikasi saya, dengan fokus pada nilai tambah '", F492,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MAPPING'!D410, ", khusus ", 'CONTENT PILLAR MAPPING'!D411, ") dan membantu mereka menyelesaikan masalah atau mencapai tujuan mereka.", CHAR(10),
"✔ Membantuku membangun personal branding yang kuat dan sustainable, sesuai dengan Positioning saya sebagai '", 'CONTENT PILLAR MAPPING'!C397, "' dan Brand Archetype '", 'CONTENT PILLAR MAPPING'!D402, "'.", CHAR(10),
"✔ Kemas dalam bentuk tabel agar rapi, mudah di baca dan dipahami, dengan kolom 'Judul Konten', 'Pilar', 'Format', 'Draft Script', 'CTA', 'Saran Visual', dan 'Full Caption'. (Kosongkan kolom Link Prompt jika ada)."
),
"")</f>
        <v/>
      </c>
      <c r="L492" s="199" t="n"/>
      <c r="M492" s="199" t="n"/>
      <c r="N492" s="102" t="n"/>
      <c r="O492" s="102" t="n"/>
      <c r="P492" s="102" t="n"/>
      <c r="Q492" s="102" t="n"/>
      <c r="R492" s="102" t="n"/>
      <c r="S492" s="102" t="n"/>
      <c r="T492" s="102" t="n"/>
      <c r="U492" s="102" t="n"/>
      <c r="V492" s="102" t="n"/>
      <c r="W492" s="102" t="n"/>
      <c r="X492" s="102" t="n"/>
      <c r="Y492" s="102" t="n"/>
      <c r="Z492" s="102" t="n"/>
      <c r="AA492" s="102" t="n"/>
      <c r="AB492" s="102" t="n"/>
      <c r="AC492" s="102" t="n"/>
      <c r="AD492" s="102" t="n"/>
    </row>
    <row r="493" ht="15.75" customHeight="1" s="205">
      <c r="A493" s="102" t="n"/>
      <c r="B493" s="142" t="n"/>
      <c r="C493" s="143" t="n"/>
      <c r="D493" s="143" t="n"/>
      <c r="E493" s="143" t="n"/>
      <c r="F493" s="143" t="n"/>
      <c r="G493" s="144" t="n"/>
      <c r="H493" s="145">
        <f>IF(K493&lt;&gt;"", HYPERLINK("https://chatgpt.com/?prompt=" &amp; SUBSTITUTE(SUBSTITUTE(K493, " ", "+"), "&amp;", "dan") &amp; "&amp;force-refresh=true&amp;timestamp=" &amp; TEXT(NOW(), "yyyymmddhhmmss"), "👉 Klik untuk Generate Script! 🔥"), "")</f>
        <v/>
      </c>
      <c r="I493" s="143" t="n"/>
      <c r="J493" s="146" t="n"/>
      <c r="K493" s="130">
        <f>IF(AND(B493&lt;&gt;"", C493&lt;&gt;"", D493&lt;&gt;"", E493&lt;&gt;"", F493&lt;&gt;"", G493&lt;&gt;"", J493&lt;&gt;"", 'CONTENT PILLAR MAPPING'!C396&lt;&gt;"", 'CONTENT PILLAR MAPPING'!E396&lt;&gt;"", 'CONTENT PILLAR MAPPING'!F396&lt;&gt;"", 'CONTENT PILLAR MAPPING'!C399&lt;&gt;"", 'CONTENT PILLAR MAPPING'!C404&lt;&gt;"", 'CONTENT PILLAR MAPPING'!D404&lt;&gt;"", 'CONTENT PILLAR MAPPING'!E404&lt;&gt;"", 'CONTENT PILLAR MAPPING'!D412&lt;&gt;"", 'CONTENT PILLAR MAPPING'!D413&lt;&gt;""),
CONCATENATE(
"Sebagai seorang top konten kreator dengan niche utama '", 'CONTENT PILLAR MAPPING'!C396, "', spesifik kategori '", 'CONTENT PILLAR MAPPING'!E396, "', dan super spesifik '", 'CONTENT PILLAR MAPPING'!F396, "', yang dikenal sebagai '", 'CONTENT PILLAR MAPPING'!C399, "'.", CHAR(10),
"Saya memiliki Tone of Voice: '", 'CONTENT PILLAR MAPPING'!C404, "', Brand Archetype: '", 'CONTENT PILLAR MAPPING'!D404, "', dan Deskripsi Gaya Komunikasi: '", 'CONTENT PILLAR MAPPING'!E404, "'.", CHAR(10),
"Target audiens saya adalah: '", 'CONTENT PILLAR MAPPING'!D412, "', dengan segmentasi audiens: '", 'CONTENT PILLAR MAPPING'!D413, "'.", CHAR(10), CHAR(10),
"Mohon buatkan script konten yang **sangat powerful, menarik, inovatif, dan siap pakai** dengan judul ide '", B493, "'.", CHAR(10),
"Konten ini memiliki pilar '", C493, "', nilai tambah utama '", F493, "', dan akan menggunakan storytelling framework '", G493, "'.", CHAR(10),
"Gambaran singkat ide kontennya adalah: '", J493, "'.", CHAR(10),
"Konten ini akan diunggah di platform '", E493, "' dengan format '", D493,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MAPPING'!C399, "'.** Sesuaikan dengan gaya komunikasi saya, dengan fokus pada nilai tambah '", F493,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MAPPING'!D412, ", khusus ", 'CONTENT PILLAR MAPPING'!D413, ") dan membantu mereka menyelesaikan masalah atau mencapai tujuan mereka.", CHAR(10),
"✔ Membantuku membangun personal branding yang kuat dan sustainable, sesuai dengan Positioning saya sebagai '", 'CONTENT PILLAR MAPPING'!C399, "' dan Brand Archetype '", 'CONTENT PILLAR MAPPING'!D404, "'.", CHAR(10),
"✔ Kemas dalam bentuk tabel agar rapi, mudah di baca dan dipahami, dengan kolom 'Judul Konten', 'Pilar', 'Format', 'Draft Script', 'CTA', 'Saran Visual', dan 'Full Caption'. (Kosongkan kolom Link Prompt jika ada)."
),
"")</f>
        <v/>
      </c>
      <c r="L493" s="91" t="n"/>
      <c r="M493" s="91" t="n"/>
      <c r="N493" s="102" t="n"/>
      <c r="O493" s="102" t="n"/>
      <c r="P493" s="102" t="n"/>
      <c r="Q493" s="102" t="n"/>
      <c r="R493" s="102" t="n"/>
      <c r="S493" s="102" t="n"/>
      <c r="T493" s="102" t="n"/>
      <c r="U493" s="102" t="n"/>
      <c r="V493" s="102" t="n"/>
      <c r="W493" s="102" t="n"/>
      <c r="X493" s="102" t="n"/>
      <c r="Y493" s="102" t="n"/>
      <c r="Z493" s="102" t="n"/>
      <c r="AA493" s="102" t="n"/>
      <c r="AB493" s="102" t="n"/>
      <c r="AC493" s="102" t="n"/>
      <c r="AD493" s="102" t="n"/>
    </row>
    <row r="494" ht="15.75" customHeight="1" s="205">
      <c r="A494" s="102" t="n"/>
      <c r="B494" s="147" t="n"/>
      <c r="C494" s="144" t="n"/>
      <c r="D494" s="144" t="n"/>
      <c r="E494" s="144" t="n"/>
      <c r="F494" s="144" t="n"/>
      <c r="G494" s="144" t="n"/>
      <c r="H494" s="141">
        <f>IF(K494&lt;&gt;"", HYPERLINK("https://chatgpt.com/?prompt=" &amp; SUBSTITUTE(SUBSTITUTE(K494, " ", "+"), "&amp;", "dan") &amp; "&amp;force-refresh=true&amp;timestamp=" &amp; TEXT(NOW(), "yyyymmddhhmmss"), "👉 Klik untuk Generate Script! 🔥"), "")</f>
        <v/>
      </c>
      <c r="I494" s="144" t="n"/>
      <c r="J494" s="148" t="n"/>
      <c r="K494" s="140">
        <f>IF(AND(B494&lt;&gt;"", C494&lt;&gt;"", D494&lt;&gt;"", E494&lt;&gt;"", F494&lt;&gt;"", G494&lt;&gt;"", J494&lt;&gt;"", 'CONTENT PILLAR MAPPING'!C396&lt;&gt;"", 'CONTENT PILLAR MAPPING'!E396&lt;&gt;"", 'CONTENT PILLAR MAPPING'!F396&lt;&gt;"", 'CONTENT PILLAR MAPPING'!C399&lt;&gt;"", 'CONTENT PILLAR MAPPING'!C404&lt;&gt;"", 'CONTENT PILLAR MAPPING'!D404&lt;&gt;"", 'CONTENT PILLAR MAPPING'!E404&lt;&gt;"", 'CONTENT PILLAR MAPPING'!D412&lt;&gt;"", 'CONTENT PILLAR MAPPING'!D413&lt;&gt;""),
CONCATENATE(
"Sebagai seorang top konten kreator dengan niche utama '", 'CONTENT PILLAR MAPPING'!C396, "', spesifik kategori '", 'CONTENT PILLAR MAPPING'!E396, "', dan super spesifik '", 'CONTENT PILLAR MAPPING'!F396, "', yang dikenal sebagai '", 'CONTENT PILLAR MAPPING'!C399, "'.", CHAR(10),
"Saya memiliki Tone of Voice: '", 'CONTENT PILLAR MAPPING'!C404, "', Brand Archetype: '", 'CONTENT PILLAR MAPPING'!D404, "', dan Deskripsi Gaya Komunikasi: '", 'CONTENT PILLAR MAPPING'!E404, "'.", CHAR(10),
"Target audiens saya adalah: '", 'CONTENT PILLAR MAPPING'!D412, "', dengan segmentasi audiens: '", 'CONTENT PILLAR MAPPING'!D413, "'.", CHAR(10), CHAR(10),
"Mohon buatkan script konten yang **sangat powerful, menarik, inovatif, dan siap pakai** dengan judul ide '", B494, "'.", CHAR(10),
"Konten ini memiliki pilar '", C494, "', nilai tambah utama '", F494, "', dan akan menggunakan storytelling framework '", G494, "'.", CHAR(10),
"Gambaran singkat ide kontennya adalah: '", J494, "'.", CHAR(10),
"Konten ini akan diunggah di platform '", E494, "' dengan format '", D494,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MAPPING'!C399, "'.** Sesuaikan dengan gaya komunikasi saya, dengan fokus pada nilai tambah '", F494,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MAPPING'!D412, ", khusus ", 'CONTENT PILLAR MAPPING'!D413, ") dan membantu mereka menyelesaikan masalah atau mencapai tujuan mereka.", CHAR(10),
"✔ Membantuku membangun personal branding yang kuat dan sustainable, sesuai dengan Positioning saya sebagai '", 'CONTENT PILLAR MAPPING'!C399, "' dan Brand Archetype '", 'CONTENT PILLAR MAPPING'!D404, "'.", CHAR(10),
"✔ Kemas dalam bentuk tabel agar rapi, mudah di baca dan dipahami, dengan kolom 'Judul Konten', 'Pilar', 'Format', 'Draft Script', 'CTA', 'Saran Visual', dan 'Full Caption'. (Kosongkan kolom Link Prompt jika ada)."
),
"")</f>
        <v/>
      </c>
      <c r="L494" s="199" t="n"/>
      <c r="M494" s="199" t="n"/>
      <c r="N494" s="102" t="n"/>
      <c r="O494" s="102" t="n"/>
      <c r="P494" s="102" t="n"/>
      <c r="Q494" s="102" t="n"/>
      <c r="R494" s="102" t="n"/>
      <c r="S494" s="102" t="n"/>
      <c r="T494" s="102" t="n"/>
      <c r="U494" s="102" t="n"/>
      <c r="V494" s="102" t="n"/>
      <c r="W494" s="102" t="n"/>
      <c r="X494" s="102" t="n"/>
      <c r="Y494" s="102" t="n"/>
      <c r="Z494" s="102" t="n"/>
      <c r="AA494" s="102" t="n"/>
      <c r="AB494" s="102" t="n"/>
      <c r="AC494" s="102" t="n"/>
      <c r="AD494" s="102" t="n"/>
    </row>
    <row r="495" ht="15.75" customHeight="1" s="205">
      <c r="A495" s="102" t="n"/>
      <c r="B495" s="142" t="n"/>
      <c r="C495" s="143" t="n"/>
      <c r="D495" s="143" t="n"/>
      <c r="E495" s="143" t="n"/>
      <c r="F495" s="143" t="n"/>
      <c r="G495" s="144" t="n"/>
      <c r="H495" s="145">
        <f>IF(K495&lt;&gt;"", HYPERLINK("https://chatgpt.com/?prompt=" &amp; SUBSTITUTE(SUBSTITUTE(K495, " ", "+"), "&amp;", "dan") &amp; "&amp;force-refresh=true&amp;timestamp=" &amp; TEXT(NOW(), "yyyymmddhhmmss"), "👉 Klik untuk Generate Script! 🔥"), "")</f>
        <v/>
      </c>
      <c r="I495" s="143" t="n"/>
      <c r="J495" s="146" t="n"/>
      <c r="K495" s="130">
        <f>IF(AND(B495&lt;&gt;"", C495&lt;&gt;"", D495&lt;&gt;"", E495&lt;&gt;"", F495&lt;&gt;"", G495&lt;&gt;"", J495&lt;&gt;"", 'CONTENT PILLAR MAPPING'!C398&lt;&gt;"", 'CONTENT PILLAR MAPPING'!E398&lt;&gt;"", 'CONTENT PILLAR MAPPING'!F398&lt;&gt;"", 'CONTENT PILLAR MAPPING'!C401&lt;&gt;"", 'CONTENT PILLAR MAPPING'!C406&lt;&gt;"", 'CONTENT PILLAR MAPPING'!D406&lt;&gt;"", 'CONTENT PILLAR MAPPING'!E406&lt;&gt;"", 'CONTENT PILLAR MAPPING'!D414&lt;&gt;"", 'CONTENT PILLAR MAPPING'!D415&lt;&gt;""),
CONCATENATE(
"Sebagai seorang top konten kreator dengan niche utama '", 'CONTENT PILLAR MAPPING'!C398, "', spesifik kategori '", 'CONTENT PILLAR MAPPING'!E398, "', dan super spesifik '", 'CONTENT PILLAR MAPPING'!F398, "', yang dikenal sebagai '", 'CONTENT PILLAR MAPPING'!C401, "'.", CHAR(10),
"Saya memiliki Tone of Voice: '", 'CONTENT PILLAR MAPPING'!C406, "', Brand Archetype: '", 'CONTENT PILLAR MAPPING'!D406, "', dan Deskripsi Gaya Komunikasi: '", 'CONTENT PILLAR MAPPING'!E406, "'.", CHAR(10),
"Target audiens saya adalah: '", 'CONTENT PILLAR MAPPING'!D414, "', dengan segmentasi audiens: '", 'CONTENT PILLAR MAPPING'!D415, "'.", CHAR(10), CHAR(10),
"Mohon buatkan script konten yang **sangat powerful, menarik, inovatif, dan siap pakai** dengan judul ide '", B495, "'.", CHAR(10),
"Konten ini memiliki pilar '", C495, "', nilai tambah utama '", F495, "', dan akan menggunakan storytelling framework '", G495, "'.", CHAR(10),
"Gambaran singkat ide kontennya adalah: '", J495, "'.", CHAR(10),
"Konten ini akan diunggah di platform '", E495, "' dengan format '", D495,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MAPPING'!C401, "'.** Sesuaikan dengan gaya komunikasi saya, dengan fokus pada nilai tambah '", F495,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MAPPING'!D414, ", khusus ", 'CONTENT PILLAR MAPPING'!D415, ") dan membantu mereka menyelesaikan masalah atau mencapai tujuan mereka.", CHAR(10),
"✔ Membantuku membangun personal branding yang kuat dan sustainable, sesuai dengan Positioning saya sebagai '", 'CONTENT PILLAR MAPPING'!C401, "' dan Brand Archetype '", 'CONTENT PILLAR MAPPING'!D406, "'.", CHAR(10),
"✔ Kemas dalam bentuk tabel agar rapi, mudah di baca dan dipahami, dengan kolom 'Judul Konten', 'Pilar', 'Format', 'Draft Script', 'CTA', 'Saran Visual', dan 'Full Caption'. (Kosongkan kolom Link Prompt jika ada)."
),
"")</f>
        <v/>
      </c>
      <c r="L495" s="91" t="n"/>
      <c r="M495" s="91" t="n"/>
      <c r="N495" s="102" t="n"/>
      <c r="O495" s="102" t="n"/>
      <c r="P495" s="102" t="n"/>
      <c r="Q495" s="102" t="n"/>
      <c r="R495" s="102" t="n"/>
      <c r="S495" s="102" t="n"/>
      <c r="T495" s="102" t="n"/>
      <c r="U495" s="102" t="n"/>
      <c r="V495" s="102" t="n"/>
      <c r="W495" s="102" t="n"/>
      <c r="X495" s="102" t="n"/>
      <c r="Y495" s="102" t="n"/>
      <c r="Z495" s="102" t="n"/>
      <c r="AA495" s="102" t="n"/>
      <c r="AB495" s="102" t="n"/>
      <c r="AC495" s="102" t="n"/>
      <c r="AD495" s="102" t="n"/>
    </row>
    <row r="496" ht="15.75" customHeight="1" s="205">
      <c r="A496" s="102" t="n"/>
      <c r="B496" s="147" t="n"/>
      <c r="C496" s="144" t="n"/>
      <c r="D496" s="144" t="n"/>
      <c r="E496" s="144" t="n"/>
      <c r="F496" s="144" t="n"/>
      <c r="G496" s="144" t="n"/>
      <c r="H496" s="141">
        <f>IF(K496&lt;&gt;"", HYPERLINK("https://chatgpt.com/?prompt=" &amp; SUBSTITUTE(SUBSTITUTE(K496, " ", "+"), "&amp;", "dan") &amp; "&amp;force-refresh=true&amp;timestamp=" &amp; TEXT(NOW(), "yyyymmddhhmmss"), "👉 Klik untuk Generate Script! 🔥"), "")</f>
        <v/>
      </c>
      <c r="I496" s="144" t="n"/>
      <c r="J496" s="148" t="n"/>
      <c r="K496" s="140">
        <f>IF(AND(B496&lt;&gt;"", C496&lt;&gt;"", D496&lt;&gt;"", E496&lt;&gt;"", F496&lt;&gt;"", G496&lt;&gt;"", J496&lt;&gt;"", 'CONTENT PILLAR MAPPING'!C398&lt;&gt;"", 'CONTENT PILLAR MAPPING'!E398&lt;&gt;"", 'CONTENT PILLAR MAPPING'!F398&lt;&gt;"", 'CONTENT PILLAR MAPPING'!C401&lt;&gt;"", 'CONTENT PILLAR MAPPING'!C406&lt;&gt;"", 'CONTENT PILLAR MAPPING'!D406&lt;&gt;"", 'CONTENT PILLAR MAPPING'!E406&lt;&gt;"", 'CONTENT PILLAR MAPPING'!D414&lt;&gt;"", 'CONTENT PILLAR MAPPING'!D415&lt;&gt;""),
CONCATENATE(
"Sebagai seorang top konten kreator dengan niche utama '", 'CONTENT PILLAR MAPPING'!C398, "', spesifik kategori '", 'CONTENT PILLAR MAPPING'!E398, "', dan super spesifik '", 'CONTENT PILLAR MAPPING'!F398, "', yang dikenal sebagai '", 'CONTENT PILLAR MAPPING'!C401, "'.", CHAR(10),
"Saya memiliki Tone of Voice: '", 'CONTENT PILLAR MAPPING'!C406, "', Brand Archetype: '", 'CONTENT PILLAR MAPPING'!D406, "', dan Deskripsi Gaya Komunikasi: '", 'CONTENT PILLAR MAPPING'!E406, "'.", CHAR(10),
"Target audiens saya adalah: '", 'CONTENT PILLAR MAPPING'!D414, "', dengan segmentasi audiens: '", 'CONTENT PILLAR MAPPING'!D415, "'.", CHAR(10), CHAR(10),
"Mohon buatkan script konten yang **sangat powerful, menarik, inovatif, dan siap pakai** dengan judul ide '", B496, "'.", CHAR(10),
"Konten ini memiliki pilar '", C496, "', nilai tambah utama '", F496, "', dan akan menggunakan storytelling framework '", G496, "'.", CHAR(10),
"Gambaran singkat ide kontennya adalah: '", J496, "'.", CHAR(10),
"Konten ini akan diunggah di platform '", E496, "' dengan format '", D496,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MAPPING'!C401, "'.** Sesuaikan dengan gaya komunikasi saya, dengan fokus pada nilai tambah '", F496,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MAPPING'!D414, ", khusus ", 'CONTENT PILLAR MAPPING'!D415, ") dan membantu mereka menyelesaikan masalah atau mencapai tujuan mereka.", CHAR(10),
"✔ Membantuku membangun personal branding yang kuat dan sustainable, sesuai dengan Positioning saya sebagai '", 'CONTENT PILLAR MAPPING'!C401, "' dan Brand Archetype '", 'CONTENT PILLAR MAPPING'!D406, "'.", CHAR(10),
"✔ Kemas dalam bentuk tabel agar rapi, mudah di baca dan dipahami, dengan kolom 'Judul Konten', 'Pilar', 'Format', 'Draft Script', 'CTA', 'Saran Visual', dan 'Full Caption'. (Kosongkan kolom Link Prompt jika ada)."
),
"")</f>
        <v/>
      </c>
      <c r="L496" s="199" t="n"/>
      <c r="M496" s="199" t="n"/>
      <c r="N496" s="102" t="n"/>
      <c r="O496" s="102" t="n"/>
      <c r="P496" s="102" t="n"/>
      <c r="Q496" s="102" t="n"/>
      <c r="R496" s="102" t="n"/>
      <c r="S496" s="102" t="n"/>
      <c r="T496" s="102" t="n"/>
      <c r="U496" s="102" t="n"/>
      <c r="V496" s="102" t="n"/>
      <c r="W496" s="102" t="n"/>
      <c r="X496" s="102" t="n"/>
      <c r="Y496" s="102" t="n"/>
      <c r="Z496" s="102" t="n"/>
      <c r="AA496" s="102" t="n"/>
      <c r="AB496" s="102" t="n"/>
      <c r="AC496" s="102" t="n"/>
      <c r="AD496" s="102" t="n"/>
    </row>
    <row r="497" ht="15.75" customHeight="1" s="205">
      <c r="A497" s="102" t="n"/>
      <c r="B497" s="142" t="n"/>
      <c r="C497" s="143" t="n"/>
      <c r="D497" s="143" t="n"/>
      <c r="E497" s="143" t="n"/>
      <c r="F497" s="143" t="n"/>
      <c r="G497" s="144" t="n"/>
      <c r="H497" s="145">
        <f>IF(K497&lt;&gt;"", HYPERLINK("https://chatgpt.com/?prompt=" &amp; SUBSTITUTE(SUBSTITUTE(K497, " ", "+"), "&amp;", "dan") &amp; "&amp;force-refresh=true&amp;timestamp=" &amp; TEXT(NOW(), "yyyymmddhhmmss"), "👉 Klik untuk Generate Script! 🔥"), "")</f>
        <v/>
      </c>
      <c r="I497" s="143" t="n"/>
      <c r="J497" s="146" t="n"/>
      <c r="K497" s="130">
        <f>IF(AND(B497&lt;&gt;"", C497&lt;&gt;"", D497&lt;&gt;"", E497&lt;&gt;"", F497&lt;&gt;"", G497&lt;&gt;"", J497&lt;&gt;"", 'CONTENT PILLAR MAPPING'!C400&lt;&gt;"", 'CONTENT PILLAR MAPPING'!E400&lt;&gt;"", 'CONTENT PILLAR MAPPING'!F400&lt;&gt;"", 'CONTENT PILLAR MAPPING'!C403&lt;&gt;"", 'CONTENT PILLAR MAPPING'!C408&lt;&gt;"", 'CONTENT PILLAR MAPPING'!D408&lt;&gt;"", 'CONTENT PILLAR MAPPING'!E408&lt;&gt;"", 'CONTENT PILLAR MAPPING'!D416&lt;&gt;"", 'CONTENT PILLAR MAPPING'!D417&lt;&gt;""),
CONCATENATE(
"Sebagai seorang top konten kreator dengan niche utama '", 'CONTENT PILLAR MAPPING'!C400, "', spesifik kategori '", 'CONTENT PILLAR MAPPING'!E400, "', dan super spesifik '", 'CONTENT PILLAR MAPPING'!F400, "', yang dikenal sebagai '", 'CONTENT PILLAR MAPPING'!C403, "'.", CHAR(10),
"Saya memiliki Tone of Voice: '", 'CONTENT PILLAR MAPPING'!C408, "', Brand Archetype: '", 'CONTENT PILLAR MAPPING'!D408, "', dan Deskripsi Gaya Komunikasi: '", 'CONTENT PILLAR MAPPING'!E408, "'.", CHAR(10),
"Target audiens saya adalah: '", 'CONTENT PILLAR MAPPING'!D416, "', dengan segmentasi audiens: '", 'CONTENT PILLAR MAPPING'!D417, "'.", CHAR(10), CHAR(10),
"Mohon buatkan script konten yang **sangat powerful, menarik, inovatif, dan siap pakai** dengan judul ide '", B497, "'.", CHAR(10),
"Konten ini memiliki pilar '", C497, "', nilai tambah utama '", F497, "', dan akan menggunakan storytelling framework '", G497, "'.", CHAR(10),
"Gambaran singkat ide kontennya adalah: '", J497, "'.", CHAR(10),
"Konten ini akan diunggah di platform '", E497, "' dengan format '", D497,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MAPPING'!C403, "'.** Sesuaikan dengan gaya komunikasi saya, dengan fokus pada nilai tambah '", F497,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MAPPING'!D416, ", khusus ", 'CONTENT PILLAR MAPPING'!D417, ") dan membantu mereka menyelesaikan masalah atau mencapai tujuan mereka.", CHAR(10),
"✔ Membantuku membangun personal branding yang kuat dan sustainable, sesuai dengan Positioning saya sebagai '", 'CONTENT PILLAR MAPPING'!C403, "' dan Brand Archetype '", 'CONTENT PILLAR MAPPING'!D408, "'.", CHAR(10),
"✔ Kemas dalam bentuk tabel agar rapi, mudah di baca dan dipahami, dengan kolom 'Judul Konten', 'Pilar', 'Format', 'Draft Script', 'CTA', 'Saran Visual', dan 'Full Caption'. (Kosongkan kolom Link Prompt jika ada)."
),
"")</f>
        <v/>
      </c>
      <c r="L497" s="91" t="n"/>
      <c r="M497" s="91" t="n"/>
      <c r="N497" s="102" t="n"/>
      <c r="O497" s="102" t="n"/>
      <c r="P497" s="102" t="n"/>
      <c r="Q497" s="102" t="n"/>
      <c r="R497" s="102" t="n"/>
      <c r="S497" s="102" t="n"/>
      <c r="T497" s="102" t="n"/>
      <c r="U497" s="102" t="n"/>
      <c r="V497" s="102" t="n"/>
      <c r="W497" s="102" t="n"/>
      <c r="X497" s="102" t="n"/>
      <c r="Y497" s="102" t="n"/>
      <c r="Z497" s="102" t="n"/>
      <c r="AA497" s="102" t="n"/>
      <c r="AB497" s="102" t="n"/>
      <c r="AC497" s="102" t="n"/>
      <c r="AD497" s="102" t="n"/>
    </row>
    <row r="498" ht="15.75" customHeight="1" s="205">
      <c r="A498" s="102" t="n"/>
      <c r="B498" s="147" t="n"/>
      <c r="C498" s="144" t="n"/>
      <c r="D498" s="144" t="n"/>
      <c r="E498" s="144" t="n"/>
      <c r="F498" s="144" t="n"/>
      <c r="G498" s="144" t="n"/>
      <c r="H498" s="141">
        <f>IF(K498&lt;&gt;"", HYPERLINK("https://chatgpt.com/?prompt=" &amp; SUBSTITUTE(SUBSTITUTE(K498, " ", "+"), "&amp;", "dan") &amp; "&amp;force-refresh=true&amp;timestamp=" &amp; TEXT(NOW(), "yyyymmddhhmmss"), "👉 Klik untuk Generate Script! 🔥"), "")</f>
        <v/>
      </c>
      <c r="I498" s="144" t="n"/>
      <c r="J498" s="148" t="n"/>
      <c r="K498" s="140">
        <f>IF(AND(B498&lt;&gt;"", C498&lt;&gt;"", D498&lt;&gt;"", E498&lt;&gt;"", F498&lt;&gt;"", G498&lt;&gt;"", J498&lt;&gt;"", 'CONTENT PILLAR MAPPING'!C400&lt;&gt;"", 'CONTENT PILLAR MAPPING'!E400&lt;&gt;"", 'CONTENT PILLAR MAPPING'!F400&lt;&gt;"", 'CONTENT PILLAR MAPPING'!C403&lt;&gt;"", 'CONTENT PILLAR MAPPING'!C408&lt;&gt;"", 'CONTENT PILLAR MAPPING'!D408&lt;&gt;"", 'CONTENT PILLAR MAPPING'!E408&lt;&gt;"", 'CONTENT PILLAR MAPPING'!D416&lt;&gt;"", 'CONTENT PILLAR MAPPING'!D417&lt;&gt;""),
CONCATENATE(
"Sebagai seorang top konten kreator dengan niche utama '", 'CONTENT PILLAR MAPPING'!C400, "', spesifik kategori '", 'CONTENT PILLAR MAPPING'!E400, "', dan super spesifik '", 'CONTENT PILLAR MAPPING'!F400, "', yang dikenal sebagai '", 'CONTENT PILLAR MAPPING'!C403, "'.", CHAR(10),
"Saya memiliki Tone of Voice: '", 'CONTENT PILLAR MAPPING'!C408, "', Brand Archetype: '", 'CONTENT PILLAR MAPPING'!D408, "', dan Deskripsi Gaya Komunikasi: '", 'CONTENT PILLAR MAPPING'!E408, "'.", CHAR(10),
"Target audiens saya adalah: '", 'CONTENT PILLAR MAPPING'!D416, "', dengan segmentasi audiens: '", 'CONTENT PILLAR MAPPING'!D417, "'.", CHAR(10), CHAR(10),
"Mohon buatkan script konten yang **sangat powerful, menarik, inovatif, dan siap pakai** dengan judul ide '", B498, "'.", CHAR(10),
"Konten ini memiliki pilar '", C498, "', nilai tambah utama '", F498, "', dan akan menggunakan storytelling framework '", G498, "'.", CHAR(10),
"Gambaran singkat ide kontennya adalah: '", J498, "'.", CHAR(10),
"Konten ini akan diunggah di platform '", E498, "' dengan format '", D498,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MAPPING'!C403, "'.** Sesuaikan dengan gaya komunikasi saya, dengan fokus pada nilai tambah '", F498,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MAPPING'!D416, ", khusus ", 'CONTENT PILLAR MAPPING'!D417, ") dan membantu mereka menyelesaikan masalah atau mencapai tujuan mereka.", CHAR(10),
"✔ Membantuku membangun personal branding yang kuat dan sustainable, sesuai dengan Positioning saya sebagai '", 'CONTENT PILLAR MAPPING'!C403, "' dan Brand Archetype '", 'CONTENT PILLAR MAPPING'!D408, "'.", CHAR(10),
"✔ Kemas dalam bentuk tabel agar rapi, mudah di baca dan dipahami, dengan kolom 'Judul Konten', 'Pilar', 'Format', 'Draft Script', 'CTA', 'Saran Visual', dan 'Full Caption'. (Kosongkan kolom Link Prompt jika ada)."
),
"")</f>
        <v/>
      </c>
      <c r="L498" s="199" t="n"/>
      <c r="M498" s="199" t="n"/>
      <c r="N498" s="102" t="n"/>
      <c r="O498" s="102" t="n"/>
      <c r="P498" s="102" t="n"/>
      <c r="Q498" s="102" t="n"/>
      <c r="R498" s="102" t="n"/>
      <c r="S498" s="102" t="n"/>
      <c r="T498" s="102" t="n"/>
      <c r="U498" s="102" t="n"/>
      <c r="V498" s="102" t="n"/>
      <c r="W498" s="102" t="n"/>
      <c r="X498" s="102" t="n"/>
      <c r="Y498" s="102" t="n"/>
      <c r="Z498" s="102" t="n"/>
      <c r="AA498" s="102" t="n"/>
      <c r="AB498" s="102" t="n"/>
      <c r="AC498" s="102" t="n"/>
      <c r="AD498" s="102" t="n"/>
    </row>
    <row r="499" ht="15.75" customHeight="1" s="205">
      <c r="A499" s="102" t="n"/>
      <c r="B499" s="142" t="n"/>
      <c r="C499" s="143" t="n"/>
      <c r="D499" s="143" t="n"/>
      <c r="E499" s="143" t="n"/>
      <c r="F499" s="143" t="n"/>
      <c r="G499" s="144" t="n"/>
      <c r="H499" s="145">
        <f>IF(K499&lt;&gt;"", HYPERLINK("https://chatgpt.com/?prompt=" &amp; SUBSTITUTE(SUBSTITUTE(K499, " ", "+"), "&amp;", "dan") &amp; "&amp;force-refresh=true&amp;timestamp=" &amp; TEXT(NOW(), "yyyymmddhhmmss"), "👉 Klik untuk Generate Script! 🔥"), "")</f>
        <v/>
      </c>
      <c r="I499" s="143" t="n"/>
      <c r="J499" s="146" t="n"/>
      <c r="K499" s="130">
        <f>IF(AND(B499&lt;&gt;"", C499&lt;&gt;"", D499&lt;&gt;"", E499&lt;&gt;"", F499&lt;&gt;"", G499&lt;&gt;"", J499&lt;&gt;"", 'CONTENT PILLAR MAPPING'!C402&lt;&gt;"", 'CONTENT PILLAR MAPPING'!E402&lt;&gt;"", 'CONTENT PILLAR MAPPING'!F402&lt;&gt;"", 'CONTENT PILLAR MAPPING'!C405&lt;&gt;"", 'CONTENT PILLAR MAPPING'!C410&lt;&gt;"", 'CONTENT PILLAR MAPPING'!D410&lt;&gt;"", 'CONTENT PILLAR MAPPING'!E410&lt;&gt;"", 'CONTENT PILLAR MAPPING'!D418&lt;&gt;"", 'CONTENT PILLAR MAPPING'!D419&lt;&gt;""),
CONCATENATE(
"Sebagai seorang top konten kreator dengan niche utama '", 'CONTENT PILLAR MAPPING'!C402, "', spesifik kategori '", 'CONTENT PILLAR MAPPING'!E402, "', dan super spesifik '", 'CONTENT PILLAR MAPPING'!F402, "', yang dikenal sebagai '", 'CONTENT PILLAR MAPPING'!C405, "'.", CHAR(10),
"Saya memiliki Tone of Voice: '", 'CONTENT PILLAR MAPPING'!C410, "', Brand Archetype: '", 'CONTENT PILLAR MAPPING'!D410, "', dan Deskripsi Gaya Komunikasi: '", 'CONTENT PILLAR MAPPING'!E410, "'.", CHAR(10),
"Target audiens saya adalah: '", 'CONTENT PILLAR MAPPING'!D418, "', dengan segmentasi audiens: '", 'CONTENT PILLAR MAPPING'!D419, "'.", CHAR(10), CHAR(10),
"Mohon buatkan script konten yang **sangat powerful, menarik, inovatif, dan siap pakai** dengan judul ide '", B499, "'.", CHAR(10),
"Konten ini memiliki pilar '", C499, "', nilai tambah utama '", F499, "', dan akan menggunakan storytelling framework '", G499, "'.", CHAR(10),
"Gambaran singkat ide kontennya adalah: '", J499, "'.", CHAR(10),
"Konten ini akan diunggah di platform '", E499, "' dengan format '", D499,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MAPPING'!C405, "'.** Sesuaikan dengan gaya komunikasi saya, dengan fokus pada nilai tambah '", F499,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MAPPING'!D418, ", khusus ", 'CONTENT PILLAR MAPPING'!D419, ") dan membantu mereka menyelesaikan masalah atau mencapai tujuan mereka.", CHAR(10),
"✔ Membantuku membangun personal branding yang kuat dan sustainable, sesuai dengan Positioning saya sebagai '", 'CONTENT PILLAR MAPPING'!C405, "' dan Brand Archetype '", 'CONTENT PILLAR MAPPING'!D410, "'.", CHAR(10),
"✔ Kemas dalam bentuk tabel agar rapi, mudah di baca dan dipahami, dengan kolom 'Judul Konten', 'Pilar', 'Format', 'Draft Script', 'CTA', 'Saran Visual', dan 'Full Caption'. (Kosongkan kolom Link Prompt jika ada)."
),
"")</f>
        <v/>
      </c>
      <c r="L499" s="91" t="n"/>
      <c r="M499" s="91" t="n"/>
      <c r="N499" s="102" t="n"/>
      <c r="O499" s="102" t="n"/>
      <c r="P499" s="102" t="n"/>
      <c r="Q499" s="102" t="n"/>
      <c r="R499" s="102" t="n"/>
      <c r="S499" s="102" t="n"/>
      <c r="T499" s="102" t="n"/>
      <c r="U499" s="102" t="n"/>
      <c r="V499" s="102" t="n"/>
      <c r="W499" s="102" t="n"/>
      <c r="X499" s="102" t="n"/>
      <c r="Y499" s="102" t="n"/>
      <c r="Z499" s="102" t="n"/>
      <c r="AA499" s="102" t="n"/>
      <c r="AB499" s="102" t="n"/>
      <c r="AC499" s="102" t="n"/>
      <c r="AD499" s="102" t="n"/>
    </row>
    <row r="500" ht="15.75" customHeight="1" s="205">
      <c r="A500" s="102" t="n"/>
      <c r="B500" s="147" t="n"/>
      <c r="C500" s="144" t="n"/>
      <c r="D500" s="144" t="n"/>
      <c r="E500" s="144" t="n"/>
      <c r="F500" s="144" t="n"/>
      <c r="G500" s="144" t="n"/>
      <c r="H500" s="141">
        <f>IF(K500&lt;&gt;"", HYPERLINK("https://chatgpt.com/?prompt=" &amp; SUBSTITUTE(SUBSTITUTE(K500, " ", "+"), "&amp;", "dan") &amp; "&amp;force-refresh=true&amp;timestamp=" &amp; TEXT(NOW(), "yyyymmddhhmmss"), "👉 Klik untuk Generate Script! 🔥"), "")</f>
        <v/>
      </c>
      <c r="I500" s="144" t="n"/>
      <c r="J500" s="148" t="n"/>
      <c r="K500" s="140">
        <f>IF(AND(B500&lt;&gt;"", C500&lt;&gt;"", D500&lt;&gt;"", E500&lt;&gt;"", F500&lt;&gt;"", G500&lt;&gt;"", J500&lt;&gt;"", 'CONTENT PILLAR MAPPING'!C402&lt;&gt;"", 'CONTENT PILLAR MAPPING'!E402&lt;&gt;"", 'CONTENT PILLAR MAPPING'!F402&lt;&gt;"", 'CONTENT PILLAR MAPPING'!C405&lt;&gt;"", 'CONTENT PILLAR MAPPING'!C410&lt;&gt;"", 'CONTENT PILLAR MAPPING'!D410&lt;&gt;"", 'CONTENT PILLAR MAPPING'!E410&lt;&gt;"", 'CONTENT PILLAR MAPPING'!D418&lt;&gt;"", 'CONTENT PILLAR MAPPING'!D419&lt;&gt;""),
CONCATENATE(
"Sebagai seorang top konten kreator dengan niche utama '", 'CONTENT PILLAR MAPPING'!C402, "', spesifik kategori '", 'CONTENT PILLAR MAPPING'!E402, "', dan super spesifik '", 'CONTENT PILLAR MAPPING'!F402, "', yang dikenal sebagai '", 'CONTENT PILLAR MAPPING'!C405, "'.", CHAR(10),
"Saya memiliki Tone of Voice: '", 'CONTENT PILLAR MAPPING'!C410, "', Brand Archetype: '", 'CONTENT PILLAR MAPPING'!D410, "', dan Deskripsi Gaya Komunikasi: '", 'CONTENT PILLAR MAPPING'!E410, "'.", CHAR(10),
"Target audiens saya adalah: '", 'CONTENT PILLAR MAPPING'!D418, "', dengan segmentasi audiens: '", 'CONTENT PILLAR MAPPING'!D419, "'.", CHAR(10), CHAR(10),
"Mohon buatkan script konten yang **sangat powerful, menarik, inovatif, dan siap pakai** dengan judul ide '", B500, "'.", CHAR(10),
"Konten ini memiliki pilar '", C500, "', nilai tambah utama '", F500, "', dan akan menggunakan storytelling framework '", G500, "'.", CHAR(10),
"Gambaran singkat ide kontennya adalah: '", J500, "'.", CHAR(10),
"Konten ini akan diunggah di platform '", E500, "' dengan format '", D500,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MAPPING'!C405, "'.** Sesuaikan dengan gaya komunikasi saya, dengan fokus pada nilai tambah '", F500,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MAPPING'!D418, ", khusus ", 'CONTENT PILLAR MAPPING'!D419, ") dan membantu mereka menyelesaikan masalah atau mencapai tujuan mereka.", CHAR(10),
"✔ Membantuku membangun personal branding yang kuat dan sustainable, sesuai dengan Positioning saya sebagai '", 'CONTENT PILLAR MAPPING'!C405, "' dan Brand Archetype '", 'CONTENT PILLAR MAPPING'!D410, "'.", CHAR(10),
"✔ Kemas dalam bentuk tabel agar rapi, mudah di baca dan dipahami, dengan kolom 'Judul Konten', 'Pilar', 'Format', 'Draft Script', 'CTA', 'Saran Visual', dan 'Full Caption'. (Kosongkan kolom Link Prompt jika ada)."
),
"")</f>
        <v/>
      </c>
      <c r="L500" s="199" t="n"/>
      <c r="M500" s="199" t="n"/>
      <c r="N500" s="102" t="n"/>
      <c r="O500" s="102" t="n"/>
      <c r="P500" s="102" t="n"/>
      <c r="Q500" s="102" t="n"/>
      <c r="R500" s="102" t="n"/>
      <c r="S500" s="102" t="n"/>
      <c r="T500" s="102" t="n"/>
      <c r="U500" s="102" t="n"/>
      <c r="V500" s="102" t="n"/>
      <c r="W500" s="102" t="n"/>
      <c r="X500" s="102" t="n"/>
      <c r="Y500" s="102" t="n"/>
      <c r="Z500" s="102" t="n"/>
      <c r="AA500" s="102" t="n"/>
      <c r="AB500" s="102" t="n"/>
      <c r="AC500" s="102" t="n"/>
      <c r="AD500" s="102" t="n"/>
    </row>
    <row r="501" ht="15.75" customHeight="1" s="205">
      <c r="A501" s="102" t="n"/>
      <c r="B501" s="142" t="n"/>
      <c r="C501" s="143" t="n"/>
      <c r="D501" s="143" t="n"/>
      <c r="E501" s="143" t="n"/>
      <c r="F501" s="143" t="n"/>
      <c r="G501" s="144" t="n"/>
      <c r="H501" s="145">
        <f>IF(K501&lt;&gt;"", HYPERLINK("https://chatgpt.com/?prompt=" &amp; SUBSTITUTE(SUBSTITUTE(K501, " ", "+"), "&amp;", "dan") &amp; "&amp;force-refresh=true&amp;timestamp=" &amp; TEXT(NOW(), "yyyymmddhhmmss"), "👉 Klik untuk Generate Script! 🔥"), "")</f>
        <v/>
      </c>
      <c r="I501" s="143" t="n"/>
      <c r="J501" s="146" t="n"/>
      <c r="K501" s="130">
        <f>IF(AND(B501&lt;&gt;"", C501&lt;&gt;"", D501&lt;&gt;"", E501&lt;&gt;"", F501&lt;&gt;"", G501&lt;&gt;"", J501&lt;&gt;"", 'CONTENT PILLAR MAPPING'!C404&lt;&gt;"", 'CONTENT PILLAR MAPPING'!E404&lt;&gt;"", 'CONTENT PILLAR MAPPING'!F404&lt;&gt;"", 'CONTENT PILLAR MAPPING'!C407&lt;&gt;"", 'CONTENT PILLAR MAPPING'!C412&lt;&gt;"", 'CONTENT PILLAR MAPPING'!D412&lt;&gt;"", 'CONTENT PILLAR MAPPING'!E412&lt;&gt;"", 'CONTENT PILLAR MAPPING'!D420&lt;&gt;"", 'CONTENT PILLAR MAPPING'!D421&lt;&gt;""),
CONCATENATE(
"Sebagai seorang top konten kreator dengan niche utama '", 'CONTENT PILLAR MAPPING'!C404, "', spesifik kategori '", 'CONTENT PILLAR MAPPING'!E404, "', dan super spesifik '", 'CONTENT PILLAR MAPPING'!F404, "', yang dikenal sebagai '", 'CONTENT PILLAR MAPPING'!C407, "'.", CHAR(10),
"Saya memiliki Tone of Voice: '", 'CONTENT PILLAR MAPPING'!C412, "', Brand Archetype: '", 'CONTENT PILLAR MAPPING'!D412, "', dan Deskripsi Gaya Komunikasi: '", 'CONTENT PILLAR MAPPING'!E412, "'.", CHAR(10),
"Target audiens saya adalah: '", 'CONTENT PILLAR MAPPING'!D420, "', dengan segmentasi audiens: '", 'CONTENT PILLAR MAPPING'!D421, "'.", CHAR(10), CHAR(10),
"Mohon buatkan script konten yang **sangat powerful, menarik, inovatif, dan siap pakai** dengan judul ide '", B501, "'.", CHAR(10),
"Konten ini memiliki pilar '", C501, "', nilai tambah utama '", F501, "', dan akan menggunakan storytelling framework '", G501, "'.", CHAR(10),
"Gambaran singkat ide kontennya adalah: '", J501, "'.", CHAR(10),
"Konten ini akan diunggah di platform '", E501, "' dengan format '", D501,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MAPPING'!C407, "'.** Sesuaikan dengan gaya komunikasi saya, dengan fokus pada nilai tambah '", F501,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MAPPING'!D420, ", khusus ", 'CONTENT PILLAR MAPPING'!D421, ") dan membantu mereka menyelesaikan masalah atau mencapai tujuan mereka.", CHAR(10),
"✔ Membantuku membangun personal branding yang kuat dan sustainable, sesuai dengan Positioning saya sebagai '", 'CONTENT PILLAR MAPPING'!C407, "' dan Brand Archetype '", 'CONTENT PILLAR MAPPING'!D412, "'.", CHAR(10),
"✔ Kemas dalam bentuk tabel agar rapi, mudah di baca dan dipahami, dengan kolom 'Judul Konten', 'Pilar', 'Format', 'Draft Script', 'CTA', 'Saran Visual', dan 'Full Caption'. (Kosongkan kolom Link Prompt jika ada)."
),
"")</f>
        <v/>
      </c>
      <c r="L501" s="91" t="n"/>
      <c r="M501" s="91" t="n"/>
      <c r="N501" s="102" t="n"/>
      <c r="O501" s="102" t="n"/>
      <c r="P501" s="102" t="n"/>
      <c r="Q501" s="102" t="n"/>
      <c r="R501" s="102" t="n"/>
      <c r="S501" s="102" t="n"/>
      <c r="T501" s="102" t="n"/>
      <c r="U501" s="102" t="n"/>
      <c r="V501" s="102" t="n"/>
      <c r="W501" s="102" t="n"/>
      <c r="X501" s="102" t="n"/>
      <c r="Y501" s="102" t="n"/>
      <c r="Z501" s="102" t="n"/>
      <c r="AA501" s="102" t="n"/>
      <c r="AB501" s="102" t="n"/>
      <c r="AC501" s="102" t="n"/>
      <c r="AD501" s="102" t="n"/>
    </row>
    <row r="502" ht="15.75" customHeight="1" s="205">
      <c r="A502" s="102" t="n"/>
      <c r="B502" s="147" t="n"/>
      <c r="C502" s="144" t="n"/>
      <c r="D502" s="144" t="n"/>
      <c r="E502" s="144" t="n"/>
      <c r="F502" s="144" t="n"/>
      <c r="G502" s="144" t="n"/>
      <c r="H502" s="141">
        <f>IF(K502&lt;&gt;"", HYPERLINK("https://chatgpt.com/?prompt=" &amp; SUBSTITUTE(SUBSTITUTE(K502, " ", "+"), "&amp;", "dan") &amp; "&amp;force-refresh=true&amp;timestamp=" &amp; TEXT(NOW(), "yyyymmddhhmmss"), "👉 Klik untuk Generate Script! 🔥"), "")</f>
        <v/>
      </c>
      <c r="I502" s="144" t="n"/>
      <c r="J502" s="148" t="n"/>
      <c r="K502" s="140">
        <f>IF(AND(B502&lt;&gt;"", C502&lt;&gt;"", D502&lt;&gt;"", E502&lt;&gt;"", F502&lt;&gt;"", G502&lt;&gt;"", J502&lt;&gt;"", 'CONTENT PILLAR MAPPING'!C404&lt;&gt;"", 'CONTENT PILLAR MAPPING'!E404&lt;&gt;"", 'CONTENT PILLAR MAPPING'!F404&lt;&gt;"", 'CONTENT PILLAR MAPPING'!C407&lt;&gt;"", 'CONTENT PILLAR MAPPING'!C412&lt;&gt;"", 'CONTENT PILLAR MAPPING'!D412&lt;&gt;"", 'CONTENT PILLAR MAPPING'!E412&lt;&gt;"", 'CONTENT PILLAR MAPPING'!D420&lt;&gt;"", 'CONTENT PILLAR MAPPING'!D421&lt;&gt;""),
CONCATENATE(
"Sebagai seorang top konten kreator dengan niche utama '", 'CONTENT PILLAR MAPPING'!C404, "', spesifik kategori '", 'CONTENT PILLAR MAPPING'!E404, "', dan super spesifik '", 'CONTENT PILLAR MAPPING'!F404, "', yang dikenal sebagai '", 'CONTENT PILLAR MAPPING'!C407, "'.", CHAR(10),
"Saya memiliki Tone of Voice: '", 'CONTENT PILLAR MAPPING'!C412, "', Brand Archetype: '", 'CONTENT PILLAR MAPPING'!D412, "', dan Deskripsi Gaya Komunikasi: '", 'CONTENT PILLAR MAPPING'!E412, "'.", CHAR(10),
"Target audiens saya adalah: '", 'CONTENT PILLAR MAPPING'!D420, "', dengan segmentasi audiens: '", 'CONTENT PILLAR MAPPING'!D421, "'.", CHAR(10), CHAR(10),
"Mohon buatkan script konten yang **sangat powerful, menarik, inovatif, dan siap pakai** dengan judul ide '", B502, "'.", CHAR(10),
"Konten ini memiliki pilar '", C502, "', nilai tambah utama '", F502, "', dan akan menggunakan storytelling framework '", G502, "'.", CHAR(10),
"Gambaran singkat ide kontennya adalah: '", J502, "'.", CHAR(10),
"Konten ini akan diunggah di platform '", E502, "' dengan format '", D502,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MAPPING'!C407, "'.** Sesuaikan dengan gaya komunikasi saya, dengan fokus pada nilai tambah '", F502,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MAPPING'!D420, ", khusus ", 'CONTENT PILLAR MAPPING'!D421, ") dan membantu mereka menyelesaikan masalah atau mencapai tujuan mereka.", CHAR(10),
"✔ Membantuku membangun personal branding yang kuat dan sustainable, sesuai dengan Positioning saya sebagai '", 'CONTENT PILLAR MAPPING'!C407, "' dan Brand Archetype '", 'CONTENT PILLAR MAPPING'!D412, "'.", CHAR(10),
"✔ Kemas dalam bentuk tabel agar rapi, mudah di baca dan dipahami, dengan kolom 'Judul Konten', 'Pilar', 'Format', 'Draft Script', 'CTA', 'Saran Visual', dan 'Full Caption'. (Kosongkan kolom Link Prompt jika ada)."
),
"")</f>
        <v/>
      </c>
      <c r="L502" s="199" t="n"/>
      <c r="M502" s="199" t="n"/>
      <c r="N502" s="102" t="n"/>
      <c r="O502" s="102" t="n"/>
      <c r="P502" s="102" t="n"/>
      <c r="Q502" s="102" t="n"/>
      <c r="R502" s="102" t="n"/>
      <c r="S502" s="102" t="n"/>
      <c r="T502" s="102" t="n"/>
      <c r="U502" s="102" t="n"/>
      <c r="V502" s="102" t="n"/>
      <c r="W502" s="102" t="n"/>
      <c r="X502" s="102" t="n"/>
      <c r="Y502" s="102" t="n"/>
      <c r="Z502" s="102" t="n"/>
      <c r="AA502" s="102" t="n"/>
      <c r="AB502" s="102" t="n"/>
      <c r="AC502" s="102" t="n"/>
      <c r="AD502" s="102" t="n"/>
    </row>
    <row r="503" ht="15.75" customHeight="1" s="205">
      <c r="A503" s="102" t="n"/>
      <c r="B503" s="142" t="n"/>
      <c r="C503" s="143" t="n"/>
      <c r="D503" s="143" t="n"/>
      <c r="E503" s="143" t="n"/>
      <c r="F503" s="143" t="n"/>
      <c r="G503" s="144" t="n"/>
      <c r="H503" s="145">
        <f>IF(K503&lt;&gt;"", HYPERLINK("https://chatgpt.com/?prompt=" &amp; SUBSTITUTE(SUBSTITUTE(K503, " ", "+"), "&amp;", "dan") &amp; "&amp;force-refresh=true&amp;timestamp=" &amp; TEXT(NOW(), "yyyymmddhhmmss"), "👉 Klik untuk Generate Script! 🔥"), "")</f>
        <v/>
      </c>
      <c r="I503" s="143" t="n"/>
      <c r="J503" s="146" t="n"/>
      <c r="K503" s="130">
        <f>IF(AND(B503&lt;&gt;"", C503&lt;&gt;"", D503&lt;&gt;"", E503&lt;&gt;"", F503&lt;&gt;"", G503&lt;&gt;"", J503&lt;&gt;"", 'CONTENT PILLAR MAPPING'!C406&lt;&gt;"", 'CONTENT PILLAR MAPPING'!E406&lt;&gt;"", 'CONTENT PILLAR MAPPING'!F406&lt;&gt;"", 'CONTENT PILLAR MAPPING'!C409&lt;&gt;"", 'CONTENT PILLAR MAPPING'!C414&lt;&gt;"", 'CONTENT PILLAR MAPPING'!D414&lt;&gt;"", 'CONTENT PILLAR MAPPING'!E414&lt;&gt;"", 'CONTENT PILLAR MAPPING'!D422&lt;&gt;"", 'CONTENT PILLAR MAPPING'!D423&lt;&gt;""),
CONCATENATE(
"Sebagai seorang top konten kreator dengan niche utama '", 'CONTENT PILLAR MAPPING'!C406, "', spesifik kategori '", 'CONTENT PILLAR MAPPING'!E406, "', dan super spesifik '", 'CONTENT PILLAR MAPPING'!F406, "', yang dikenal sebagai '", 'CONTENT PILLAR MAPPING'!C409, "'.", CHAR(10),
"Saya memiliki Tone of Voice: '", 'CONTENT PILLAR MAPPING'!C414, "', Brand Archetype: '", 'CONTENT PILLAR MAPPING'!D414, "', dan Deskripsi Gaya Komunikasi: '", 'CONTENT PILLAR MAPPING'!E414, "'.", CHAR(10),
"Target audiens saya adalah: '", 'CONTENT PILLAR MAPPING'!D422, "', dengan segmentasi audiens: '", 'CONTENT PILLAR MAPPING'!D423, "'.", CHAR(10), CHAR(10),
"Mohon buatkan script konten yang **sangat powerful, menarik, inovatif, dan siap pakai** dengan judul ide '", B503, "'.", CHAR(10),
"Konten ini memiliki pilar '", C503, "', nilai tambah utama '", F503, "', dan akan menggunakan storytelling framework '", G503, "'.", CHAR(10),
"Gambaran singkat ide kontennya adalah: '", J503, "'.", CHAR(10),
"Konten ini akan diunggah di platform '", E503, "' dengan format '", D503,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MAPPING'!C409, "'.** Sesuaikan dengan gaya komunikasi saya, dengan fokus pada nilai tambah '", F503,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MAPPING'!D422, ", khusus ", 'CONTENT PILLAR MAPPING'!D423, ") dan membantu mereka menyelesaikan masalah atau mencapai tujuan mereka.", CHAR(10),
"✔ Membantuku membangun personal branding yang kuat dan sustainable, sesuai dengan Positioning saya sebagai '", 'CONTENT PILLAR MAPPING'!C409, "' dan Brand Archetype '", 'CONTENT PILLAR MAPPING'!D414, "'.", CHAR(10),
"✔ Kemas dalam bentuk tabel agar rapi, mudah di baca dan dipahami, dengan kolom 'Judul Konten', 'Pilar', 'Format', 'Draft Script', 'CTA', 'Saran Visual', dan 'Full Caption'. (Kosongkan kolom Link Prompt jika ada)."
),
"")</f>
        <v/>
      </c>
      <c r="L503" s="91" t="n"/>
      <c r="M503" s="91" t="n"/>
      <c r="N503" s="102" t="n"/>
      <c r="O503" s="102" t="n"/>
      <c r="P503" s="102" t="n"/>
      <c r="Q503" s="102" t="n"/>
      <c r="R503" s="102" t="n"/>
      <c r="S503" s="102" t="n"/>
      <c r="T503" s="102" t="n"/>
      <c r="U503" s="102" t="n"/>
      <c r="V503" s="102" t="n"/>
      <c r="W503" s="102" t="n"/>
      <c r="X503" s="102" t="n"/>
      <c r="Y503" s="102" t="n"/>
      <c r="Z503" s="102" t="n"/>
      <c r="AA503" s="102" t="n"/>
      <c r="AB503" s="102" t="n"/>
      <c r="AC503" s="102" t="n"/>
      <c r="AD503" s="102" t="n"/>
    </row>
    <row r="504" ht="15.75" customHeight="1" s="205">
      <c r="A504" s="102" t="n"/>
      <c r="B504" s="147" t="n"/>
      <c r="C504" s="144" t="n"/>
      <c r="D504" s="144" t="n"/>
      <c r="E504" s="144" t="n"/>
      <c r="F504" s="144" t="n"/>
      <c r="G504" s="144" t="n"/>
      <c r="H504" s="141">
        <f>IF(K504&lt;&gt;"", HYPERLINK("https://chatgpt.com/?prompt=" &amp; SUBSTITUTE(SUBSTITUTE(K504, " ", "+"), "&amp;", "dan") &amp; "&amp;force-refresh=true&amp;timestamp=" &amp; TEXT(NOW(), "yyyymmddhhmmss"), "👉 Klik untuk Generate Script! 🔥"), "")</f>
        <v/>
      </c>
      <c r="I504" s="144" t="n"/>
      <c r="J504" s="148" t="n"/>
      <c r="K504" s="140">
        <f>IF(AND(B504&lt;&gt;"", C504&lt;&gt;"", D504&lt;&gt;"", E504&lt;&gt;"", F504&lt;&gt;"", G504&lt;&gt;"", J504&lt;&gt;"", 'CONTENT PILLAR MAPPING'!C406&lt;&gt;"", 'CONTENT PILLAR MAPPING'!E406&lt;&gt;"", 'CONTENT PILLAR MAPPING'!F406&lt;&gt;"", 'CONTENT PILLAR MAPPING'!C409&lt;&gt;"", 'CONTENT PILLAR MAPPING'!C414&lt;&gt;"", 'CONTENT PILLAR MAPPING'!D414&lt;&gt;"", 'CONTENT PILLAR MAPPING'!E414&lt;&gt;"", 'CONTENT PILLAR MAPPING'!D422&lt;&gt;"", 'CONTENT PILLAR MAPPING'!D423&lt;&gt;""),
CONCATENATE(
"Sebagai seorang top konten kreator dengan niche utama '", 'CONTENT PILLAR MAPPING'!C406, "', spesifik kategori '", 'CONTENT PILLAR MAPPING'!E406, "', dan super spesifik '", 'CONTENT PILLAR MAPPING'!F406, "', yang dikenal sebagai '", 'CONTENT PILLAR MAPPING'!C409, "'.", CHAR(10),
"Saya memiliki Tone of Voice: '", 'CONTENT PILLAR MAPPING'!C414, "', Brand Archetype: '", 'CONTENT PILLAR MAPPING'!D414, "', dan Deskripsi Gaya Komunikasi: '", 'CONTENT PILLAR MAPPING'!E414, "'.", CHAR(10),
"Target audiens saya adalah: '", 'CONTENT PILLAR MAPPING'!D422, "', dengan segmentasi audiens: '", 'CONTENT PILLAR MAPPING'!D423, "'.", CHAR(10), CHAR(10),
"Mohon buatkan script konten yang **sangat powerful, menarik, inovatif, dan siap pakai** dengan judul ide '", B504, "'.", CHAR(10),
"Konten ini memiliki pilar '", C504, "', nilai tambah utama '", F504, "', dan akan menggunakan storytelling framework '", G504, "'.", CHAR(10),
"Gambaran singkat ide kontennya adalah: '", J504, "'.", CHAR(10),
"Konten ini akan diunggah di platform '", E504, "' dengan format '", D504,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MAPPING'!C409, "'.** Sesuaikan dengan gaya komunikasi saya, dengan fokus pada nilai tambah '", F504,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MAPPING'!D422, ", khusus ", 'CONTENT PILLAR MAPPING'!D423, ") dan membantu mereka menyelesaikan masalah atau mencapai tujuan mereka.", CHAR(10),
"✔ Membantuku membangun personal branding yang kuat dan sustainable, sesuai dengan Positioning saya sebagai '", 'CONTENT PILLAR MAPPING'!C409, "' dan Brand Archetype '", 'CONTENT PILLAR MAPPING'!D414, "'.", CHAR(10),
"✔ Kemas dalam bentuk tabel agar rapi, mudah di baca dan dipahami, dengan kolom 'Judul Konten', 'Pilar', 'Format', 'Draft Script', 'CTA', 'Saran Visual', dan 'Full Caption'. (Kosongkan kolom Link Prompt jika ada)."
),
"")</f>
        <v/>
      </c>
      <c r="L504" s="199" t="n"/>
      <c r="M504" s="199" t="n"/>
      <c r="N504" s="102" t="n"/>
      <c r="O504" s="102" t="n"/>
      <c r="P504" s="102" t="n"/>
      <c r="Q504" s="102" t="n"/>
      <c r="R504" s="102" t="n"/>
      <c r="S504" s="102" t="n"/>
      <c r="T504" s="102" t="n"/>
      <c r="U504" s="102" t="n"/>
      <c r="V504" s="102" t="n"/>
      <c r="W504" s="102" t="n"/>
      <c r="X504" s="102" t="n"/>
      <c r="Y504" s="102" t="n"/>
      <c r="Z504" s="102" t="n"/>
      <c r="AA504" s="102" t="n"/>
      <c r="AB504" s="102" t="n"/>
      <c r="AC504" s="102" t="n"/>
      <c r="AD504" s="102" t="n"/>
    </row>
    <row r="505" ht="15.75" customHeight="1" s="205">
      <c r="A505" s="102" t="n"/>
      <c r="B505" s="142" t="n"/>
      <c r="C505" s="143" t="n"/>
      <c r="D505" s="143" t="n"/>
      <c r="E505" s="143" t="n"/>
      <c r="F505" s="143" t="n"/>
      <c r="G505" s="144" t="n"/>
      <c r="H505" s="145">
        <f>IF(K505&lt;&gt;"", HYPERLINK("https://chatgpt.com/?prompt=" &amp; SUBSTITUTE(SUBSTITUTE(K505, " ", "+"), "&amp;", "dan") &amp; "&amp;force-refresh=true&amp;timestamp=" &amp; TEXT(NOW(), "yyyymmddhhmmss"), "👉 Klik untuk Generate Script! 🔥"), "")</f>
        <v/>
      </c>
      <c r="I505" s="143" t="n"/>
      <c r="J505" s="146" t="n"/>
      <c r="K505" s="130">
        <f>IF(AND(B505&lt;&gt;"", C505&lt;&gt;"", D505&lt;&gt;"", E505&lt;&gt;"", F505&lt;&gt;"", G505&lt;&gt;"", J505&lt;&gt;"", 'CONTENT PILLAR MAPPING'!C408&lt;&gt;"", 'CONTENT PILLAR MAPPING'!E408&lt;&gt;"", 'CONTENT PILLAR MAPPING'!F408&lt;&gt;"", 'CONTENT PILLAR MAPPING'!C411&lt;&gt;"", 'CONTENT PILLAR MAPPING'!C416&lt;&gt;"", 'CONTENT PILLAR MAPPING'!D416&lt;&gt;"", 'CONTENT PILLAR MAPPING'!E416&lt;&gt;"", 'CONTENT PILLAR MAPPING'!D424&lt;&gt;"", 'CONTENT PILLAR MAPPING'!D425&lt;&gt;""),
CONCATENATE(
"Sebagai seorang top konten kreator dengan niche utama '", 'CONTENT PILLAR MAPPING'!C408, "', spesifik kategori '", 'CONTENT PILLAR MAPPING'!E408, "', dan super spesifik '", 'CONTENT PILLAR MAPPING'!F408, "', yang dikenal sebagai '", 'CONTENT PILLAR MAPPING'!C411, "'.", CHAR(10),
"Saya memiliki Tone of Voice: '", 'CONTENT PILLAR MAPPING'!C416, "', Brand Archetype: '", 'CONTENT PILLAR MAPPING'!D416, "', dan Deskripsi Gaya Komunikasi: '", 'CONTENT PILLAR MAPPING'!E416, "'.", CHAR(10),
"Target audiens saya adalah: '", 'CONTENT PILLAR MAPPING'!D424, "', dengan segmentasi audiens: '", 'CONTENT PILLAR MAPPING'!D425, "'.", CHAR(10), CHAR(10),
"Mohon buatkan script konten yang **sangat powerful, menarik, inovatif, dan siap pakai** dengan judul ide '", B505, "'.", CHAR(10),
"Konten ini memiliki pilar '", C505, "', nilai tambah utama '", F505, "', dan akan menggunakan storytelling framework '", G505, "'.", CHAR(10),
"Gambaran singkat ide kontennya adalah: '", J505, "'.", CHAR(10),
"Konten ini akan diunggah di platform '", E505, "' dengan format '", D505,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MAPPING'!C411, "'.** Sesuaikan dengan gaya komunikasi saya, dengan fokus pada nilai tambah '", F505,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MAPPING'!D424, ", khusus ", 'CONTENT PILLAR MAPPING'!D425, ") dan membantu mereka menyelesaikan masalah atau mencapai tujuan mereka.", CHAR(10),
"✔ Membantuku membangun personal branding yang kuat dan sustainable, sesuai dengan Positioning saya sebagai '", 'CONTENT PILLAR MAPPING'!C411, "' dan Brand Archetype '", 'CONTENT PILLAR MAPPING'!D416, "'.", CHAR(10),
"✔ Kemas dalam bentuk tabel agar rapi, mudah di baca dan dipahami, dengan kolom 'Judul Konten', 'Pilar', 'Format', 'Draft Script', 'CTA', 'Saran Visual', dan 'Full Caption'. (Kosongkan kolom Link Prompt jika ada)."
),
"")</f>
        <v/>
      </c>
      <c r="L505" s="91" t="n"/>
      <c r="M505" s="91" t="n"/>
      <c r="N505" s="102" t="n"/>
      <c r="O505" s="102" t="n"/>
      <c r="P505" s="102" t="n"/>
      <c r="Q505" s="102" t="n"/>
      <c r="R505" s="102" t="n"/>
      <c r="S505" s="102" t="n"/>
      <c r="T505" s="102" t="n"/>
      <c r="U505" s="102" t="n"/>
      <c r="V505" s="102" t="n"/>
      <c r="W505" s="102" t="n"/>
      <c r="X505" s="102" t="n"/>
      <c r="Y505" s="102" t="n"/>
      <c r="Z505" s="102" t="n"/>
      <c r="AA505" s="102" t="n"/>
      <c r="AB505" s="102" t="n"/>
      <c r="AC505" s="102" t="n"/>
      <c r="AD505" s="102" t="n"/>
    </row>
    <row r="506" ht="15.75" customHeight="1" s="205">
      <c r="A506" s="102" t="n"/>
      <c r="B506" s="147" t="n"/>
      <c r="C506" s="144" t="n"/>
      <c r="D506" s="144" t="n"/>
      <c r="E506" s="144" t="n"/>
      <c r="F506" s="144" t="n"/>
      <c r="G506" s="144" t="n"/>
      <c r="H506" s="141">
        <f>IF(K506&lt;&gt;"", HYPERLINK("https://chatgpt.com/?prompt=" &amp; SUBSTITUTE(SUBSTITUTE(K506, " ", "+"), "&amp;", "dan") &amp; "&amp;force-refresh=true&amp;timestamp=" &amp; TEXT(NOW(), "yyyymmddhhmmss"), "👉 Klik untuk Generate Script! 🔥"), "")</f>
        <v/>
      </c>
      <c r="I506" s="144" t="n"/>
      <c r="J506" s="148" t="n"/>
      <c r="K506" s="140">
        <f>IF(AND(B506&lt;&gt;"", C506&lt;&gt;"", D506&lt;&gt;"", E506&lt;&gt;"", F506&lt;&gt;"", G506&lt;&gt;"", J506&lt;&gt;"", 'CONTENT PILLAR MAPPING'!C408&lt;&gt;"", 'CONTENT PILLAR MAPPING'!E408&lt;&gt;"", 'CONTENT PILLAR MAPPING'!F408&lt;&gt;"", 'CONTENT PILLAR MAPPING'!C411&lt;&gt;"", 'CONTENT PILLAR MAPPING'!C416&lt;&gt;"", 'CONTENT PILLAR MAPPING'!D416&lt;&gt;"", 'CONTENT PILLAR MAPPING'!E416&lt;&gt;"", 'CONTENT PILLAR MAPPING'!D424&lt;&gt;"", 'CONTENT PILLAR MAPPING'!D425&lt;&gt;""),
CONCATENATE(
"Sebagai seorang top konten kreator dengan niche utama '", 'CONTENT PILLAR MAPPING'!C408, "', spesifik kategori '", 'CONTENT PILLAR MAPPING'!E408, "', dan super spesifik '", 'CONTENT PILLAR MAPPING'!F408, "', yang dikenal sebagai '", 'CONTENT PILLAR MAPPING'!C411, "'.", CHAR(10),
"Saya memiliki Tone of Voice: '", 'CONTENT PILLAR MAPPING'!C416, "', Brand Archetype: '", 'CONTENT PILLAR MAPPING'!D416, "', dan Deskripsi Gaya Komunikasi: '", 'CONTENT PILLAR MAPPING'!E416, "'.", CHAR(10),
"Target audiens saya adalah: '", 'CONTENT PILLAR MAPPING'!D424, "', dengan segmentasi audiens: '", 'CONTENT PILLAR MAPPING'!D425, "'.", CHAR(10), CHAR(10),
"Mohon buatkan script konten yang **sangat powerful, menarik, inovatif, dan siap pakai** dengan judul ide '", B506, "'.", CHAR(10),
"Konten ini memiliki pilar '", C506, "', nilai tambah utama '", F506, "', dan akan menggunakan storytelling framework '", G506, "'.", CHAR(10),
"Gambaran singkat ide kontennya adalah: '", J506, "'.", CHAR(10),
"Konten ini akan diunggah di platform '", E506, "' dengan format '", D506,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MAPPING'!C411, "'.** Sesuaikan dengan gaya komunikasi saya, dengan fokus pada nilai tambah '", F506,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MAPPING'!D424, ", khusus ", 'CONTENT PILLAR MAPPING'!D425, ") dan membantu mereka menyelesaikan masalah atau mencapai tujuan mereka.", CHAR(10),
"✔ Membantuku membangun personal branding yang kuat dan sustainable, sesuai dengan Positioning saya sebagai '", 'CONTENT PILLAR MAPPING'!C411, "' dan Brand Archetype '", 'CONTENT PILLAR MAPPING'!D416, "'.", CHAR(10),
"✔ Kemas dalam bentuk tabel agar rapi, mudah di baca dan dipahami, dengan kolom 'Judul Konten', 'Pilar', 'Format', 'Draft Script', 'CTA', 'Saran Visual', dan 'Full Caption'. (Kosongkan kolom Link Prompt jika ada)."
),
"")</f>
        <v/>
      </c>
      <c r="L506" s="199" t="n"/>
      <c r="M506" s="199" t="n"/>
      <c r="N506" s="102" t="n"/>
      <c r="O506" s="102" t="n"/>
      <c r="P506" s="102" t="n"/>
      <c r="Q506" s="102" t="n"/>
      <c r="R506" s="102" t="n"/>
      <c r="S506" s="102" t="n"/>
      <c r="T506" s="102" t="n"/>
      <c r="U506" s="102" t="n"/>
      <c r="V506" s="102" t="n"/>
      <c r="W506" s="102" t="n"/>
      <c r="X506" s="102" t="n"/>
      <c r="Y506" s="102" t="n"/>
      <c r="Z506" s="102" t="n"/>
      <c r="AA506" s="102" t="n"/>
      <c r="AB506" s="102" t="n"/>
      <c r="AC506" s="102" t="n"/>
      <c r="AD506" s="102" t="n"/>
    </row>
    <row r="507" ht="15.75" customHeight="1" s="205">
      <c r="A507" s="102" t="n"/>
      <c r="B507" s="142" t="n"/>
      <c r="C507" s="143" t="n"/>
      <c r="D507" s="143" t="n"/>
      <c r="E507" s="143" t="n"/>
      <c r="F507" s="143" t="n"/>
      <c r="G507" s="144" t="n"/>
      <c r="H507" s="145">
        <f>IF(K507&lt;&gt;"", HYPERLINK("https://chatgpt.com/?prompt=" &amp; SUBSTITUTE(SUBSTITUTE(K507, " ", "+"), "&amp;", "dan") &amp; "&amp;force-refresh=true&amp;timestamp=" &amp; TEXT(NOW(), "yyyymmddhhmmss"), "👉 Klik untuk Generate Script! 🔥"), "")</f>
        <v/>
      </c>
      <c r="I507" s="143" t="n"/>
      <c r="J507" s="146" t="n"/>
      <c r="K507" s="130">
        <f>IF(AND(B507&lt;&gt;"", C507&lt;&gt;"", D507&lt;&gt;"", E507&lt;&gt;"", F507&lt;&gt;"", G507&lt;&gt;"", J507&lt;&gt;"", 'CONTENT PILLAR MAPPING'!C410&lt;&gt;"", 'CONTENT PILLAR MAPPING'!E410&lt;&gt;"", 'CONTENT PILLAR MAPPING'!F410&lt;&gt;"", 'CONTENT PILLAR MAPPING'!C413&lt;&gt;"", 'CONTENT PILLAR MAPPING'!C418&lt;&gt;"", 'CONTENT PILLAR MAPPING'!D418&lt;&gt;"", 'CONTENT PILLAR MAPPING'!E418&lt;&gt;"", 'CONTENT PILLAR MAPPING'!D426&lt;&gt;"", 'CONTENT PILLAR MAPPING'!D427&lt;&gt;""),
CONCATENATE(
"Sebagai seorang top konten kreator dengan niche utama '", 'CONTENT PILLAR MAPPING'!C410, "', spesifik kategori '", 'CONTENT PILLAR MAPPING'!E410, "', dan super spesifik '", 'CONTENT PILLAR MAPPING'!F410, "', yang dikenal sebagai '", 'CONTENT PILLAR MAPPING'!C413, "'.", CHAR(10),
"Saya memiliki Tone of Voice: '", 'CONTENT PILLAR MAPPING'!C418, "', Brand Archetype: '", 'CONTENT PILLAR MAPPING'!D418, "', dan Deskripsi Gaya Komunikasi: '", 'CONTENT PILLAR MAPPING'!E418, "'.", CHAR(10),
"Target audiens saya adalah: '", 'CONTENT PILLAR MAPPING'!D426, "', dengan segmentasi audiens: '", 'CONTENT PILLAR MAPPING'!D427, "'.", CHAR(10), CHAR(10),
"Mohon buatkan script konten yang **sangat powerful, menarik, inovatif, dan siap pakai** dengan judul ide '", B507, "'.", CHAR(10),
"Konten ini memiliki pilar '", C507, "', nilai tambah utama '", F507, "', dan akan menggunakan storytelling framework '", G507, "'.", CHAR(10),
"Gambaran singkat ide kontennya adalah: '", J507, "'.", CHAR(10),
"Konten ini akan diunggah di platform '", E507, "' dengan format '", D507,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MAPPING'!C413, "'.** Sesuaikan dengan gaya komunikasi saya, dengan fokus pada nilai tambah '", F507,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MAPPING'!D426, ", khusus ", 'CONTENT PILLAR MAPPING'!D427, ") dan membantu mereka menyelesaikan masalah atau mencapai tujuan mereka.", CHAR(10),
"✔ Membantuku membangun personal branding yang kuat dan sustainable, sesuai dengan Positioning saya sebagai '", 'CONTENT PILLAR MAPPING'!C413, "' dan Brand Archetype '", 'CONTENT PILLAR MAPPING'!D418, "'.", CHAR(10),
"✔ Kemas dalam bentuk tabel agar rapi, mudah di baca dan dipahami, dengan kolom 'Judul Konten', 'Pilar', 'Format', 'Draft Script', 'CTA', 'Saran Visual', dan 'Full Caption'. (Kosongkan kolom Link Prompt jika ada)."
),
"")</f>
        <v/>
      </c>
      <c r="L507" s="91" t="n"/>
      <c r="M507" s="91" t="n"/>
      <c r="N507" s="102" t="n"/>
      <c r="O507" s="102" t="n"/>
      <c r="P507" s="102" t="n"/>
      <c r="Q507" s="102" t="n"/>
      <c r="R507" s="102" t="n"/>
      <c r="S507" s="102" t="n"/>
      <c r="T507" s="102" t="n"/>
      <c r="U507" s="102" t="n"/>
      <c r="V507" s="102" t="n"/>
      <c r="W507" s="102" t="n"/>
      <c r="X507" s="102" t="n"/>
      <c r="Y507" s="102" t="n"/>
      <c r="Z507" s="102" t="n"/>
      <c r="AA507" s="102" t="n"/>
      <c r="AB507" s="102" t="n"/>
      <c r="AC507" s="102" t="n"/>
      <c r="AD507" s="102" t="n"/>
    </row>
    <row r="508" ht="15.75" customHeight="1" s="205">
      <c r="A508" s="102" t="n"/>
      <c r="B508" s="147" t="n"/>
      <c r="C508" s="144" t="n"/>
      <c r="D508" s="144" t="n"/>
      <c r="E508" s="144" t="n"/>
      <c r="F508" s="144" t="n"/>
      <c r="G508" s="144" t="n"/>
      <c r="H508" s="141">
        <f>IF(K508&lt;&gt;"", HYPERLINK("https://chatgpt.com/?prompt=" &amp; SUBSTITUTE(SUBSTITUTE(K508, " ", "+"), "&amp;", "dan") &amp; "&amp;force-refresh=true&amp;timestamp=" &amp; TEXT(NOW(), "yyyymmddhhmmss"), "👉 Klik untuk Generate Script! 🔥"), "")</f>
        <v/>
      </c>
      <c r="I508" s="144" t="n"/>
      <c r="J508" s="148" t="n"/>
      <c r="K508" s="140">
        <f>IF(AND(B508&lt;&gt;"", C508&lt;&gt;"", D508&lt;&gt;"", E508&lt;&gt;"", F508&lt;&gt;"", G508&lt;&gt;"", J508&lt;&gt;"", 'CONTENT PILLAR MAPPING'!C410&lt;&gt;"", 'CONTENT PILLAR MAPPING'!E410&lt;&gt;"", 'CONTENT PILLAR MAPPING'!F410&lt;&gt;"", 'CONTENT PILLAR MAPPING'!C413&lt;&gt;"", 'CONTENT PILLAR MAPPING'!C418&lt;&gt;"", 'CONTENT PILLAR MAPPING'!D418&lt;&gt;"", 'CONTENT PILLAR MAPPING'!E418&lt;&gt;"", 'CONTENT PILLAR MAPPING'!D426&lt;&gt;"", 'CONTENT PILLAR MAPPING'!D427&lt;&gt;""),
CONCATENATE(
"Sebagai seorang top konten kreator dengan niche utama '", 'CONTENT PILLAR MAPPING'!C410, "', spesifik kategori '", 'CONTENT PILLAR MAPPING'!E410, "', dan super spesifik '", 'CONTENT PILLAR MAPPING'!F410, "', yang dikenal sebagai '", 'CONTENT PILLAR MAPPING'!C413, "'.", CHAR(10),
"Saya memiliki Tone of Voice: '", 'CONTENT PILLAR MAPPING'!C418, "', Brand Archetype: '", 'CONTENT PILLAR MAPPING'!D418, "', dan Deskripsi Gaya Komunikasi: '", 'CONTENT PILLAR MAPPING'!E418, "'.", CHAR(10),
"Target audiens saya adalah: '", 'CONTENT PILLAR MAPPING'!D426, "', dengan segmentasi audiens: '", 'CONTENT PILLAR MAPPING'!D427, "'.", CHAR(10), CHAR(10),
"Mohon buatkan script konten yang **sangat powerful, menarik, inovatif, dan siap pakai** dengan judul ide '", B508, "'.", CHAR(10),
"Konten ini memiliki pilar '", C508, "', nilai tambah utama '", F508, "', dan akan menggunakan storytelling framework '", G508, "'.", CHAR(10),
"Gambaran singkat ide kontennya adalah: '", J508, "'.", CHAR(10),
"Konten ini akan diunggah di platform '", E508, "' dengan format '", D508,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MAPPING'!C413, "'.** Sesuaikan dengan gaya komunikasi saya, dengan fokus pada nilai tambah '", F508,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MAPPING'!D426, ", khusus ", 'CONTENT PILLAR MAPPING'!D427, ") dan membantu mereka menyelesaikan masalah atau mencapai tujuan mereka.", CHAR(10),
"✔ Membantuku membangun personal branding yang kuat dan sustainable, sesuai dengan Positioning saya sebagai '", 'CONTENT PILLAR MAPPING'!C413, "' dan Brand Archetype '", 'CONTENT PILLAR MAPPING'!D418, "'.", CHAR(10),
"✔ Kemas dalam bentuk tabel agar rapi, mudah di baca dan dipahami, dengan kolom 'Judul Konten', 'Pilar', 'Format', 'Draft Script', 'CTA', 'Saran Visual', dan 'Full Caption'. (Kosongkan kolom Link Prompt jika ada)."
),
"")</f>
        <v/>
      </c>
      <c r="L508" s="199" t="n"/>
      <c r="M508" s="199" t="n"/>
      <c r="N508" s="102" t="n"/>
      <c r="O508" s="102" t="n"/>
      <c r="P508" s="102" t="n"/>
      <c r="Q508" s="102" t="n"/>
      <c r="R508" s="102" t="n"/>
      <c r="S508" s="102" t="n"/>
      <c r="T508" s="102" t="n"/>
      <c r="U508" s="102" t="n"/>
      <c r="V508" s="102" t="n"/>
      <c r="W508" s="102" t="n"/>
      <c r="X508" s="102" t="n"/>
      <c r="Y508" s="102" t="n"/>
      <c r="Z508" s="102" t="n"/>
      <c r="AA508" s="102" t="n"/>
      <c r="AB508" s="102" t="n"/>
      <c r="AC508" s="102" t="n"/>
      <c r="AD508" s="102" t="n"/>
    </row>
    <row r="509" ht="15.75" customHeight="1" s="205">
      <c r="A509" s="102" t="n"/>
      <c r="B509" s="142" t="n"/>
      <c r="C509" s="143" t="n"/>
      <c r="D509" s="143" t="n"/>
      <c r="E509" s="143" t="n"/>
      <c r="F509" s="143" t="n"/>
      <c r="G509" s="144" t="n"/>
      <c r="H509" s="145">
        <f>IF(K509&lt;&gt;"", HYPERLINK("https://chatgpt.com/?prompt=" &amp; SUBSTITUTE(SUBSTITUTE(K509, " ", "+"), "&amp;", "dan") &amp; "&amp;force-refresh=true&amp;timestamp=" &amp; TEXT(NOW(), "yyyymmddhhmmss"), "👉 Klik untuk Generate Script! 🔥"), "")</f>
        <v/>
      </c>
      <c r="I509" s="143" t="n"/>
      <c r="J509" s="146" t="n"/>
      <c r="K509" s="130">
        <f>IF(AND(B509&lt;&gt;"", C509&lt;&gt;"", D509&lt;&gt;"", E509&lt;&gt;"", F509&lt;&gt;"", G509&lt;&gt;"", J509&lt;&gt;"", 'CONTENT PILLAR MAPPING'!C412&lt;&gt;"", 'CONTENT PILLAR MAPPING'!E412&lt;&gt;"", 'CONTENT PILLAR MAPPING'!F412&lt;&gt;"", 'CONTENT PILLAR MAPPING'!C415&lt;&gt;"", 'CONTENT PILLAR MAPPING'!C420&lt;&gt;"", 'CONTENT PILLAR MAPPING'!D420&lt;&gt;"", 'CONTENT PILLAR MAPPING'!E420&lt;&gt;"", 'CONTENT PILLAR MAPPING'!D428&lt;&gt;"", 'CONTENT PILLAR MAPPING'!D429&lt;&gt;""),
CONCATENATE(
"Sebagai seorang top konten kreator dengan niche utama '", 'CONTENT PILLAR MAPPING'!C412, "', spesifik kategori '", 'CONTENT PILLAR MAPPING'!E412, "', dan super spesifik '", 'CONTENT PILLAR MAPPING'!F412, "', yang dikenal sebagai '", 'CONTENT PILLAR MAPPING'!C415, "'.", CHAR(10),
"Saya memiliki Tone of Voice: '", 'CONTENT PILLAR MAPPING'!C420, "', Brand Archetype: '", 'CONTENT PILLAR MAPPING'!D420, "', dan Deskripsi Gaya Komunikasi: '", 'CONTENT PILLAR MAPPING'!E420, "'.", CHAR(10),
"Target audiens saya adalah: '", 'CONTENT PILLAR MAPPING'!D428, "', dengan segmentasi audiens: '", 'CONTENT PILLAR MAPPING'!D429, "'.", CHAR(10), CHAR(10),
"Mohon buatkan script konten yang **sangat powerful, menarik, inovatif, dan siap pakai** dengan judul ide '", B509, "'.", CHAR(10),
"Konten ini memiliki pilar '", C509, "', nilai tambah utama '", F509, "', dan akan menggunakan storytelling framework '", G509, "'.", CHAR(10),
"Gambaran singkat ide kontennya adalah: '", J509, "'.", CHAR(10),
"Konten ini akan diunggah di platform '", E509, "' dengan format '", D509,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MAPPING'!C415, "'.** Sesuaikan dengan gaya komunikasi saya, dengan fokus pada nilai tambah '", F509,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MAPPING'!D428, ", khusus ", 'CONTENT PILLAR MAPPING'!D429, ") dan membantu mereka menyelesaikan masalah atau mencapai tujuan mereka.", CHAR(10),
"✔ Membantuku membangun personal branding yang kuat dan sustainable, sesuai dengan Positioning saya sebagai '", 'CONTENT PILLAR MAPPING'!C415, "' dan Brand Archetype '", 'CONTENT PILLAR MAPPING'!D420, "'.", CHAR(10),
"✔ Kemas dalam bentuk tabel agar rapi, mudah di baca dan dipahami, dengan kolom 'Judul Konten', 'Pilar', 'Format', 'Draft Script', 'CTA', 'Saran Visual', dan 'Full Caption'. (Kosongkan kolom Link Prompt jika ada)."
),
"")</f>
        <v/>
      </c>
      <c r="L509" s="91" t="n"/>
      <c r="M509" s="91" t="n"/>
      <c r="N509" s="102" t="n"/>
      <c r="O509" s="102" t="n"/>
      <c r="P509" s="102" t="n"/>
      <c r="Q509" s="102" t="n"/>
      <c r="R509" s="102" t="n"/>
      <c r="S509" s="102" t="n"/>
      <c r="T509" s="102" t="n"/>
      <c r="U509" s="102" t="n"/>
      <c r="V509" s="102" t="n"/>
      <c r="W509" s="102" t="n"/>
      <c r="X509" s="102" t="n"/>
      <c r="Y509" s="102" t="n"/>
      <c r="Z509" s="102" t="n"/>
      <c r="AA509" s="102" t="n"/>
      <c r="AB509" s="102" t="n"/>
      <c r="AC509" s="102" t="n"/>
      <c r="AD509" s="102" t="n"/>
    </row>
    <row r="510" ht="15.75" customHeight="1" s="205">
      <c r="A510" s="102" t="n"/>
      <c r="B510" s="147" t="n"/>
      <c r="C510" s="144" t="n"/>
      <c r="D510" s="144" t="n"/>
      <c r="E510" s="144" t="n"/>
      <c r="F510" s="144" t="n"/>
      <c r="G510" s="144" t="n"/>
      <c r="H510" s="141">
        <f>IF(K510&lt;&gt;"", HYPERLINK("https://chatgpt.com/?prompt=" &amp; SUBSTITUTE(SUBSTITUTE(K510, " ", "+"), "&amp;", "dan") &amp; "&amp;force-refresh=true&amp;timestamp=" &amp; TEXT(NOW(), "yyyymmddhhmmss"), "👉 Klik untuk Generate Script! 🔥"), "")</f>
        <v/>
      </c>
      <c r="I510" s="144" t="n"/>
      <c r="J510" s="148" t="n"/>
      <c r="K510" s="140">
        <f>IF(AND(B510&lt;&gt;"", C510&lt;&gt;"", D510&lt;&gt;"", E510&lt;&gt;"", F510&lt;&gt;"", G510&lt;&gt;"", J510&lt;&gt;"", 'CONTENT PILLAR MAPPING'!C412&lt;&gt;"", 'CONTENT PILLAR MAPPING'!E412&lt;&gt;"", 'CONTENT PILLAR MAPPING'!F412&lt;&gt;"", 'CONTENT PILLAR MAPPING'!C415&lt;&gt;"", 'CONTENT PILLAR MAPPING'!C420&lt;&gt;"", 'CONTENT PILLAR MAPPING'!D420&lt;&gt;"", 'CONTENT PILLAR MAPPING'!E420&lt;&gt;"", 'CONTENT PILLAR MAPPING'!D428&lt;&gt;"", 'CONTENT PILLAR MAPPING'!D429&lt;&gt;""),
CONCATENATE(
"Sebagai seorang top konten kreator dengan niche utama '", 'CONTENT PILLAR MAPPING'!C412, "', spesifik kategori '", 'CONTENT PILLAR MAPPING'!E412, "', dan super spesifik '", 'CONTENT PILLAR MAPPING'!F412, "', yang dikenal sebagai '", 'CONTENT PILLAR MAPPING'!C415, "'.", CHAR(10),
"Saya memiliki Tone of Voice: '", 'CONTENT PILLAR MAPPING'!C420, "', Brand Archetype: '", 'CONTENT PILLAR MAPPING'!D420, "', dan Deskripsi Gaya Komunikasi: '", 'CONTENT PILLAR MAPPING'!E420, "'.", CHAR(10),
"Target audiens saya adalah: '", 'CONTENT PILLAR MAPPING'!D428, "', dengan segmentasi audiens: '", 'CONTENT PILLAR MAPPING'!D429, "'.", CHAR(10), CHAR(10),
"Mohon buatkan script konten yang **sangat powerful, menarik, inovatif, dan siap pakai** dengan judul ide '", B510, "'.", CHAR(10),
"Konten ini memiliki pilar '", C510, "', nilai tambah utama '", F510, "', dan akan menggunakan storytelling framework '", G510, "'.", CHAR(10),
"Gambaran singkat ide kontennya adalah: '", J510, "'.", CHAR(10),
"Konten ini akan diunggah di platform '", E510, "' dengan format '", D510,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MAPPING'!C415, "'.** Sesuaikan dengan gaya komunikasi saya, dengan fokus pada nilai tambah '", F510,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MAPPING'!D428, ", khusus ", 'CONTENT PILLAR MAPPING'!D429, ") dan membantu mereka menyelesaikan masalah atau mencapai tujuan mereka.", CHAR(10),
"✔ Membantuku membangun personal branding yang kuat dan sustainable, sesuai dengan Positioning saya sebagai '", 'CONTENT PILLAR MAPPING'!C415, "' dan Brand Archetype '", 'CONTENT PILLAR MAPPING'!D420, "'.", CHAR(10),
"✔ Kemas dalam bentuk tabel agar rapi, mudah di baca dan dipahami, dengan kolom 'Judul Konten', 'Pilar', 'Format', 'Draft Script', 'CTA', 'Saran Visual', dan 'Full Caption'. (Kosongkan kolom Link Prompt jika ada)."
),
"")</f>
        <v/>
      </c>
      <c r="L510" s="199" t="n"/>
      <c r="M510" s="199" t="n"/>
      <c r="N510" s="102" t="n"/>
      <c r="O510" s="102" t="n"/>
      <c r="P510" s="102" t="n"/>
      <c r="Q510" s="102" t="n"/>
      <c r="R510" s="102" t="n"/>
      <c r="S510" s="102" t="n"/>
      <c r="T510" s="102" t="n"/>
      <c r="U510" s="102" t="n"/>
      <c r="V510" s="102" t="n"/>
      <c r="W510" s="102" t="n"/>
      <c r="X510" s="102" t="n"/>
      <c r="Y510" s="102" t="n"/>
      <c r="Z510" s="102" t="n"/>
      <c r="AA510" s="102" t="n"/>
      <c r="AB510" s="102" t="n"/>
      <c r="AC510" s="102" t="n"/>
      <c r="AD510" s="102" t="n"/>
    </row>
    <row r="511" ht="15.75" customHeight="1" s="205">
      <c r="A511" s="102" t="n"/>
      <c r="B511" s="142" t="n"/>
      <c r="C511" s="143" t="n"/>
      <c r="D511" s="143" t="n"/>
      <c r="E511" s="143" t="n"/>
      <c r="F511" s="143" t="n"/>
      <c r="G511" s="144" t="n"/>
      <c r="H511" s="145">
        <f>IF(K511&lt;&gt;"", HYPERLINK("https://chatgpt.com/?prompt=" &amp; SUBSTITUTE(SUBSTITUTE(K511, " ", "+"), "&amp;", "dan") &amp; "&amp;force-refresh=true&amp;timestamp=" &amp; TEXT(NOW(), "yyyymmddhhmmss"), "👉 Klik untuk Generate Script! 🔥"), "")</f>
        <v/>
      </c>
      <c r="I511" s="143" t="n"/>
      <c r="J511" s="146" t="n"/>
      <c r="K511" s="130">
        <f>IF(AND(B511&lt;&gt;"", C511&lt;&gt;"", D511&lt;&gt;"", E511&lt;&gt;"", F511&lt;&gt;"", G511&lt;&gt;"", J511&lt;&gt;"", 'CONTENT PILLAR MAPPING'!C414&lt;&gt;"", 'CONTENT PILLAR MAPPING'!E414&lt;&gt;"", 'CONTENT PILLAR MAPPING'!F414&lt;&gt;"", 'CONTENT PILLAR MAPPING'!C417&lt;&gt;"", 'CONTENT PILLAR MAPPING'!C422&lt;&gt;"", 'CONTENT PILLAR MAPPING'!D422&lt;&gt;"", 'CONTENT PILLAR MAPPING'!E422&lt;&gt;"", 'CONTENT PILLAR MAPPING'!D430&lt;&gt;"", 'CONTENT PILLAR MAPPING'!D431&lt;&gt;""),
CONCATENATE(
"Sebagai seorang top konten kreator dengan niche utama '", 'CONTENT PILLAR MAPPING'!C414, "', spesifik kategori '", 'CONTENT PILLAR MAPPING'!E414, "', dan super spesifik '", 'CONTENT PILLAR MAPPING'!F414, "', yang dikenal sebagai '", 'CONTENT PILLAR MAPPING'!C417, "'.", CHAR(10),
"Saya memiliki Tone of Voice: '", 'CONTENT PILLAR MAPPING'!C422, "', Brand Archetype: '", 'CONTENT PILLAR MAPPING'!D422, "', dan Deskripsi Gaya Komunikasi: '", 'CONTENT PILLAR MAPPING'!E422, "'.", CHAR(10),
"Target audiens saya adalah: '", 'CONTENT PILLAR MAPPING'!D430, "', dengan segmentasi audiens: '", 'CONTENT PILLAR MAPPING'!D431, "'.", CHAR(10), CHAR(10),
"Mohon buatkan script konten yang **sangat powerful, menarik, inovatif, dan siap pakai** dengan judul ide '", B511, "'.", CHAR(10),
"Konten ini memiliki pilar '", C511, "', nilai tambah utama '", F511, "', dan akan menggunakan storytelling framework '", G511, "'.", CHAR(10),
"Gambaran singkat ide kontennya adalah: '", J511, "'.", CHAR(10),
"Konten ini akan diunggah di platform '", E511, "' dengan format '", D511,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MAPPING'!C417, "'.** Sesuaikan dengan gaya komunikasi saya, dengan fokus pada nilai tambah '", F511,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MAPPING'!D430, ", khusus ", 'CONTENT PILLAR MAPPING'!D431, ") dan membantu mereka menyelesaikan masalah atau mencapai tujuan mereka.", CHAR(10),
"✔ Membantuku membangun personal branding yang kuat dan sustainable, sesuai dengan Positioning saya sebagai '", 'CONTENT PILLAR MAPPING'!C417, "' dan Brand Archetype '", 'CONTENT PILLAR MAPPING'!D422, "'.", CHAR(10),
"✔ Kemas dalam bentuk tabel agar rapi, mudah di baca dan dipahami, dengan kolom 'Judul Konten', 'Pilar', 'Format', 'Draft Script', 'CTA', 'Saran Visual', dan 'Full Caption'. (Kosongkan kolom Link Prompt jika ada)."
),
"")</f>
        <v/>
      </c>
      <c r="L511" s="91" t="n"/>
      <c r="M511" s="91" t="n"/>
      <c r="N511" s="102" t="n"/>
      <c r="O511" s="102" t="n"/>
      <c r="P511" s="102" t="n"/>
      <c r="Q511" s="102" t="n"/>
      <c r="R511" s="102" t="n"/>
      <c r="S511" s="102" t="n"/>
      <c r="T511" s="102" t="n"/>
      <c r="U511" s="102" t="n"/>
      <c r="V511" s="102" t="n"/>
      <c r="W511" s="102" t="n"/>
      <c r="X511" s="102" t="n"/>
      <c r="Y511" s="102" t="n"/>
      <c r="Z511" s="102" t="n"/>
      <c r="AA511" s="102" t="n"/>
      <c r="AB511" s="102" t="n"/>
      <c r="AC511" s="102" t="n"/>
      <c r="AD511" s="102" t="n"/>
    </row>
    <row r="512" ht="15.75" customHeight="1" s="205">
      <c r="A512" s="102" t="n"/>
      <c r="B512" s="147" t="n"/>
      <c r="C512" s="144" t="n"/>
      <c r="D512" s="144" t="n"/>
      <c r="E512" s="144" t="n"/>
      <c r="F512" s="144" t="n"/>
      <c r="G512" s="144" t="n"/>
      <c r="H512" s="141">
        <f>IF(K512&lt;&gt;"", HYPERLINK("https://chatgpt.com/?prompt=" &amp; SUBSTITUTE(SUBSTITUTE(K512, " ", "+"), "&amp;", "dan") &amp; "&amp;force-refresh=true&amp;timestamp=" &amp; TEXT(NOW(), "yyyymmddhhmmss"), "👉 Klik untuk Generate Script! 🔥"), "")</f>
        <v/>
      </c>
      <c r="I512" s="144" t="n"/>
      <c r="J512" s="148" t="n"/>
      <c r="K512" s="140">
        <f>IF(AND(B512&lt;&gt;"", C512&lt;&gt;"", D512&lt;&gt;"", E512&lt;&gt;"", F512&lt;&gt;"", G512&lt;&gt;"", J512&lt;&gt;"", 'CONTENT PILLAR MAPPING'!C414&lt;&gt;"", 'CONTENT PILLAR MAPPING'!E414&lt;&gt;"", 'CONTENT PILLAR MAPPING'!F414&lt;&gt;"", 'CONTENT PILLAR MAPPING'!C417&lt;&gt;"", 'CONTENT PILLAR MAPPING'!C422&lt;&gt;"", 'CONTENT PILLAR MAPPING'!D422&lt;&gt;"", 'CONTENT PILLAR MAPPING'!E422&lt;&gt;"", 'CONTENT PILLAR MAPPING'!D430&lt;&gt;"", 'CONTENT PILLAR MAPPING'!D431&lt;&gt;""),
CONCATENATE(
"Sebagai seorang top konten kreator dengan niche utama '", 'CONTENT PILLAR MAPPING'!C414, "', spesifik kategori '", 'CONTENT PILLAR MAPPING'!E414, "', dan super spesifik '", 'CONTENT PILLAR MAPPING'!F414, "', yang dikenal sebagai '", 'CONTENT PILLAR MAPPING'!C417, "'.", CHAR(10),
"Saya memiliki Tone of Voice: '", 'CONTENT PILLAR MAPPING'!C422, "', Brand Archetype: '", 'CONTENT PILLAR MAPPING'!D422, "', dan Deskripsi Gaya Komunikasi: '", 'CONTENT PILLAR MAPPING'!E422, "'.", CHAR(10),
"Target audiens saya adalah: '", 'CONTENT PILLAR MAPPING'!D430, "', dengan segmentasi audiens: '", 'CONTENT PILLAR MAPPING'!D431, "'.", CHAR(10), CHAR(10),
"Mohon buatkan script konten yang **sangat powerful, menarik, inovatif, dan siap pakai** dengan judul ide '", B512, "'.", CHAR(10),
"Konten ini memiliki pilar '", C512, "', nilai tambah utama '", F512, "', dan akan menggunakan storytelling framework '", G512, "'.", CHAR(10),
"Gambaran singkat ide kontennya adalah: '", J512, "'.", CHAR(10),
"Konten ini akan diunggah di platform '", E512, "' dengan format '", D512,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MAPPING'!C417, "'.** Sesuaikan dengan gaya komunikasi saya, dengan fokus pada nilai tambah '", F512,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MAPPING'!D430, ", khusus ", 'CONTENT PILLAR MAPPING'!D431, ") dan membantu mereka menyelesaikan masalah atau mencapai tujuan mereka.", CHAR(10),
"✔ Membantuku membangun personal branding yang kuat dan sustainable, sesuai dengan Positioning saya sebagai '", 'CONTENT PILLAR MAPPING'!C417, "' dan Brand Archetype '", 'CONTENT PILLAR MAPPING'!D422, "'.", CHAR(10),
"✔ Kemas dalam bentuk tabel agar rapi, mudah di baca dan dipahami, dengan kolom 'Judul Konten', 'Pilar', 'Format', 'Draft Script', 'CTA', 'Saran Visual', dan 'Full Caption'. (Kosongkan kolom Link Prompt jika ada)."
),
"")</f>
        <v/>
      </c>
      <c r="L512" s="199" t="n"/>
      <c r="M512" s="199" t="n"/>
      <c r="N512" s="102" t="n"/>
      <c r="O512" s="102" t="n"/>
      <c r="P512" s="102" t="n"/>
      <c r="Q512" s="102" t="n"/>
      <c r="R512" s="102" t="n"/>
      <c r="S512" s="102" t="n"/>
      <c r="T512" s="102" t="n"/>
      <c r="U512" s="102" t="n"/>
      <c r="V512" s="102" t="n"/>
      <c r="W512" s="102" t="n"/>
      <c r="X512" s="102" t="n"/>
      <c r="Y512" s="102" t="n"/>
      <c r="Z512" s="102" t="n"/>
      <c r="AA512" s="102" t="n"/>
      <c r="AB512" s="102" t="n"/>
      <c r="AC512" s="102" t="n"/>
      <c r="AD512" s="102" t="n"/>
    </row>
    <row r="513" ht="15.75" customHeight="1" s="205">
      <c r="A513" s="102" t="n"/>
      <c r="B513" s="142" t="n"/>
      <c r="C513" s="143" t="n"/>
      <c r="D513" s="143" t="n"/>
      <c r="E513" s="143" t="n"/>
      <c r="F513" s="143" t="n"/>
      <c r="G513" s="144" t="n"/>
      <c r="H513" s="145">
        <f>IF(K513&lt;&gt;"", HYPERLINK("https://chatgpt.com/?prompt=" &amp; SUBSTITUTE(SUBSTITUTE(K513, " ", "+"), "&amp;", "dan") &amp; "&amp;force-refresh=true&amp;timestamp=" &amp; TEXT(NOW(), "yyyymmddhhmmss"), "👉 Klik untuk Generate Script! 🔥"), "")</f>
        <v/>
      </c>
      <c r="I513" s="143" t="n"/>
      <c r="J513" s="146" t="n"/>
      <c r="K513" s="130">
        <f>IF(AND(B513&lt;&gt;"", C513&lt;&gt;"", D513&lt;&gt;"", E513&lt;&gt;"", F513&lt;&gt;"", G513&lt;&gt;"", J513&lt;&gt;"", 'CONTENT PILLAR MAPPING'!C416&lt;&gt;"", 'CONTENT PILLAR MAPPING'!E416&lt;&gt;"", 'CONTENT PILLAR MAPPING'!F416&lt;&gt;"", 'CONTENT PILLAR MAPPING'!C419&lt;&gt;"", 'CONTENT PILLAR MAPPING'!C424&lt;&gt;"", 'CONTENT PILLAR MAPPING'!D424&lt;&gt;"", 'CONTENT PILLAR MAPPING'!E424&lt;&gt;"", 'CONTENT PILLAR MAPPING'!D432&lt;&gt;"", 'CONTENT PILLAR MAPPING'!D433&lt;&gt;""),
CONCATENATE(
"Sebagai seorang top konten kreator dengan niche utama '", 'CONTENT PILLAR MAPPING'!C416, "', spesifik kategori '", 'CONTENT PILLAR MAPPING'!E416, "', dan super spesifik '", 'CONTENT PILLAR MAPPING'!F416, "', yang dikenal sebagai '", 'CONTENT PILLAR MAPPING'!C419, "'.", CHAR(10),
"Saya memiliki Tone of Voice: '", 'CONTENT PILLAR MAPPING'!C424, "', Brand Archetype: '", 'CONTENT PILLAR MAPPING'!D424, "', dan Deskripsi Gaya Komunikasi: '", 'CONTENT PILLAR MAPPING'!E424, "'.", CHAR(10),
"Target audiens saya adalah: '", 'CONTENT PILLAR MAPPING'!D432, "', dengan segmentasi audiens: '", 'CONTENT PILLAR MAPPING'!D433, "'.", CHAR(10), CHAR(10),
"Mohon buatkan script konten yang **sangat powerful, menarik, inovatif, dan siap pakai** dengan judul ide '", B513, "'.", CHAR(10),
"Konten ini memiliki pilar '", C513, "', nilai tambah utama '", F513, "', dan akan menggunakan storytelling framework '", G513, "'.", CHAR(10),
"Gambaran singkat ide kontennya adalah: '", J513, "'.", CHAR(10),
"Konten ini akan diunggah di platform '", E513, "' dengan format '", D513,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MAPPING'!C419, "'.** Sesuaikan dengan gaya komunikasi saya, dengan fokus pada nilai tambah '", F513,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MAPPING'!D432, ", khusus ", 'CONTENT PILLAR MAPPING'!D433, ") dan membantu mereka menyelesaikan masalah atau mencapai tujuan mereka.", CHAR(10),
"✔ Membantuku membangun personal branding yang kuat dan sustainable, sesuai dengan Positioning saya sebagai '", 'CONTENT PILLAR MAPPING'!C419, "' dan Brand Archetype '", 'CONTENT PILLAR MAPPING'!D424, "'.", CHAR(10),
"✔ Kemas dalam bentuk tabel agar rapi, mudah di baca dan dipahami, dengan kolom 'Judul Konten', 'Pilar', 'Format', 'Draft Script', 'CTA', 'Saran Visual', dan 'Full Caption'. (Kosongkan kolom Link Prompt jika ada)."
),
"")</f>
        <v/>
      </c>
      <c r="L513" s="91" t="n"/>
      <c r="M513" s="91" t="n"/>
      <c r="N513" s="102" t="n"/>
      <c r="O513" s="102" t="n"/>
      <c r="P513" s="102" t="n"/>
      <c r="Q513" s="102" t="n"/>
      <c r="R513" s="102" t="n"/>
      <c r="S513" s="102" t="n"/>
      <c r="T513" s="102" t="n"/>
      <c r="U513" s="102" t="n"/>
      <c r="V513" s="102" t="n"/>
      <c r="W513" s="102" t="n"/>
      <c r="X513" s="102" t="n"/>
      <c r="Y513" s="102" t="n"/>
      <c r="Z513" s="102" t="n"/>
      <c r="AA513" s="102" t="n"/>
      <c r="AB513" s="102" t="n"/>
      <c r="AC513" s="102" t="n"/>
      <c r="AD513" s="102" t="n"/>
    </row>
    <row r="514" ht="15.75" customHeight="1" s="205">
      <c r="A514" s="102" t="n"/>
      <c r="B514" s="147" t="n"/>
      <c r="C514" s="144" t="n"/>
      <c r="D514" s="144" t="n"/>
      <c r="E514" s="144" t="n"/>
      <c r="F514" s="144" t="n"/>
      <c r="G514" s="144" t="n"/>
      <c r="H514" s="141">
        <f>IF(K514&lt;&gt;"", HYPERLINK("https://chatgpt.com/?prompt=" &amp; SUBSTITUTE(SUBSTITUTE(K514, " ", "+"), "&amp;", "dan") &amp; "&amp;force-refresh=true&amp;timestamp=" &amp; TEXT(NOW(), "yyyymmddhhmmss"), "👉 Klik untuk Generate Script! 🔥"), "")</f>
        <v/>
      </c>
      <c r="I514" s="144" t="n"/>
      <c r="J514" s="148" t="n"/>
      <c r="K514" s="140">
        <f>IF(AND(B514&lt;&gt;"", C514&lt;&gt;"", D514&lt;&gt;"", E514&lt;&gt;"", F514&lt;&gt;"", G514&lt;&gt;"", J514&lt;&gt;"", 'CONTENT PILLAR MAPPING'!C416&lt;&gt;"", 'CONTENT PILLAR MAPPING'!E416&lt;&gt;"", 'CONTENT PILLAR MAPPING'!F416&lt;&gt;"", 'CONTENT PILLAR MAPPING'!C419&lt;&gt;"", 'CONTENT PILLAR MAPPING'!C424&lt;&gt;"", 'CONTENT PILLAR MAPPING'!D424&lt;&gt;"", 'CONTENT PILLAR MAPPING'!E424&lt;&gt;"", 'CONTENT PILLAR MAPPING'!D432&lt;&gt;"", 'CONTENT PILLAR MAPPING'!D433&lt;&gt;""),
CONCATENATE(
"Sebagai seorang top konten kreator dengan niche utama '", 'CONTENT PILLAR MAPPING'!C416, "', spesifik kategori '", 'CONTENT PILLAR MAPPING'!E416, "', dan super spesifik '", 'CONTENT PILLAR MAPPING'!F416, "', yang dikenal sebagai '", 'CONTENT PILLAR MAPPING'!C419, "'.", CHAR(10),
"Saya memiliki Tone of Voice: '", 'CONTENT PILLAR MAPPING'!C424, "', Brand Archetype: '", 'CONTENT PILLAR MAPPING'!D424, "', dan Deskripsi Gaya Komunikasi: '", 'CONTENT PILLAR MAPPING'!E424, "'.", CHAR(10),
"Target audiens saya adalah: '", 'CONTENT PILLAR MAPPING'!D432, "', dengan segmentasi audiens: '", 'CONTENT PILLAR MAPPING'!D433, "'.", CHAR(10), CHAR(10),
"Mohon buatkan script konten yang **sangat powerful, menarik, inovatif, dan siap pakai** dengan judul ide '", B514, "'.", CHAR(10),
"Konten ini memiliki pilar '", C514, "', nilai tambah utama '", F514, "', dan akan menggunakan storytelling framework '", G514, "'.", CHAR(10),
"Gambaran singkat ide kontennya adalah: '", J514, "'.", CHAR(10),
"Konten ini akan diunggah di platform '", E514, "' dengan format '", D514,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MAPPING'!C419, "'.** Sesuaikan dengan gaya komunikasi saya, dengan fokus pada nilai tambah '", F514,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MAPPING'!D432, ", khusus ", 'CONTENT PILLAR MAPPING'!D433, ") dan membantu mereka menyelesaikan masalah atau mencapai tujuan mereka.", CHAR(10),
"✔ Membantuku membangun personal branding yang kuat dan sustainable, sesuai dengan Positioning saya sebagai '", 'CONTENT PILLAR MAPPING'!C419, "' dan Brand Archetype '", 'CONTENT PILLAR MAPPING'!D424, "'.", CHAR(10),
"✔ Kemas dalam bentuk tabel agar rapi, mudah di baca dan dipahami, dengan kolom 'Judul Konten', 'Pilar', 'Format', 'Draft Script', 'CTA', 'Saran Visual', dan 'Full Caption'. (Kosongkan kolom Link Prompt jika ada)."
),
"")</f>
        <v/>
      </c>
      <c r="L514" s="199" t="n"/>
      <c r="M514" s="199" t="n"/>
      <c r="N514" s="102" t="n"/>
      <c r="O514" s="102" t="n"/>
      <c r="P514" s="102" t="n"/>
      <c r="Q514" s="102" t="n"/>
      <c r="R514" s="102" t="n"/>
      <c r="S514" s="102" t="n"/>
      <c r="T514" s="102" t="n"/>
      <c r="U514" s="102" t="n"/>
      <c r="V514" s="102" t="n"/>
      <c r="W514" s="102" t="n"/>
      <c r="X514" s="102" t="n"/>
      <c r="Y514" s="102" t="n"/>
      <c r="Z514" s="102" t="n"/>
      <c r="AA514" s="102" t="n"/>
      <c r="AB514" s="102" t="n"/>
      <c r="AC514" s="102" t="n"/>
      <c r="AD514" s="102" t="n"/>
    </row>
    <row r="515" ht="15.75" customHeight="1" s="205">
      <c r="A515" s="102" t="n"/>
      <c r="B515" s="142" t="n"/>
      <c r="C515" s="143" t="n"/>
      <c r="D515" s="143" t="n"/>
      <c r="E515" s="143" t="n"/>
      <c r="F515" s="143" t="n"/>
      <c r="G515" s="144" t="n"/>
      <c r="H515" s="145">
        <f>IF(K515&lt;&gt;"", HYPERLINK("https://chatgpt.com/?prompt=" &amp; SUBSTITUTE(SUBSTITUTE(K515, " ", "+"), "&amp;", "dan") &amp; "&amp;force-refresh=true&amp;timestamp=" &amp; TEXT(NOW(), "yyyymmddhhmmss"), "👉 Klik untuk Generate Script! 🔥"), "")</f>
        <v/>
      </c>
      <c r="I515" s="143" t="n"/>
      <c r="J515" s="146" t="n"/>
      <c r="K515" s="130">
        <f>IF(AND(B515&lt;&gt;"", C515&lt;&gt;"", D515&lt;&gt;"", E515&lt;&gt;"", F515&lt;&gt;"", G515&lt;&gt;"", J515&lt;&gt;"", 'CONTENT PILLAR MAPPING'!C418&lt;&gt;"", 'CONTENT PILLAR MAPPING'!E418&lt;&gt;"", 'CONTENT PILLAR MAPPING'!F418&lt;&gt;"", 'CONTENT PILLAR MAPPING'!C421&lt;&gt;"", 'CONTENT PILLAR MAPPING'!C426&lt;&gt;"", 'CONTENT PILLAR MAPPING'!D426&lt;&gt;"", 'CONTENT PILLAR MAPPING'!E426&lt;&gt;"", 'CONTENT PILLAR MAPPING'!D434&lt;&gt;"", 'CONTENT PILLAR MAPPING'!D435&lt;&gt;""),
CONCATENATE(
"Sebagai seorang top konten kreator dengan niche utama '", 'CONTENT PILLAR MAPPING'!C418, "', spesifik kategori '", 'CONTENT PILLAR MAPPING'!E418, "', dan super spesifik '", 'CONTENT PILLAR MAPPING'!F418, "', yang dikenal sebagai '", 'CONTENT PILLAR MAPPING'!C421, "'.", CHAR(10),
"Saya memiliki Tone of Voice: '", 'CONTENT PILLAR MAPPING'!C426, "', Brand Archetype: '", 'CONTENT PILLAR MAPPING'!D426, "', dan Deskripsi Gaya Komunikasi: '", 'CONTENT PILLAR MAPPING'!E426, "'.", CHAR(10),
"Target audiens saya adalah: '", 'CONTENT PILLAR MAPPING'!D434, "', dengan segmentasi audiens: '", 'CONTENT PILLAR MAPPING'!D435, "'.", CHAR(10), CHAR(10),
"Mohon buatkan script konten yang **sangat powerful, menarik, inovatif, dan siap pakai** dengan judul ide '", B515, "'.", CHAR(10),
"Konten ini memiliki pilar '", C515, "', nilai tambah utama '", F515, "', dan akan menggunakan storytelling framework '", G515, "'.", CHAR(10),
"Gambaran singkat ide kontennya adalah: '", J515, "'.", CHAR(10),
"Konten ini akan diunggah di platform '", E515, "' dengan format '", D515,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MAPPING'!C421, "'.** Sesuaikan dengan gaya komunikasi saya, dengan fokus pada nilai tambah '", F515,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MAPPING'!D434, ", khusus ", 'CONTENT PILLAR MAPPING'!D435, ") dan membantu mereka menyelesaikan masalah atau mencapai tujuan mereka.", CHAR(10),
"✔ Membantuku membangun personal branding yang kuat dan sustainable, sesuai dengan Positioning saya sebagai '", 'CONTENT PILLAR MAPPING'!C421, "' dan Brand Archetype '", 'CONTENT PILLAR MAPPING'!D426, "'.", CHAR(10),
"✔ Kemas dalam bentuk tabel agar rapi, mudah di baca dan dipahami, dengan kolom 'Judul Konten', 'Pilar', 'Format', 'Draft Script', 'CTA', 'Saran Visual', dan 'Full Caption'. (Kosongkan kolom Link Prompt jika ada)."
),
"")</f>
        <v/>
      </c>
      <c r="L515" s="91" t="n"/>
      <c r="M515" s="91" t="n"/>
      <c r="N515" s="102" t="n"/>
      <c r="O515" s="102" t="n"/>
      <c r="P515" s="102" t="n"/>
      <c r="Q515" s="102" t="n"/>
      <c r="R515" s="102" t="n"/>
      <c r="S515" s="102" t="n"/>
      <c r="T515" s="102" t="n"/>
      <c r="U515" s="102" t="n"/>
      <c r="V515" s="102" t="n"/>
      <c r="W515" s="102" t="n"/>
      <c r="X515" s="102" t="n"/>
      <c r="Y515" s="102" t="n"/>
      <c r="Z515" s="102" t="n"/>
      <c r="AA515" s="102" t="n"/>
      <c r="AB515" s="102" t="n"/>
      <c r="AC515" s="102" t="n"/>
      <c r="AD515" s="102" t="n"/>
    </row>
    <row r="516" ht="15.75" customHeight="1" s="205">
      <c r="A516" s="102" t="n"/>
      <c r="B516" s="147" t="n"/>
      <c r="C516" s="144" t="n"/>
      <c r="D516" s="144" t="n"/>
      <c r="E516" s="144" t="n"/>
      <c r="F516" s="144" t="n"/>
      <c r="G516" s="144" t="n"/>
      <c r="H516" s="141">
        <f>IF(K516&lt;&gt;"", HYPERLINK("https://chatgpt.com/?prompt=" &amp; SUBSTITUTE(SUBSTITUTE(K516, " ", "+"), "&amp;", "dan") &amp; "&amp;force-refresh=true&amp;timestamp=" &amp; TEXT(NOW(), "yyyymmddhhmmss"), "👉 Klik untuk Generate Script! 🔥"), "")</f>
        <v/>
      </c>
      <c r="I516" s="144" t="n"/>
      <c r="J516" s="148" t="n"/>
      <c r="K516" s="140">
        <f>IF(AND(B516&lt;&gt;"", C516&lt;&gt;"", D516&lt;&gt;"", E516&lt;&gt;"", F516&lt;&gt;"", G516&lt;&gt;"", J516&lt;&gt;"", 'CONTENT PILLAR MAPPING'!C418&lt;&gt;"", 'CONTENT PILLAR MAPPING'!E418&lt;&gt;"", 'CONTENT PILLAR MAPPING'!F418&lt;&gt;"", 'CONTENT PILLAR MAPPING'!C421&lt;&gt;"", 'CONTENT PILLAR MAPPING'!C426&lt;&gt;"", 'CONTENT PILLAR MAPPING'!D426&lt;&gt;"", 'CONTENT PILLAR MAPPING'!E426&lt;&gt;"", 'CONTENT PILLAR MAPPING'!D434&lt;&gt;"", 'CONTENT PILLAR MAPPING'!D435&lt;&gt;""),
CONCATENATE(
"Sebagai seorang top konten kreator dengan niche utama '", 'CONTENT PILLAR MAPPING'!C418, "', spesifik kategori '", 'CONTENT PILLAR MAPPING'!E418, "', dan super spesifik '", 'CONTENT PILLAR MAPPING'!F418, "', yang dikenal sebagai '", 'CONTENT PILLAR MAPPING'!C421, "'.", CHAR(10),
"Saya memiliki Tone of Voice: '", 'CONTENT PILLAR MAPPING'!C426, "', Brand Archetype: '", 'CONTENT PILLAR MAPPING'!D426, "', dan Deskripsi Gaya Komunikasi: '", 'CONTENT PILLAR MAPPING'!E426, "'.", CHAR(10),
"Target audiens saya adalah: '", 'CONTENT PILLAR MAPPING'!D434, "', dengan segmentasi audiens: '", 'CONTENT PILLAR MAPPING'!D435, "'.", CHAR(10), CHAR(10),
"Mohon buatkan script konten yang **sangat powerful, menarik, inovatif, dan siap pakai** dengan judul ide '", B516, "'.", CHAR(10),
"Konten ini memiliki pilar '", C516, "', nilai tambah utama '", F516, "', dan akan menggunakan storytelling framework '", G516, "'.", CHAR(10),
"Gambaran singkat ide kontennya adalah: '", J516, "'.", CHAR(10),
"Konten ini akan diunggah di platform '", E516, "' dengan format '", D516,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MAPPING'!C421, "'.** Sesuaikan dengan gaya komunikasi saya, dengan fokus pada nilai tambah '", F516,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MAPPING'!D434, ", khusus ", 'CONTENT PILLAR MAPPING'!D435, ") dan membantu mereka menyelesaikan masalah atau mencapai tujuan mereka.", CHAR(10),
"✔ Membantuku membangun personal branding yang kuat dan sustainable, sesuai dengan Positioning saya sebagai '", 'CONTENT PILLAR MAPPING'!C421, "' dan Brand Archetype '", 'CONTENT PILLAR MAPPING'!D426, "'.", CHAR(10),
"✔ Kemas dalam bentuk tabel agar rapi, mudah di baca dan dipahami, dengan kolom 'Judul Konten', 'Pilar', 'Format', 'Draft Script', 'CTA', 'Saran Visual', dan 'Full Caption'. (Kosongkan kolom Link Prompt jika ada)."
),
"")</f>
        <v/>
      </c>
      <c r="L516" s="199" t="n"/>
      <c r="M516" s="199" t="n"/>
      <c r="N516" s="102" t="n"/>
      <c r="O516" s="102" t="n"/>
      <c r="P516" s="102" t="n"/>
      <c r="Q516" s="102" t="n"/>
      <c r="R516" s="102" t="n"/>
      <c r="S516" s="102" t="n"/>
      <c r="T516" s="102" t="n"/>
      <c r="U516" s="102" t="n"/>
      <c r="V516" s="102" t="n"/>
      <c r="W516" s="102" t="n"/>
      <c r="X516" s="102" t="n"/>
      <c r="Y516" s="102" t="n"/>
      <c r="Z516" s="102" t="n"/>
      <c r="AA516" s="102" t="n"/>
      <c r="AB516" s="102" t="n"/>
      <c r="AC516" s="102" t="n"/>
      <c r="AD516" s="102" t="n"/>
    </row>
    <row r="517" ht="15.75" customHeight="1" s="205">
      <c r="A517" s="102" t="n"/>
      <c r="B517" s="142" t="n"/>
      <c r="C517" s="143" t="n"/>
      <c r="D517" s="143" t="n"/>
      <c r="E517" s="143" t="n"/>
      <c r="F517" s="143" t="n"/>
      <c r="G517" s="144" t="n"/>
      <c r="H517" s="145">
        <f>IF(K517&lt;&gt;"", HYPERLINK("https://chatgpt.com/?prompt=" &amp; SUBSTITUTE(SUBSTITUTE(K517, " ", "+"), "&amp;", "dan") &amp; "&amp;force-refresh=true&amp;timestamp=" &amp; TEXT(NOW(), "yyyymmddhhmmss"), "👉 Klik untuk Generate Script! 🔥"), "")</f>
        <v/>
      </c>
      <c r="I517" s="143" t="n"/>
      <c r="J517" s="146" t="n"/>
      <c r="K517" s="130">
        <f>IF(AND(B517&lt;&gt;"", C517&lt;&gt;"", D517&lt;&gt;"", E517&lt;&gt;"", F517&lt;&gt;"", G517&lt;&gt;"", J517&lt;&gt;"", 'CONTENT PILLAR MAPPING'!C420&lt;&gt;"", 'CONTENT PILLAR MAPPING'!E420&lt;&gt;"", 'CONTENT PILLAR MAPPING'!F420&lt;&gt;"", 'CONTENT PILLAR MAPPING'!C423&lt;&gt;"", 'CONTENT PILLAR MAPPING'!C428&lt;&gt;"", 'CONTENT PILLAR MAPPING'!D428&lt;&gt;"", 'CONTENT PILLAR MAPPING'!E428&lt;&gt;"", 'CONTENT PILLAR MAPPING'!D436&lt;&gt;"", 'CONTENT PILLAR MAPPING'!D437&lt;&gt;""),
CONCATENATE(
"Sebagai seorang top konten kreator dengan niche utama '", 'CONTENT PILLAR MAPPING'!C420, "', spesifik kategori '", 'CONTENT PILLAR MAPPING'!E420, "', dan super spesifik '", 'CONTENT PILLAR MAPPING'!F420, "', yang dikenal sebagai '", 'CONTENT PILLAR MAPPING'!C423, "'.", CHAR(10),
"Saya memiliki Tone of Voice: '", 'CONTENT PILLAR MAPPING'!C428, "', Brand Archetype: '", 'CONTENT PILLAR MAPPING'!D428, "', dan Deskripsi Gaya Komunikasi: '", 'CONTENT PILLAR MAPPING'!E428, "'.", CHAR(10),
"Target audiens saya adalah: '", 'CONTENT PILLAR MAPPING'!D436, "', dengan segmentasi audiens: '", 'CONTENT PILLAR MAPPING'!D437, "'.", CHAR(10), CHAR(10),
"Mohon buatkan script konten yang **sangat powerful, menarik, inovatif, dan siap pakai** dengan judul ide '", B517, "'.", CHAR(10),
"Konten ini memiliki pilar '", C517, "', nilai tambah utama '", F517, "', dan akan menggunakan storytelling framework '", G517, "'.", CHAR(10),
"Gambaran singkat ide kontennya adalah: '", J517, "'.", CHAR(10),
"Konten ini akan diunggah di platform '", E517, "' dengan format '", D517,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MAPPING'!C423, "'.** Sesuaikan dengan gaya komunikasi saya, dengan fokus pada nilai tambah '", F517,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MAPPING'!D436, ", khusus ", 'CONTENT PILLAR MAPPING'!D437, ") dan membantu mereka menyelesaikan masalah atau mencapai tujuan mereka.", CHAR(10),
"✔ Membantuku membangun personal branding yang kuat dan sustainable, sesuai dengan Positioning saya sebagai '", 'CONTENT PILLAR MAPPING'!C423, "' dan Brand Archetype '", 'CONTENT PILLAR MAPPING'!D428, "'.", CHAR(10),
"✔ Kemas dalam bentuk tabel agar rapi, mudah di baca dan dipahami, dengan kolom 'Judul Konten', 'Pilar', 'Format', 'Draft Script', 'CTA', 'Saran Visual', dan 'Full Caption'. (Kosongkan kolom Link Prompt jika ada)."
),
"")</f>
        <v/>
      </c>
      <c r="L517" s="91" t="n"/>
      <c r="M517" s="91" t="n"/>
      <c r="N517" s="102" t="n"/>
      <c r="O517" s="102" t="n"/>
      <c r="P517" s="102" t="n"/>
      <c r="Q517" s="102" t="n"/>
      <c r="R517" s="102" t="n"/>
      <c r="S517" s="102" t="n"/>
      <c r="T517" s="102" t="n"/>
      <c r="U517" s="102" t="n"/>
      <c r="V517" s="102" t="n"/>
      <c r="W517" s="102" t="n"/>
      <c r="X517" s="102" t="n"/>
      <c r="Y517" s="102" t="n"/>
      <c r="Z517" s="102" t="n"/>
      <c r="AA517" s="102" t="n"/>
      <c r="AB517" s="102" t="n"/>
      <c r="AC517" s="102" t="n"/>
      <c r="AD517" s="102" t="n"/>
    </row>
    <row r="518" ht="15.75" customHeight="1" s="205">
      <c r="A518" s="102" t="n"/>
      <c r="B518" s="147" t="n"/>
      <c r="C518" s="144" t="n"/>
      <c r="D518" s="144" t="n"/>
      <c r="E518" s="144" t="n"/>
      <c r="F518" s="144" t="n"/>
      <c r="G518" s="144" t="n"/>
      <c r="H518" s="141">
        <f>IF(K518&lt;&gt;"", HYPERLINK("https://chatgpt.com/?prompt=" &amp; SUBSTITUTE(SUBSTITUTE(K518, " ", "+"), "&amp;", "dan") &amp; "&amp;force-refresh=true&amp;timestamp=" &amp; TEXT(NOW(), "yyyymmddhhmmss"), "👉 Klik untuk Generate Script! 🔥"), "")</f>
        <v/>
      </c>
      <c r="I518" s="144" t="n"/>
      <c r="J518" s="148" t="n"/>
      <c r="K518" s="140">
        <f>IF(AND(B518&lt;&gt;"", C518&lt;&gt;"", D518&lt;&gt;"", E518&lt;&gt;"", F518&lt;&gt;"", G518&lt;&gt;"", J518&lt;&gt;"", 'CONTENT PILLAR MAPPING'!C420&lt;&gt;"", 'CONTENT PILLAR MAPPING'!E420&lt;&gt;"", 'CONTENT PILLAR MAPPING'!F420&lt;&gt;"", 'CONTENT PILLAR MAPPING'!C423&lt;&gt;"", 'CONTENT PILLAR MAPPING'!C428&lt;&gt;"", 'CONTENT PILLAR MAPPING'!D428&lt;&gt;"", 'CONTENT PILLAR MAPPING'!E428&lt;&gt;"", 'CONTENT PILLAR MAPPING'!D436&lt;&gt;"", 'CONTENT PILLAR MAPPING'!D437&lt;&gt;""),
CONCATENATE(
"Sebagai seorang top konten kreator dengan niche utama '", 'CONTENT PILLAR MAPPING'!C420, "', spesifik kategori '", 'CONTENT PILLAR MAPPING'!E420, "', dan super spesifik '", 'CONTENT PILLAR MAPPING'!F420, "', yang dikenal sebagai '", 'CONTENT PILLAR MAPPING'!C423, "'.", CHAR(10),
"Saya memiliki Tone of Voice: '", 'CONTENT PILLAR MAPPING'!C428, "', Brand Archetype: '", 'CONTENT PILLAR MAPPING'!D428, "', dan Deskripsi Gaya Komunikasi: '", 'CONTENT PILLAR MAPPING'!E428, "'.", CHAR(10),
"Target audiens saya adalah: '", 'CONTENT PILLAR MAPPING'!D436, "', dengan segmentasi audiens: '", 'CONTENT PILLAR MAPPING'!D437, "'.", CHAR(10), CHAR(10),
"Mohon buatkan script konten yang **sangat powerful, menarik, inovatif, dan siap pakai** dengan judul ide '", B518, "'.", CHAR(10),
"Konten ini memiliki pilar '", C518, "', nilai tambah utama '", F518, "', dan akan menggunakan storytelling framework '", G518, "'.", CHAR(10),
"Gambaran singkat ide kontennya adalah: '", J518, "'.", CHAR(10),
"Konten ini akan diunggah di platform '", E518, "' dengan format '", D518,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MAPPING'!C423, "'.** Sesuaikan dengan gaya komunikasi saya, dengan fokus pada nilai tambah '", F518,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MAPPING'!D436, ", khusus ", 'CONTENT PILLAR MAPPING'!D437, ") dan membantu mereka menyelesaikan masalah atau mencapai tujuan mereka.", CHAR(10),
"✔ Membantuku membangun personal branding yang kuat dan sustainable, sesuai dengan Positioning saya sebagai '", 'CONTENT PILLAR MAPPING'!C423, "' dan Brand Archetype '", 'CONTENT PILLAR MAPPING'!D428, "'.", CHAR(10),
"✔ Kemas dalam bentuk tabel agar rapi, mudah di baca dan dipahami, dengan kolom 'Judul Konten', 'Pilar', 'Format', 'Draft Script', 'CTA', 'Saran Visual', dan 'Full Caption'. (Kosongkan kolom Link Prompt jika ada)."
),
"")</f>
        <v/>
      </c>
      <c r="L518" s="199" t="n"/>
      <c r="M518" s="199" t="n"/>
      <c r="N518" s="102" t="n"/>
      <c r="O518" s="102" t="n"/>
      <c r="P518" s="102" t="n"/>
      <c r="Q518" s="102" t="n"/>
      <c r="R518" s="102" t="n"/>
      <c r="S518" s="102" t="n"/>
      <c r="T518" s="102" t="n"/>
      <c r="U518" s="102" t="n"/>
      <c r="V518" s="102" t="n"/>
      <c r="W518" s="102" t="n"/>
      <c r="X518" s="102" t="n"/>
      <c r="Y518" s="102" t="n"/>
      <c r="Z518" s="102" t="n"/>
      <c r="AA518" s="102" t="n"/>
      <c r="AB518" s="102" t="n"/>
      <c r="AC518" s="102" t="n"/>
      <c r="AD518" s="102" t="n"/>
    </row>
    <row r="519" ht="15.75" customHeight="1" s="205">
      <c r="A519" s="102" t="n"/>
      <c r="B519" s="142" t="n"/>
      <c r="C519" s="143" t="n"/>
      <c r="D519" s="143" t="n"/>
      <c r="E519" s="143" t="n"/>
      <c r="F519" s="143" t="n"/>
      <c r="G519" s="144" t="n"/>
      <c r="H519" s="145">
        <f>IF(K519&lt;&gt;"", HYPERLINK("https://chatgpt.com/?prompt=" &amp; SUBSTITUTE(SUBSTITUTE(K519, " ", "+"), "&amp;", "dan") &amp; "&amp;force-refresh=true&amp;timestamp=" &amp; TEXT(NOW(), "yyyymmddhhmmss"), "👉 Klik untuk Generate Script! 🔥"), "")</f>
        <v/>
      </c>
      <c r="I519" s="143" t="n"/>
      <c r="J519" s="146" t="n"/>
      <c r="K519" s="130">
        <f>IF(AND(B519&lt;&gt;"", C519&lt;&gt;"", D519&lt;&gt;"", E519&lt;&gt;"", F519&lt;&gt;"", G519&lt;&gt;"", J519&lt;&gt;"", 'CONTENT PILLAR MAPPING'!C422&lt;&gt;"", 'CONTENT PILLAR MAPPING'!E422&lt;&gt;"", 'CONTENT PILLAR MAPPING'!F422&lt;&gt;"", 'CONTENT PILLAR MAPPING'!C425&lt;&gt;"", 'CONTENT PILLAR MAPPING'!C430&lt;&gt;"", 'CONTENT PILLAR MAPPING'!D430&lt;&gt;"", 'CONTENT PILLAR MAPPING'!E430&lt;&gt;"", 'CONTENT PILLAR MAPPING'!D438&lt;&gt;"", 'CONTENT PILLAR MAPPING'!D439&lt;&gt;""),
CONCATENATE(
"Sebagai seorang top konten kreator dengan niche utama '", 'CONTENT PILLAR MAPPING'!C422, "', spesifik kategori '", 'CONTENT PILLAR MAPPING'!E422, "', dan super spesifik '", 'CONTENT PILLAR MAPPING'!F422, "', yang dikenal sebagai '", 'CONTENT PILLAR MAPPING'!C425, "'.", CHAR(10),
"Saya memiliki Tone of Voice: '", 'CONTENT PILLAR MAPPING'!C430, "', Brand Archetype: '", 'CONTENT PILLAR MAPPING'!D430, "', dan Deskripsi Gaya Komunikasi: '", 'CONTENT PILLAR MAPPING'!E430, "'.", CHAR(10),
"Target audiens saya adalah: '", 'CONTENT PILLAR MAPPING'!D438, "', dengan segmentasi audiens: '", 'CONTENT PILLAR MAPPING'!D439, "'.", CHAR(10), CHAR(10),
"Mohon buatkan script konten yang **sangat powerful, menarik, inovatif, dan siap pakai** dengan judul ide '", B519, "'.", CHAR(10),
"Konten ini memiliki pilar '", C519, "', nilai tambah utama '", F519, "', dan akan menggunakan storytelling framework '", G519, "'.", CHAR(10),
"Gambaran singkat ide kontennya adalah: '", J519, "'.", CHAR(10),
"Konten ini akan diunggah di platform '", E519, "' dengan format '", D519,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MAPPING'!C425, "'.** Sesuaikan dengan gaya komunikasi saya, dengan fokus pada nilai tambah '", F519,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MAPPING'!D438, ", khusus ", 'CONTENT PILLAR MAPPING'!D439, ") dan membantu mereka menyelesaikan masalah atau mencapai tujuan mereka.", CHAR(10),
"✔ Membantuku membangun personal branding yang kuat dan sustainable, sesuai dengan Positioning saya sebagai '", 'CONTENT PILLAR MAPPING'!C425, "' dan Brand Archetype '", 'CONTENT PILLAR MAPPING'!D430, "'.", CHAR(10),
"✔ Kemas dalam bentuk tabel agar rapi, mudah di baca dan dipahami, dengan kolom 'Judul Konten', 'Pilar', 'Format', 'Draft Script', 'CTA', 'Saran Visual', dan 'Full Caption'. (Kosongkan kolom Link Prompt jika ada)."
),
"")</f>
        <v/>
      </c>
      <c r="L519" s="91" t="n"/>
      <c r="M519" s="91" t="n"/>
      <c r="N519" s="102" t="n"/>
      <c r="O519" s="102" t="n"/>
      <c r="P519" s="102" t="n"/>
      <c r="Q519" s="102" t="n"/>
      <c r="R519" s="102" t="n"/>
      <c r="S519" s="102" t="n"/>
      <c r="T519" s="102" t="n"/>
      <c r="U519" s="102" t="n"/>
      <c r="V519" s="102" t="n"/>
      <c r="W519" s="102" t="n"/>
      <c r="X519" s="102" t="n"/>
      <c r="Y519" s="102" t="n"/>
      <c r="Z519" s="102" t="n"/>
      <c r="AA519" s="102" t="n"/>
      <c r="AB519" s="102" t="n"/>
      <c r="AC519" s="102" t="n"/>
      <c r="AD519" s="102" t="n"/>
    </row>
    <row r="520" ht="15.75" customHeight="1" s="205">
      <c r="A520" s="102" t="n"/>
      <c r="B520" s="147" t="n"/>
      <c r="C520" s="144" t="n"/>
      <c r="D520" s="144" t="n"/>
      <c r="E520" s="144" t="n"/>
      <c r="F520" s="144" t="n"/>
      <c r="G520" s="144" t="n"/>
      <c r="H520" s="141">
        <f>IF(K520&lt;&gt;"", HYPERLINK("https://chatgpt.com/?prompt=" &amp; SUBSTITUTE(SUBSTITUTE(K520, " ", "+"), "&amp;", "dan") &amp; "&amp;force-refresh=true&amp;timestamp=" &amp; TEXT(NOW(), "yyyymmddhhmmss"), "👉 Klik untuk Generate Script! 🔥"), "")</f>
        <v/>
      </c>
      <c r="I520" s="144" t="n"/>
      <c r="J520" s="148" t="n"/>
      <c r="K520" s="140">
        <f>IF(AND(B520&lt;&gt;"", C520&lt;&gt;"", D520&lt;&gt;"", E520&lt;&gt;"", F520&lt;&gt;"", G520&lt;&gt;"", J520&lt;&gt;"", 'CONTENT PILLAR MAPPING'!C422&lt;&gt;"", 'CONTENT PILLAR MAPPING'!E422&lt;&gt;"", 'CONTENT PILLAR MAPPING'!F422&lt;&gt;"", 'CONTENT PILLAR MAPPING'!C425&lt;&gt;"", 'CONTENT PILLAR MAPPING'!C430&lt;&gt;"", 'CONTENT PILLAR MAPPING'!D430&lt;&gt;"", 'CONTENT PILLAR MAPPING'!E430&lt;&gt;"", 'CONTENT PILLAR MAPPING'!D438&lt;&gt;"", 'CONTENT PILLAR MAPPING'!D439&lt;&gt;""),
CONCATENATE(
"Sebagai seorang top konten kreator dengan niche utama '", 'CONTENT PILLAR MAPPING'!C422, "', spesifik kategori '", 'CONTENT PILLAR MAPPING'!E422, "', dan super spesifik '", 'CONTENT PILLAR MAPPING'!F422, "', yang dikenal sebagai '", 'CONTENT PILLAR MAPPING'!C425, "'.", CHAR(10),
"Saya memiliki Tone of Voice: '", 'CONTENT PILLAR MAPPING'!C430, "', Brand Archetype: '", 'CONTENT PILLAR MAPPING'!D430, "', dan Deskripsi Gaya Komunikasi: '", 'CONTENT PILLAR MAPPING'!E430, "'.", CHAR(10),
"Target audiens saya adalah: '", 'CONTENT PILLAR MAPPING'!D438, "', dengan segmentasi audiens: '", 'CONTENT PILLAR MAPPING'!D439, "'.", CHAR(10), CHAR(10),
"Mohon buatkan script konten yang **sangat powerful, menarik, inovatif, dan siap pakai** dengan judul ide '", B520, "'.", CHAR(10),
"Konten ini memiliki pilar '", C520, "', nilai tambah utama '", F520, "', dan akan menggunakan storytelling framework '", G520, "'.", CHAR(10),
"Gambaran singkat ide kontennya adalah: '", J520, "'.", CHAR(10),
"Konten ini akan diunggah di platform '", E520, "' dengan format '", D520,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MAPPING'!C425, "'.** Sesuaikan dengan gaya komunikasi saya, dengan fokus pada nilai tambah '", F520,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MAPPING'!D438, ", khusus ", 'CONTENT PILLAR MAPPING'!D439, ") dan membantu mereka menyelesaikan masalah atau mencapai tujuan mereka.", CHAR(10),
"✔ Membantuku membangun personal branding yang kuat dan sustainable, sesuai dengan Positioning saya sebagai '", 'CONTENT PILLAR MAPPING'!C425, "' dan Brand Archetype '", 'CONTENT PILLAR MAPPING'!D430, "'.", CHAR(10),
"✔ Kemas dalam bentuk tabel agar rapi, mudah di baca dan dipahami, dengan kolom 'Judul Konten', 'Pilar', 'Format', 'Draft Script', 'CTA', 'Saran Visual', dan 'Full Caption'. (Kosongkan kolom Link Prompt jika ada)."
),
"")</f>
        <v/>
      </c>
      <c r="L520" s="199" t="n"/>
      <c r="M520" s="199" t="n"/>
      <c r="N520" s="102" t="n"/>
      <c r="O520" s="102" t="n"/>
      <c r="P520" s="102" t="n"/>
      <c r="Q520" s="102" t="n"/>
      <c r="R520" s="102" t="n"/>
      <c r="S520" s="102" t="n"/>
      <c r="T520" s="102" t="n"/>
      <c r="U520" s="102" t="n"/>
      <c r="V520" s="102" t="n"/>
      <c r="W520" s="102" t="n"/>
      <c r="X520" s="102" t="n"/>
      <c r="Y520" s="102" t="n"/>
      <c r="Z520" s="102" t="n"/>
      <c r="AA520" s="102" t="n"/>
      <c r="AB520" s="102" t="n"/>
      <c r="AC520" s="102" t="n"/>
      <c r="AD520" s="102" t="n"/>
    </row>
    <row r="521" ht="15.75" customHeight="1" s="205">
      <c r="A521" s="102" t="n"/>
      <c r="B521" s="142" t="n"/>
      <c r="C521" s="143" t="n"/>
      <c r="D521" s="143" t="n"/>
      <c r="E521" s="143" t="n"/>
      <c r="F521" s="143" t="n"/>
      <c r="G521" s="144" t="n"/>
      <c r="H521" s="145">
        <f>IF(K521&lt;&gt;"", HYPERLINK("https://chatgpt.com/?prompt=" &amp; SUBSTITUTE(SUBSTITUTE(K521, " ", "+"), "&amp;", "dan") &amp; "&amp;force-refresh=true&amp;timestamp=" &amp; TEXT(NOW(), "yyyymmddhhmmss"), "👉 Klik untuk Generate Script! 🔥"), "")</f>
        <v/>
      </c>
      <c r="I521" s="143" t="n"/>
      <c r="J521" s="146" t="n"/>
      <c r="K521" s="130">
        <f>IF(AND(B521&lt;&gt;"", C521&lt;&gt;"", D521&lt;&gt;"", E521&lt;&gt;"", F521&lt;&gt;"", G521&lt;&gt;"", J521&lt;&gt;"", 'CONTENT PILLAR MAPPING'!C424&lt;&gt;"", 'CONTENT PILLAR MAPPING'!E424&lt;&gt;"", 'CONTENT PILLAR MAPPING'!F424&lt;&gt;"", 'CONTENT PILLAR MAPPING'!C427&lt;&gt;"", 'CONTENT PILLAR MAPPING'!C432&lt;&gt;"", 'CONTENT PILLAR MAPPING'!D432&lt;&gt;"", 'CONTENT PILLAR MAPPING'!E432&lt;&gt;"", 'CONTENT PILLAR MAPPING'!D440&lt;&gt;"", 'CONTENT PILLAR MAPPING'!D441&lt;&gt;""),
CONCATENATE(
"Sebagai seorang top konten kreator dengan niche utama '", 'CONTENT PILLAR MAPPING'!C424, "', spesifik kategori '", 'CONTENT PILLAR MAPPING'!E424, "', dan super spesifik '", 'CONTENT PILLAR MAPPING'!F424, "', yang dikenal sebagai '", 'CONTENT PILLAR MAPPING'!C427, "'.", CHAR(10),
"Saya memiliki Tone of Voice: '", 'CONTENT PILLAR MAPPING'!C432, "', Brand Archetype: '", 'CONTENT PILLAR MAPPING'!D432, "', dan Deskripsi Gaya Komunikasi: '", 'CONTENT PILLAR MAPPING'!E432, "'.", CHAR(10),
"Target audiens saya adalah: '", 'CONTENT PILLAR MAPPING'!D440, "', dengan segmentasi audiens: '", 'CONTENT PILLAR MAPPING'!D441, "'.", CHAR(10), CHAR(10),
"Mohon buatkan script konten yang **sangat powerful, menarik, inovatif, dan siap pakai** dengan judul ide '", B521, "'.", CHAR(10),
"Konten ini memiliki pilar '", C521, "', nilai tambah utama '", F521, "', dan akan menggunakan storytelling framework '", G521, "'.", CHAR(10),
"Gambaran singkat ide kontennya adalah: '", J521, "'.", CHAR(10),
"Konten ini akan diunggah di platform '", E521, "' dengan format '", D521,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MAPPING'!C427, "'.** Sesuaikan dengan gaya komunikasi saya, dengan fokus pada nilai tambah '", F521,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MAPPING'!D440, ", khusus ", 'CONTENT PILLAR MAPPING'!D441, ") dan membantu mereka menyelesaikan masalah atau mencapai tujuan mereka.", CHAR(10),
"✔ Membantuku membangun personal branding yang kuat dan sustainable, sesuai dengan Positioning saya sebagai '", 'CONTENT PILLAR MAPPING'!C427, "' dan Brand Archetype '", 'CONTENT PILLAR MAPPING'!D432, "'.", CHAR(10),
"✔ Kemas dalam bentuk tabel agar rapi, mudah di baca dan dipahami, dengan kolom 'Judul Konten', 'Pilar', 'Format', 'Draft Script', 'CTA', 'Saran Visual', dan 'Full Caption'. (Kosongkan kolom Link Prompt jika ada)."
),
"")</f>
        <v/>
      </c>
      <c r="L521" s="91" t="n"/>
      <c r="M521" s="91" t="n"/>
      <c r="N521" s="102" t="n"/>
      <c r="O521" s="102" t="n"/>
      <c r="P521" s="102" t="n"/>
      <c r="Q521" s="102" t="n"/>
      <c r="R521" s="102" t="n"/>
      <c r="S521" s="102" t="n"/>
      <c r="T521" s="102" t="n"/>
      <c r="U521" s="102" t="n"/>
      <c r="V521" s="102" t="n"/>
      <c r="W521" s="102" t="n"/>
      <c r="X521" s="102" t="n"/>
      <c r="Y521" s="102" t="n"/>
      <c r="Z521" s="102" t="n"/>
      <c r="AA521" s="102" t="n"/>
      <c r="AB521" s="102" t="n"/>
      <c r="AC521" s="102" t="n"/>
      <c r="AD521" s="102" t="n"/>
    </row>
    <row r="522" ht="15.75" customHeight="1" s="205">
      <c r="A522" s="102" t="n"/>
      <c r="B522" s="147" t="n"/>
      <c r="C522" s="144" t="n"/>
      <c r="D522" s="144" t="n"/>
      <c r="E522" s="144" t="n"/>
      <c r="F522" s="144" t="n"/>
      <c r="G522" s="144" t="n"/>
      <c r="H522" s="141">
        <f>IF(K522&lt;&gt;"", HYPERLINK("https://chatgpt.com/?prompt=" &amp; SUBSTITUTE(SUBSTITUTE(K522, " ", "+"), "&amp;", "dan") &amp; "&amp;force-refresh=true&amp;timestamp=" &amp; TEXT(NOW(), "yyyymmddhhmmss"), "👉 Klik untuk Generate Script! 🔥"), "")</f>
        <v/>
      </c>
      <c r="I522" s="144" t="n"/>
      <c r="J522" s="148" t="n"/>
      <c r="K522" s="140">
        <f>IF(AND(B522&lt;&gt;"", C522&lt;&gt;"", D522&lt;&gt;"", E522&lt;&gt;"", F522&lt;&gt;"", G522&lt;&gt;"", J522&lt;&gt;"", 'CONTENT PILLAR MAPPING'!C424&lt;&gt;"", 'CONTENT PILLAR MAPPING'!E424&lt;&gt;"", 'CONTENT PILLAR MAPPING'!F424&lt;&gt;"", 'CONTENT PILLAR MAPPING'!C427&lt;&gt;"", 'CONTENT PILLAR MAPPING'!C432&lt;&gt;"", 'CONTENT PILLAR MAPPING'!D432&lt;&gt;"", 'CONTENT PILLAR MAPPING'!E432&lt;&gt;"", 'CONTENT PILLAR MAPPING'!D440&lt;&gt;"", 'CONTENT PILLAR MAPPING'!D441&lt;&gt;""),
CONCATENATE(
"Sebagai seorang top konten kreator dengan niche utama '", 'CONTENT PILLAR MAPPING'!C424, "', spesifik kategori '", 'CONTENT PILLAR MAPPING'!E424, "', dan super spesifik '", 'CONTENT PILLAR MAPPING'!F424, "', yang dikenal sebagai '", 'CONTENT PILLAR MAPPING'!C427, "'.", CHAR(10),
"Saya memiliki Tone of Voice: '", 'CONTENT PILLAR MAPPING'!C432, "', Brand Archetype: '", 'CONTENT PILLAR MAPPING'!D432, "', dan Deskripsi Gaya Komunikasi: '", 'CONTENT PILLAR MAPPING'!E432, "'.", CHAR(10),
"Target audiens saya adalah: '", 'CONTENT PILLAR MAPPING'!D440, "', dengan segmentasi audiens: '", 'CONTENT PILLAR MAPPING'!D441, "'.", CHAR(10), CHAR(10),
"Mohon buatkan script konten yang **sangat powerful, menarik, inovatif, dan siap pakai** dengan judul ide '", B522, "'.", CHAR(10),
"Konten ini memiliki pilar '", C522, "', nilai tambah utama '", F522, "', dan akan menggunakan storytelling framework '", G522, "'.", CHAR(10),
"Gambaran singkat ide kontennya adalah: '", J522, "'.", CHAR(10),
"Konten ini akan diunggah di platform '", E522, "' dengan format '", D522,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MAPPING'!C427, "'.** Sesuaikan dengan gaya komunikasi saya, dengan fokus pada nilai tambah '", F522,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MAPPING'!D440, ", khusus ", 'CONTENT PILLAR MAPPING'!D441, ") dan membantu mereka menyelesaikan masalah atau mencapai tujuan mereka.", CHAR(10),
"✔ Membantuku membangun personal branding yang kuat dan sustainable, sesuai dengan Positioning saya sebagai '", 'CONTENT PILLAR MAPPING'!C427, "' dan Brand Archetype '", 'CONTENT PILLAR MAPPING'!D432, "'.", CHAR(10),
"✔ Kemas dalam bentuk tabel agar rapi, mudah di baca dan dipahami, dengan kolom 'Judul Konten', 'Pilar', 'Format', 'Draft Script', 'CTA', 'Saran Visual', dan 'Full Caption'. (Kosongkan kolom Link Prompt jika ada)."
),
"")</f>
        <v/>
      </c>
      <c r="L522" s="199" t="n"/>
      <c r="M522" s="199" t="n"/>
      <c r="N522" s="102" t="n"/>
      <c r="O522" s="102" t="n"/>
      <c r="P522" s="102" t="n"/>
      <c r="Q522" s="102" t="n"/>
      <c r="R522" s="102" t="n"/>
      <c r="S522" s="102" t="n"/>
      <c r="T522" s="102" t="n"/>
      <c r="U522" s="102" t="n"/>
      <c r="V522" s="102" t="n"/>
      <c r="W522" s="102" t="n"/>
      <c r="X522" s="102" t="n"/>
      <c r="Y522" s="102" t="n"/>
      <c r="Z522" s="102" t="n"/>
      <c r="AA522" s="102" t="n"/>
      <c r="AB522" s="102" t="n"/>
      <c r="AC522" s="102" t="n"/>
      <c r="AD522" s="102" t="n"/>
    </row>
    <row r="523" ht="15.75" customHeight="1" s="205">
      <c r="A523" s="102" t="n"/>
      <c r="B523" s="142" t="n"/>
      <c r="C523" s="143" t="n"/>
      <c r="D523" s="143" t="n"/>
      <c r="E523" s="143" t="n"/>
      <c r="F523" s="143" t="n"/>
      <c r="G523" s="144" t="n"/>
      <c r="H523" s="145">
        <f>IF(K523&lt;&gt;"", HYPERLINK("https://chatgpt.com/?prompt=" &amp; SUBSTITUTE(SUBSTITUTE(K523, " ", "+"), "&amp;", "dan") &amp; "&amp;force-refresh=true&amp;timestamp=" &amp; TEXT(NOW(), "yyyymmddhhmmss"), "👉 Klik untuk Generate Script! 🔥"), "")</f>
        <v/>
      </c>
      <c r="I523" s="143" t="n"/>
      <c r="J523" s="146" t="n"/>
      <c r="K523" s="130">
        <f>IF(AND(B523&lt;&gt;"", C523&lt;&gt;"", D523&lt;&gt;"", E523&lt;&gt;"", F523&lt;&gt;"", G523&lt;&gt;"", J523&lt;&gt;"", 'CONTENT PILLAR MAPPING'!C426&lt;&gt;"", 'CONTENT PILLAR MAPPING'!E426&lt;&gt;"", 'CONTENT PILLAR MAPPING'!F426&lt;&gt;"", 'CONTENT PILLAR MAPPING'!C429&lt;&gt;"", 'CONTENT PILLAR MAPPING'!C434&lt;&gt;"", 'CONTENT PILLAR MAPPING'!D434&lt;&gt;"", 'CONTENT PILLAR MAPPING'!E434&lt;&gt;"", 'CONTENT PILLAR MAPPING'!D442&lt;&gt;"", 'CONTENT PILLAR MAPPING'!D443&lt;&gt;""),
CONCATENATE(
"Sebagai seorang top konten kreator dengan niche utama '", 'CONTENT PILLAR MAPPING'!C426, "', spesifik kategori '", 'CONTENT PILLAR MAPPING'!E426, "', dan super spesifik '", 'CONTENT PILLAR MAPPING'!F426, "', yang dikenal sebagai '", 'CONTENT PILLAR MAPPING'!C429, "'.", CHAR(10),
"Saya memiliki Tone of Voice: '", 'CONTENT PILLAR MAPPING'!C434, "', Brand Archetype: '", 'CONTENT PILLAR MAPPING'!D434, "', dan Deskripsi Gaya Komunikasi: '", 'CONTENT PILLAR MAPPING'!E434, "'.", CHAR(10),
"Target audiens saya adalah: '", 'CONTENT PILLAR MAPPING'!D442, "', dengan segmentasi audiens: '", 'CONTENT PILLAR MAPPING'!D443, "'.", CHAR(10), CHAR(10),
"Mohon buatkan script konten yang **sangat powerful, menarik, inovatif, dan siap pakai** dengan judul ide '", B523, "'.", CHAR(10),
"Konten ini memiliki pilar '", C523, "', nilai tambah utama '", F523, "', dan akan menggunakan storytelling framework '", G523, "'.", CHAR(10),
"Gambaran singkat ide kontennya adalah: '", J523, "'.", CHAR(10),
"Konten ini akan diunggah di platform '", E523, "' dengan format '", D523,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MAPPING'!C429, "'.** Sesuaikan dengan gaya komunikasi saya, dengan fokus pada nilai tambah '", F523,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MAPPING'!D442, ", khusus ", 'CONTENT PILLAR MAPPING'!D443, ") dan membantu mereka menyelesaikan masalah atau mencapai tujuan mereka.", CHAR(10),
"✔ Membantuku membangun personal branding yang kuat dan sustainable, sesuai dengan Positioning saya sebagai '", 'CONTENT PILLAR MAPPING'!C429, "' dan Brand Archetype '", 'CONTENT PILLAR MAPPING'!D434, "'.", CHAR(10),
"✔ Kemas dalam bentuk tabel agar rapi, mudah di baca dan dipahami, dengan kolom 'Judul Konten', 'Pilar', 'Format', 'Draft Script', 'CTA', 'Saran Visual', dan 'Full Caption'. (Kosongkan kolom Link Prompt jika ada)."
),
"")</f>
        <v/>
      </c>
      <c r="L523" s="91" t="n"/>
      <c r="M523" s="91" t="n"/>
      <c r="N523" s="102" t="n"/>
      <c r="O523" s="102" t="n"/>
      <c r="P523" s="102" t="n"/>
      <c r="Q523" s="102" t="n"/>
      <c r="R523" s="102" t="n"/>
      <c r="S523" s="102" t="n"/>
      <c r="T523" s="102" t="n"/>
      <c r="U523" s="102" t="n"/>
      <c r="V523" s="102" t="n"/>
      <c r="W523" s="102" t="n"/>
      <c r="X523" s="102" t="n"/>
      <c r="Y523" s="102" t="n"/>
      <c r="Z523" s="102" t="n"/>
      <c r="AA523" s="102" t="n"/>
      <c r="AB523" s="102" t="n"/>
      <c r="AC523" s="102" t="n"/>
      <c r="AD523" s="102" t="n"/>
    </row>
    <row r="524" ht="15.75" customHeight="1" s="205">
      <c r="A524" s="102" t="n"/>
      <c r="B524" s="147" t="n"/>
      <c r="C524" s="144" t="n"/>
      <c r="D524" s="144" t="n"/>
      <c r="E524" s="144" t="n"/>
      <c r="F524" s="144" t="n"/>
      <c r="G524" s="144" t="n"/>
      <c r="H524" s="141">
        <f>IF(K524&lt;&gt;"", HYPERLINK("https://chatgpt.com/?prompt=" &amp; SUBSTITUTE(SUBSTITUTE(K524, " ", "+"), "&amp;", "dan") &amp; "&amp;force-refresh=true&amp;timestamp=" &amp; TEXT(NOW(), "yyyymmddhhmmss"), "👉 Klik untuk Generate Script! 🔥"), "")</f>
        <v/>
      </c>
      <c r="I524" s="144" t="n"/>
      <c r="J524" s="148" t="n"/>
      <c r="K524" s="140">
        <f>IF(AND(B524&lt;&gt;"", C524&lt;&gt;"", D524&lt;&gt;"", E524&lt;&gt;"", F524&lt;&gt;"", G524&lt;&gt;"", J524&lt;&gt;"", 'CONTENT PILLAR MAPPING'!C426&lt;&gt;"", 'CONTENT PILLAR MAPPING'!E426&lt;&gt;"", 'CONTENT PILLAR MAPPING'!F426&lt;&gt;"", 'CONTENT PILLAR MAPPING'!C429&lt;&gt;"", 'CONTENT PILLAR MAPPING'!C434&lt;&gt;"", 'CONTENT PILLAR MAPPING'!D434&lt;&gt;"", 'CONTENT PILLAR MAPPING'!E434&lt;&gt;"", 'CONTENT PILLAR MAPPING'!D442&lt;&gt;"", 'CONTENT PILLAR MAPPING'!D443&lt;&gt;""),
CONCATENATE(
"Sebagai seorang top konten kreator dengan niche utama '", 'CONTENT PILLAR MAPPING'!C426, "', spesifik kategori '", 'CONTENT PILLAR MAPPING'!E426, "', dan super spesifik '", 'CONTENT PILLAR MAPPING'!F426, "', yang dikenal sebagai '", 'CONTENT PILLAR MAPPING'!C429, "'.", CHAR(10),
"Saya memiliki Tone of Voice: '", 'CONTENT PILLAR MAPPING'!C434, "', Brand Archetype: '", 'CONTENT PILLAR MAPPING'!D434, "', dan Deskripsi Gaya Komunikasi: '", 'CONTENT PILLAR MAPPING'!E434, "'.", CHAR(10),
"Target audiens saya adalah: '", 'CONTENT PILLAR MAPPING'!D442, "', dengan segmentasi audiens: '", 'CONTENT PILLAR MAPPING'!D443, "'.", CHAR(10), CHAR(10),
"Mohon buatkan script konten yang **sangat powerful, menarik, inovatif, dan siap pakai** dengan judul ide '", B524, "'.", CHAR(10),
"Konten ini memiliki pilar '", C524, "', nilai tambah utama '", F524, "', dan akan menggunakan storytelling framework '", G524, "'.", CHAR(10),
"Gambaran singkat ide kontennya adalah: '", J524, "'.", CHAR(10),
"Konten ini akan diunggah di platform '", E524, "' dengan format '", D524,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MAPPING'!C429, "'.** Sesuaikan dengan gaya komunikasi saya, dengan fokus pada nilai tambah '", F524,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MAPPING'!D442, ", khusus ", 'CONTENT PILLAR MAPPING'!D443, ") dan membantu mereka menyelesaikan masalah atau mencapai tujuan mereka.", CHAR(10),
"✔ Membantuku membangun personal branding yang kuat dan sustainable, sesuai dengan Positioning saya sebagai '", 'CONTENT PILLAR MAPPING'!C429, "' dan Brand Archetype '", 'CONTENT PILLAR MAPPING'!D434, "'.", CHAR(10),
"✔ Kemas dalam bentuk tabel agar rapi, mudah di baca dan dipahami, dengan kolom 'Judul Konten', 'Pilar', 'Format', 'Draft Script', 'CTA', 'Saran Visual', dan 'Full Caption'. (Kosongkan kolom Link Prompt jika ada)."
),
"")</f>
        <v/>
      </c>
      <c r="L524" s="199" t="n"/>
      <c r="M524" s="199" t="n"/>
      <c r="N524" s="102" t="n"/>
      <c r="O524" s="102" t="n"/>
      <c r="P524" s="102" t="n"/>
      <c r="Q524" s="102" t="n"/>
      <c r="R524" s="102" t="n"/>
      <c r="S524" s="102" t="n"/>
      <c r="T524" s="102" t="n"/>
      <c r="U524" s="102" t="n"/>
      <c r="V524" s="102" t="n"/>
      <c r="W524" s="102" t="n"/>
      <c r="X524" s="102" t="n"/>
      <c r="Y524" s="102" t="n"/>
      <c r="Z524" s="102" t="n"/>
      <c r="AA524" s="102" t="n"/>
      <c r="AB524" s="102" t="n"/>
      <c r="AC524" s="102" t="n"/>
      <c r="AD524" s="102" t="n"/>
    </row>
    <row r="525" ht="15.75" customHeight="1" s="205">
      <c r="A525" s="102" t="n"/>
      <c r="B525" s="142" t="n"/>
      <c r="C525" s="143" t="n"/>
      <c r="D525" s="143" t="n"/>
      <c r="E525" s="143" t="n"/>
      <c r="F525" s="143" t="n"/>
      <c r="G525" s="144" t="n"/>
      <c r="H525" s="145">
        <f>IF(K525&lt;&gt;"", HYPERLINK("https://chatgpt.com/?prompt=" &amp; SUBSTITUTE(SUBSTITUTE(K525, " ", "+"), "&amp;", "dan") &amp; "&amp;force-refresh=true&amp;timestamp=" &amp; TEXT(NOW(), "yyyymmddhhmmss"), "👉 Klik untuk Generate Script! 🔥"), "")</f>
        <v/>
      </c>
      <c r="I525" s="143" t="n"/>
      <c r="J525" s="146" t="n"/>
      <c r="K525" s="130">
        <f>IF(AND(B525&lt;&gt;"", C525&lt;&gt;"", D525&lt;&gt;"", E525&lt;&gt;"", F525&lt;&gt;"", G525&lt;&gt;"", J525&lt;&gt;"", 'CONTENT PILLAR MAPPING'!C428&lt;&gt;"", 'CONTENT PILLAR MAPPING'!E428&lt;&gt;"", 'CONTENT PILLAR MAPPING'!F428&lt;&gt;"", 'CONTENT PILLAR MAPPING'!C431&lt;&gt;"", 'CONTENT PILLAR MAPPING'!C436&lt;&gt;"", 'CONTENT PILLAR MAPPING'!D436&lt;&gt;"", 'CONTENT PILLAR MAPPING'!E436&lt;&gt;"", 'CONTENT PILLAR MAPPING'!D444&lt;&gt;"", 'CONTENT PILLAR MAPPING'!D445&lt;&gt;""),
CONCATENATE(
"Sebagai seorang top konten kreator dengan niche utama '", 'CONTENT PILLAR MAPPING'!C428, "', spesifik kategori '", 'CONTENT PILLAR MAPPING'!E428, "', dan super spesifik '", 'CONTENT PILLAR MAPPING'!F428, "', yang dikenal sebagai '", 'CONTENT PILLAR MAPPING'!C431, "'.", CHAR(10),
"Saya memiliki Tone of Voice: '", 'CONTENT PILLAR MAPPING'!C436, "', Brand Archetype: '", 'CONTENT PILLAR MAPPING'!D436, "', dan Deskripsi Gaya Komunikasi: '", 'CONTENT PILLAR MAPPING'!E436, "'.", CHAR(10),
"Target audiens saya adalah: '", 'CONTENT PILLAR MAPPING'!D444, "', dengan segmentasi audiens: '", 'CONTENT PILLAR MAPPING'!D445, "'.", CHAR(10), CHAR(10),
"Mohon buatkan script konten yang **sangat powerful, menarik, inovatif, dan siap pakai** dengan judul ide '", B525, "'.", CHAR(10),
"Konten ini memiliki pilar '", C525, "', nilai tambah utama '", F525, "', dan akan menggunakan storytelling framework '", G525, "'.", CHAR(10),
"Gambaran singkat ide kontennya adalah: '", J525, "'.", CHAR(10),
"Konten ini akan diunggah di platform '", E525, "' dengan format '", D525,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MAPPING'!C431, "'.** Sesuaikan dengan gaya komunikasi saya, dengan fokus pada nilai tambah '", F525,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MAPPING'!D444, ", khusus ", 'CONTENT PILLAR MAPPING'!D445, ") dan membantu mereka menyelesaikan masalah atau mencapai tujuan mereka.", CHAR(10),
"✔ Membantuku membangun personal branding yang kuat dan sustainable, sesuai dengan Positioning saya sebagai '", 'CONTENT PILLAR MAPPING'!C431, "' dan Brand Archetype '", 'CONTENT PILLAR MAPPING'!D436, "'.", CHAR(10),
"✔ Kemas dalam bentuk tabel agar rapi, mudah di baca dan dipahami, dengan kolom 'Judul Konten', 'Pilar', 'Format', 'Draft Script', 'CTA', 'Saran Visual', dan 'Full Caption'. (Kosongkan kolom Link Prompt jika ada)."
),
"")</f>
        <v/>
      </c>
      <c r="L525" s="91" t="n"/>
      <c r="M525" s="91" t="n"/>
      <c r="N525" s="102" t="n"/>
      <c r="O525" s="102" t="n"/>
      <c r="P525" s="102" t="n"/>
      <c r="Q525" s="102" t="n"/>
      <c r="R525" s="102" t="n"/>
      <c r="S525" s="102" t="n"/>
      <c r="T525" s="102" t="n"/>
      <c r="U525" s="102" t="n"/>
      <c r="V525" s="102" t="n"/>
      <c r="W525" s="102" t="n"/>
      <c r="X525" s="102" t="n"/>
      <c r="Y525" s="102" t="n"/>
      <c r="Z525" s="102" t="n"/>
      <c r="AA525" s="102" t="n"/>
      <c r="AB525" s="102" t="n"/>
      <c r="AC525" s="102" t="n"/>
      <c r="AD525" s="102" t="n"/>
    </row>
    <row r="526" ht="15.75" customHeight="1" s="205">
      <c r="A526" s="102" t="n"/>
      <c r="B526" s="147" t="n"/>
      <c r="C526" s="144" t="n"/>
      <c r="D526" s="144" t="n"/>
      <c r="E526" s="144" t="n"/>
      <c r="F526" s="144" t="n"/>
      <c r="G526" s="144" t="n"/>
      <c r="H526" s="141">
        <f>IF(K526&lt;&gt;"", HYPERLINK("https://chatgpt.com/?prompt=" &amp; SUBSTITUTE(SUBSTITUTE(K526, " ", "+"), "&amp;", "dan") &amp; "&amp;force-refresh=true&amp;timestamp=" &amp; TEXT(NOW(), "yyyymmddhhmmss"), "👉 Klik untuk Generate Script! 🔥"), "")</f>
        <v/>
      </c>
      <c r="I526" s="144" t="n"/>
      <c r="J526" s="148" t="n"/>
      <c r="K526" s="140">
        <f>IF(AND(B526&lt;&gt;"", C526&lt;&gt;"", D526&lt;&gt;"", E526&lt;&gt;"", F526&lt;&gt;"", G526&lt;&gt;"", J526&lt;&gt;"", 'CONTENT PILLAR MAPPING'!C428&lt;&gt;"", 'CONTENT PILLAR MAPPING'!E428&lt;&gt;"", 'CONTENT PILLAR MAPPING'!F428&lt;&gt;"", 'CONTENT PILLAR MAPPING'!C431&lt;&gt;"", 'CONTENT PILLAR MAPPING'!C436&lt;&gt;"", 'CONTENT PILLAR MAPPING'!D436&lt;&gt;"", 'CONTENT PILLAR MAPPING'!E436&lt;&gt;"", 'CONTENT PILLAR MAPPING'!D444&lt;&gt;"", 'CONTENT PILLAR MAPPING'!D445&lt;&gt;""),
CONCATENATE(
"Sebagai seorang top konten kreator dengan niche utama '", 'CONTENT PILLAR MAPPING'!C428, "', spesifik kategori '", 'CONTENT PILLAR MAPPING'!E428, "', dan super spesifik '", 'CONTENT PILLAR MAPPING'!F428, "', yang dikenal sebagai '", 'CONTENT PILLAR MAPPING'!C431, "'.", CHAR(10),
"Saya memiliki Tone of Voice: '", 'CONTENT PILLAR MAPPING'!C436, "', Brand Archetype: '", 'CONTENT PILLAR MAPPING'!D436, "', dan Deskripsi Gaya Komunikasi: '", 'CONTENT PILLAR MAPPING'!E436, "'.", CHAR(10),
"Target audiens saya adalah: '", 'CONTENT PILLAR MAPPING'!D444, "', dengan segmentasi audiens: '", 'CONTENT PILLAR MAPPING'!D445, "'.", CHAR(10), CHAR(10),
"Mohon buatkan script konten yang **sangat powerful, menarik, inovatif, dan siap pakai** dengan judul ide '", B526, "'.", CHAR(10),
"Konten ini memiliki pilar '", C526, "', nilai tambah utama '", F526, "', dan akan menggunakan storytelling framework '", G526, "'.", CHAR(10),
"Gambaran singkat ide kontennya adalah: '", J526, "'.", CHAR(10),
"Konten ini akan diunggah di platform '", E526, "' dengan format '", D526,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MAPPING'!C431, "'.** Sesuaikan dengan gaya komunikasi saya, dengan fokus pada nilai tambah '", F526,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MAPPING'!D444, ", khusus ", 'CONTENT PILLAR MAPPING'!D445, ") dan membantu mereka menyelesaikan masalah atau mencapai tujuan mereka.", CHAR(10),
"✔ Membantuku membangun personal branding yang kuat dan sustainable, sesuai dengan Positioning saya sebagai '", 'CONTENT PILLAR MAPPING'!C431, "' dan Brand Archetype '", 'CONTENT PILLAR MAPPING'!D436, "'.", CHAR(10),
"✔ Kemas dalam bentuk tabel agar rapi, mudah di baca dan dipahami, dengan kolom 'Judul Konten', 'Pilar', 'Format', 'Draft Script', 'CTA', 'Saran Visual', dan 'Full Caption'. (Kosongkan kolom Link Prompt jika ada)."
),
"")</f>
        <v/>
      </c>
      <c r="L526" s="199" t="n"/>
      <c r="M526" s="199" t="n"/>
      <c r="N526" s="102" t="n"/>
      <c r="O526" s="102" t="n"/>
      <c r="P526" s="102" t="n"/>
      <c r="Q526" s="102" t="n"/>
      <c r="R526" s="102" t="n"/>
      <c r="S526" s="102" t="n"/>
      <c r="T526" s="102" t="n"/>
      <c r="U526" s="102" t="n"/>
      <c r="V526" s="102" t="n"/>
      <c r="W526" s="102" t="n"/>
      <c r="X526" s="102" t="n"/>
      <c r="Y526" s="102" t="n"/>
      <c r="Z526" s="102" t="n"/>
      <c r="AA526" s="102" t="n"/>
      <c r="AB526" s="102" t="n"/>
      <c r="AC526" s="102" t="n"/>
      <c r="AD526" s="102" t="n"/>
    </row>
    <row r="527" ht="15.75" customHeight="1" s="205">
      <c r="A527" s="102" t="n"/>
      <c r="B527" s="142" t="n"/>
      <c r="C527" s="143" t="n"/>
      <c r="D527" s="143" t="n"/>
      <c r="E527" s="143" t="n"/>
      <c r="F527" s="143" t="n"/>
      <c r="G527" s="144" t="n"/>
      <c r="H527" s="145">
        <f>IF(K527&lt;&gt;"", HYPERLINK("https://chatgpt.com/?prompt=" &amp; SUBSTITUTE(SUBSTITUTE(K527, " ", "+"), "&amp;", "dan") &amp; "&amp;force-refresh=true&amp;timestamp=" &amp; TEXT(NOW(), "yyyymmddhhmmss"), "👉 Klik untuk Generate Script! 🔥"), "")</f>
        <v/>
      </c>
      <c r="I527" s="143" t="n"/>
      <c r="J527" s="146" t="n"/>
      <c r="K527" s="130">
        <f>IF(AND(B527&lt;&gt;"", C527&lt;&gt;"", D527&lt;&gt;"", E527&lt;&gt;"", F527&lt;&gt;"", G527&lt;&gt;"", J527&lt;&gt;"", 'CONTENT PILLAR MAPPING'!C430&lt;&gt;"", 'CONTENT PILLAR MAPPING'!E430&lt;&gt;"", 'CONTENT PILLAR MAPPING'!F430&lt;&gt;"", 'CONTENT PILLAR MAPPING'!C433&lt;&gt;"", 'CONTENT PILLAR MAPPING'!C438&lt;&gt;"", 'CONTENT PILLAR MAPPING'!D438&lt;&gt;"", 'CONTENT PILLAR MAPPING'!E438&lt;&gt;"", 'CONTENT PILLAR MAPPING'!D446&lt;&gt;"", 'CONTENT PILLAR MAPPING'!D447&lt;&gt;""),
CONCATENATE(
"Sebagai seorang top konten kreator dengan niche utama '", 'CONTENT PILLAR MAPPING'!C430, "', spesifik kategori '", 'CONTENT PILLAR MAPPING'!E430, "', dan super spesifik '", 'CONTENT PILLAR MAPPING'!F430, "', yang dikenal sebagai '", 'CONTENT PILLAR MAPPING'!C433, "'.", CHAR(10),
"Saya memiliki Tone of Voice: '", 'CONTENT PILLAR MAPPING'!C438, "', Brand Archetype: '", 'CONTENT PILLAR MAPPING'!D438, "', dan Deskripsi Gaya Komunikasi: '", 'CONTENT PILLAR MAPPING'!E438, "'.", CHAR(10),
"Target audiens saya adalah: '", 'CONTENT PILLAR MAPPING'!D446, "', dengan segmentasi audiens: '", 'CONTENT PILLAR MAPPING'!D447, "'.", CHAR(10), CHAR(10),
"Mohon buatkan script konten yang **sangat powerful, menarik, inovatif, dan siap pakai** dengan judul ide '", B527, "'.", CHAR(10),
"Konten ini memiliki pilar '", C527, "', nilai tambah utama '", F527, "', dan akan menggunakan storytelling framework '", G527, "'.", CHAR(10),
"Gambaran singkat ide kontennya adalah: '", J527, "'.", CHAR(10),
"Konten ini akan diunggah di platform '", E527, "' dengan format '", D527,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MAPPING'!C433, "'.** Sesuaikan dengan gaya komunikasi saya, dengan fokus pada nilai tambah '", F527,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MAPPING'!D446, ", khusus ", 'CONTENT PILLAR MAPPING'!D447, ") dan membantu mereka menyelesaikan masalah atau mencapai tujuan mereka.", CHAR(10),
"✔ Membantuku membangun personal branding yang kuat dan sustainable, sesuai dengan Positioning saya sebagai '", 'CONTENT PILLAR MAPPING'!C433, "' dan Brand Archetype '", 'CONTENT PILLAR MAPPING'!D438, "'.", CHAR(10),
"✔ Kemas dalam bentuk tabel agar rapi, mudah di baca dan dipahami, dengan kolom 'Judul Konten', 'Pilar', 'Format', 'Draft Script', 'CTA', 'Saran Visual', dan 'Full Caption'. (Kosongkan kolom Link Prompt jika ada)."
),
"")</f>
        <v/>
      </c>
      <c r="L527" s="91" t="n"/>
      <c r="M527" s="91" t="n"/>
      <c r="N527" s="102" t="n"/>
      <c r="O527" s="102" t="n"/>
      <c r="P527" s="102" t="n"/>
      <c r="Q527" s="102" t="n"/>
      <c r="R527" s="102" t="n"/>
      <c r="S527" s="102" t="n"/>
      <c r="T527" s="102" t="n"/>
      <c r="U527" s="102" t="n"/>
      <c r="V527" s="102" t="n"/>
      <c r="W527" s="102" t="n"/>
      <c r="X527" s="102" t="n"/>
      <c r="Y527" s="102" t="n"/>
      <c r="Z527" s="102" t="n"/>
      <c r="AA527" s="102" t="n"/>
      <c r="AB527" s="102" t="n"/>
      <c r="AC527" s="102" t="n"/>
      <c r="AD527" s="102" t="n"/>
    </row>
    <row r="528" ht="15.75" customHeight="1" s="205">
      <c r="A528" s="102" t="n"/>
      <c r="B528" s="147" t="n"/>
      <c r="C528" s="144" t="n"/>
      <c r="D528" s="144" t="n"/>
      <c r="E528" s="144" t="n"/>
      <c r="F528" s="144" t="n"/>
      <c r="G528" s="144" t="n"/>
      <c r="H528" s="141">
        <f>IF(K528&lt;&gt;"", HYPERLINK("https://chatgpt.com/?prompt=" &amp; SUBSTITUTE(SUBSTITUTE(K528, " ", "+"), "&amp;", "dan") &amp; "&amp;force-refresh=true&amp;timestamp=" &amp; TEXT(NOW(), "yyyymmddhhmmss"), "👉 Klik untuk Generate Script! 🔥"), "")</f>
        <v/>
      </c>
      <c r="I528" s="144" t="n"/>
      <c r="J528" s="148" t="n"/>
      <c r="K528" s="140">
        <f>IF(AND(B528&lt;&gt;"", C528&lt;&gt;"", D528&lt;&gt;"", E528&lt;&gt;"", F528&lt;&gt;"", G528&lt;&gt;"", J528&lt;&gt;"", 'CONTENT PILLAR MAPPING'!C430&lt;&gt;"", 'CONTENT PILLAR MAPPING'!E430&lt;&gt;"", 'CONTENT PILLAR MAPPING'!F430&lt;&gt;"", 'CONTENT PILLAR MAPPING'!C433&lt;&gt;"", 'CONTENT PILLAR MAPPING'!C438&lt;&gt;"", 'CONTENT PILLAR MAPPING'!D438&lt;&gt;"", 'CONTENT PILLAR MAPPING'!E438&lt;&gt;"", 'CONTENT PILLAR MAPPING'!D446&lt;&gt;"", 'CONTENT PILLAR MAPPING'!D447&lt;&gt;""),
CONCATENATE(
"Sebagai seorang top konten kreator dengan niche utama '", 'CONTENT PILLAR MAPPING'!C430, "', spesifik kategori '", 'CONTENT PILLAR MAPPING'!E430, "', dan super spesifik '", 'CONTENT PILLAR MAPPING'!F430, "', yang dikenal sebagai '", 'CONTENT PILLAR MAPPING'!C433, "'.", CHAR(10),
"Saya memiliki Tone of Voice: '", 'CONTENT PILLAR MAPPING'!C438, "', Brand Archetype: '", 'CONTENT PILLAR MAPPING'!D438, "', dan Deskripsi Gaya Komunikasi: '", 'CONTENT PILLAR MAPPING'!E438, "'.", CHAR(10),
"Target audiens saya adalah: '", 'CONTENT PILLAR MAPPING'!D446, "', dengan segmentasi audiens: '", 'CONTENT PILLAR MAPPING'!D447, "'.", CHAR(10), CHAR(10),
"Mohon buatkan script konten yang **sangat powerful, menarik, inovatif, dan siap pakai** dengan judul ide '", B528, "'.", CHAR(10),
"Konten ini memiliki pilar '", C528, "', nilai tambah utama '", F528, "', dan akan menggunakan storytelling framework '", G528, "'.", CHAR(10),
"Gambaran singkat ide kontennya adalah: '", J528, "'.", CHAR(10),
"Konten ini akan diunggah di platform '", E528, "' dengan format '", D528,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MAPPING'!C433, "'.** Sesuaikan dengan gaya komunikasi saya, dengan fokus pada nilai tambah '", F528,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MAPPING'!D446, ", khusus ", 'CONTENT PILLAR MAPPING'!D447, ") dan membantu mereka menyelesaikan masalah atau mencapai tujuan mereka.", CHAR(10),
"✔ Membantuku membangun personal branding yang kuat dan sustainable, sesuai dengan Positioning saya sebagai '", 'CONTENT PILLAR MAPPING'!C433, "' dan Brand Archetype '", 'CONTENT PILLAR MAPPING'!D438, "'.", CHAR(10),
"✔ Kemas dalam bentuk tabel agar rapi, mudah di baca dan dipahami, dengan kolom 'Judul Konten', 'Pilar', 'Format', 'Draft Script', 'CTA', 'Saran Visual', dan 'Full Caption'. (Kosongkan kolom Link Prompt jika ada)."
),
"")</f>
        <v/>
      </c>
      <c r="L528" s="199" t="n"/>
      <c r="M528" s="199" t="n"/>
      <c r="N528" s="102" t="n"/>
      <c r="O528" s="102" t="n"/>
      <c r="P528" s="102" t="n"/>
      <c r="Q528" s="102" t="n"/>
      <c r="R528" s="102" t="n"/>
      <c r="S528" s="102" t="n"/>
      <c r="T528" s="102" t="n"/>
      <c r="U528" s="102" t="n"/>
      <c r="V528" s="102" t="n"/>
      <c r="W528" s="102" t="n"/>
      <c r="X528" s="102" t="n"/>
      <c r="Y528" s="102" t="n"/>
      <c r="Z528" s="102" t="n"/>
      <c r="AA528" s="102" t="n"/>
      <c r="AB528" s="102" t="n"/>
      <c r="AC528" s="102" t="n"/>
      <c r="AD528" s="102" t="n"/>
    </row>
    <row r="529" ht="15.75" customHeight="1" s="205">
      <c r="A529" s="102" t="n"/>
      <c r="B529" s="142" t="n"/>
      <c r="C529" s="143" t="n"/>
      <c r="D529" s="143" t="n"/>
      <c r="E529" s="143" t="n"/>
      <c r="F529" s="143" t="n"/>
      <c r="G529" s="144" t="n"/>
      <c r="H529" s="145">
        <f>IF(K529&lt;&gt;"", HYPERLINK("https://chatgpt.com/?prompt=" &amp; SUBSTITUTE(SUBSTITUTE(K529, " ", "+"), "&amp;", "dan") &amp; "&amp;force-refresh=true&amp;timestamp=" &amp; TEXT(NOW(), "yyyymmddhhmmss"), "👉 Klik untuk Generate Script! 🔥"), "")</f>
        <v/>
      </c>
      <c r="I529" s="143" t="n"/>
      <c r="J529" s="146" t="n"/>
      <c r="K529" s="130">
        <f>IF(AND(B529&lt;&gt;"", C529&lt;&gt;"", D529&lt;&gt;"", E529&lt;&gt;"", F529&lt;&gt;"", G529&lt;&gt;"", J529&lt;&gt;"", 'CONTENT PILLAR MAPPING'!C432&lt;&gt;"", 'CONTENT PILLAR MAPPING'!E432&lt;&gt;"", 'CONTENT PILLAR MAPPING'!F432&lt;&gt;"", 'CONTENT PILLAR MAPPING'!C435&lt;&gt;"", 'CONTENT PILLAR MAPPING'!C440&lt;&gt;"", 'CONTENT PILLAR MAPPING'!D440&lt;&gt;"", 'CONTENT PILLAR MAPPING'!E440&lt;&gt;"", 'CONTENT PILLAR MAPPING'!D448&lt;&gt;"", 'CONTENT PILLAR MAPPING'!D449&lt;&gt;""),
CONCATENATE(
"Sebagai seorang top konten kreator dengan niche utama '", 'CONTENT PILLAR MAPPING'!C432, "', spesifik kategori '", 'CONTENT PILLAR MAPPING'!E432, "', dan super spesifik '", 'CONTENT PILLAR MAPPING'!F432, "', yang dikenal sebagai '", 'CONTENT PILLAR MAPPING'!C435, "'.", CHAR(10),
"Saya memiliki Tone of Voice: '", 'CONTENT PILLAR MAPPING'!C440, "', Brand Archetype: '", 'CONTENT PILLAR MAPPING'!D440, "', dan Deskripsi Gaya Komunikasi: '", 'CONTENT PILLAR MAPPING'!E440, "'.", CHAR(10),
"Target audiens saya adalah: '", 'CONTENT PILLAR MAPPING'!D448, "', dengan segmentasi audiens: '", 'CONTENT PILLAR MAPPING'!D449, "'.", CHAR(10), CHAR(10),
"Mohon buatkan script konten yang **sangat powerful, menarik, inovatif, dan siap pakai** dengan judul ide '", B529, "'.", CHAR(10),
"Konten ini memiliki pilar '", C529, "', nilai tambah utama '", F529, "', dan akan menggunakan storytelling framework '", G529, "'.", CHAR(10),
"Gambaran singkat ide kontennya adalah: '", J529, "'.", CHAR(10),
"Konten ini akan diunggah di platform '", E529, "' dengan format '", D529,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MAPPING'!C435, "'.** Sesuaikan dengan gaya komunikasi saya, dengan fokus pada nilai tambah '", F529,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MAPPING'!D448, ", khusus ", 'CONTENT PILLAR MAPPING'!D449, ") dan membantu mereka menyelesaikan masalah atau mencapai tujuan mereka.", CHAR(10),
"✔ Membantuku membangun personal branding yang kuat dan sustainable, sesuai dengan Positioning saya sebagai '", 'CONTENT PILLAR MAPPING'!C435, "' dan Brand Archetype '", 'CONTENT PILLAR MAPPING'!D440, "'.", CHAR(10),
"✔ Kemas dalam bentuk tabel agar rapi, mudah di baca dan dipahami, dengan kolom 'Judul Konten', 'Pilar', 'Format', 'Draft Script', 'CTA', 'Saran Visual', dan 'Full Caption'. (Kosongkan kolom Link Prompt jika ada)."
),
"")</f>
        <v/>
      </c>
      <c r="L529" s="91" t="n"/>
      <c r="M529" s="91" t="n"/>
      <c r="N529" s="102" t="n"/>
      <c r="O529" s="102" t="n"/>
      <c r="P529" s="102" t="n"/>
      <c r="Q529" s="102" t="n"/>
      <c r="R529" s="102" t="n"/>
      <c r="S529" s="102" t="n"/>
      <c r="T529" s="102" t="n"/>
      <c r="U529" s="102" t="n"/>
      <c r="V529" s="102" t="n"/>
      <c r="W529" s="102" t="n"/>
      <c r="X529" s="102" t="n"/>
      <c r="Y529" s="102" t="n"/>
      <c r="Z529" s="102" t="n"/>
      <c r="AA529" s="102" t="n"/>
      <c r="AB529" s="102" t="n"/>
      <c r="AC529" s="102" t="n"/>
      <c r="AD529" s="102" t="n"/>
    </row>
    <row r="530" ht="15.75" customHeight="1" s="205">
      <c r="A530" s="102" t="n"/>
      <c r="B530" s="147" t="n"/>
      <c r="C530" s="144" t="n"/>
      <c r="D530" s="144" t="n"/>
      <c r="E530" s="144" t="n"/>
      <c r="F530" s="144" t="n"/>
      <c r="G530" s="144" t="n"/>
      <c r="H530" s="141">
        <f>IF(K530&lt;&gt;"", HYPERLINK("https://chatgpt.com/?prompt=" &amp; SUBSTITUTE(SUBSTITUTE(K530, " ", "+"), "&amp;", "dan") &amp; "&amp;force-refresh=true&amp;timestamp=" &amp; TEXT(NOW(), "yyyymmddhhmmss"), "👉 Klik untuk Generate Script! 🔥"), "")</f>
        <v/>
      </c>
      <c r="I530" s="144" t="n"/>
      <c r="J530" s="148" t="n"/>
      <c r="K530" s="140">
        <f>IF(AND(B530&lt;&gt;"", C530&lt;&gt;"", D530&lt;&gt;"", E530&lt;&gt;"", F530&lt;&gt;"", G530&lt;&gt;"", J530&lt;&gt;"", 'CONTENT PILLAR MAPPING'!C432&lt;&gt;"", 'CONTENT PILLAR MAPPING'!E432&lt;&gt;"", 'CONTENT PILLAR MAPPING'!F432&lt;&gt;"", 'CONTENT PILLAR MAPPING'!C435&lt;&gt;"", 'CONTENT PILLAR MAPPING'!C440&lt;&gt;"", 'CONTENT PILLAR MAPPING'!D440&lt;&gt;"", 'CONTENT PILLAR MAPPING'!E440&lt;&gt;"", 'CONTENT PILLAR MAPPING'!D448&lt;&gt;"", 'CONTENT PILLAR MAPPING'!D449&lt;&gt;""),
CONCATENATE(
"Sebagai seorang top konten kreator dengan niche utama '", 'CONTENT PILLAR MAPPING'!C432, "', spesifik kategori '", 'CONTENT PILLAR MAPPING'!E432, "', dan super spesifik '", 'CONTENT PILLAR MAPPING'!F432, "', yang dikenal sebagai '", 'CONTENT PILLAR MAPPING'!C435, "'.", CHAR(10),
"Saya memiliki Tone of Voice: '", 'CONTENT PILLAR MAPPING'!C440, "', Brand Archetype: '", 'CONTENT PILLAR MAPPING'!D440, "', dan Deskripsi Gaya Komunikasi: '", 'CONTENT PILLAR MAPPING'!E440, "'.", CHAR(10),
"Target audiens saya adalah: '", 'CONTENT PILLAR MAPPING'!D448, "', dengan segmentasi audiens: '", 'CONTENT PILLAR MAPPING'!D449, "'.", CHAR(10), CHAR(10),
"Mohon buatkan script konten yang **sangat powerful, menarik, inovatif, dan siap pakai** dengan judul ide '", B530, "'.", CHAR(10),
"Konten ini memiliki pilar '", C530, "', nilai tambah utama '", F530, "', dan akan menggunakan storytelling framework '", G530, "'.", CHAR(10),
"Gambaran singkat ide kontennya adalah: '", J530, "'.", CHAR(10),
"Konten ini akan diunggah di platform '", E530, "' dengan format '", D530,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MAPPING'!C435, "'.** Sesuaikan dengan gaya komunikasi saya, dengan fokus pada nilai tambah '", F530,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MAPPING'!D448, ", khusus ", 'CONTENT PILLAR MAPPING'!D449, ") dan membantu mereka menyelesaikan masalah atau mencapai tujuan mereka.", CHAR(10),
"✔ Membantuku membangun personal branding yang kuat dan sustainable, sesuai dengan Positioning saya sebagai '", 'CONTENT PILLAR MAPPING'!C435, "' dan Brand Archetype '", 'CONTENT PILLAR MAPPING'!D440, "'.", CHAR(10),
"✔ Kemas dalam bentuk tabel agar rapi, mudah di baca dan dipahami, dengan kolom 'Judul Konten', 'Pilar', 'Format', 'Draft Script', 'CTA', 'Saran Visual', dan 'Full Caption'. (Kosongkan kolom Link Prompt jika ada)."
),
"")</f>
        <v/>
      </c>
      <c r="L530" s="199" t="n"/>
      <c r="M530" s="199" t="n"/>
      <c r="N530" s="102" t="n"/>
      <c r="O530" s="102" t="n"/>
      <c r="P530" s="102" t="n"/>
      <c r="Q530" s="102" t="n"/>
      <c r="R530" s="102" t="n"/>
      <c r="S530" s="102" t="n"/>
      <c r="T530" s="102" t="n"/>
      <c r="U530" s="102" t="n"/>
      <c r="V530" s="102" t="n"/>
      <c r="W530" s="102" t="n"/>
      <c r="X530" s="102" t="n"/>
      <c r="Y530" s="102" t="n"/>
      <c r="Z530" s="102" t="n"/>
      <c r="AA530" s="102" t="n"/>
      <c r="AB530" s="102" t="n"/>
      <c r="AC530" s="102" t="n"/>
      <c r="AD530" s="102" t="n"/>
    </row>
    <row r="531" ht="15.75" customHeight="1" s="205">
      <c r="A531" s="102" t="n"/>
      <c r="B531" s="142" t="n"/>
      <c r="C531" s="143" t="n"/>
      <c r="D531" s="143" t="n"/>
      <c r="E531" s="143" t="n"/>
      <c r="F531" s="143" t="n"/>
      <c r="G531" s="144" t="n"/>
      <c r="H531" s="145">
        <f>IF(K531&lt;&gt;"", HYPERLINK("https://chatgpt.com/?prompt=" &amp; SUBSTITUTE(SUBSTITUTE(K531, " ", "+"), "&amp;", "dan") &amp; "&amp;force-refresh=true&amp;timestamp=" &amp; TEXT(NOW(), "yyyymmddhhmmss"), "👉 Klik untuk Generate Script! 🔥"), "")</f>
        <v/>
      </c>
      <c r="I531" s="143" t="n"/>
      <c r="J531" s="146" t="n"/>
      <c r="K531" s="130">
        <f>IF(AND(B531&lt;&gt;"", C531&lt;&gt;"", D531&lt;&gt;"", E531&lt;&gt;"", F531&lt;&gt;"", G531&lt;&gt;"", J531&lt;&gt;"", 'CONTENT PILLAR MAPPING'!C434&lt;&gt;"", 'CONTENT PILLAR MAPPING'!E434&lt;&gt;"", 'CONTENT PILLAR MAPPING'!F434&lt;&gt;"", 'CONTENT PILLAR MAPPING'!C437&lt;&gt;"", 'CONTENT PILLAR MAPPING'!C442&lt;&gt;"", 'CONTENT PILLAR MAPPING'!D442&lt;&gt;"", 'CONTENT PILLAR MAPPING'!E442&lt;&gt;"", 'CONTENT PILLAR MAPPING'!D450&lt;&gt;"", 'CONTENT PILLAR MAPPING'!D451&lt;&gt;""),
CONCATENATE(
"Sebagai seorang top konten kreator dengan niche utama '", 'CONTENT PILLAR MAPPING'!C434, "', spesifik kategori '", 'CONTENT PILLAR MAPPING'!E434, "', dan super spesifik '", 'CONTENT PILLAR MAPPING'!F434, "', yang dikenal sebagai '", 'CONTENT PILLAR MAPPING'!C437, "'.", CHAR(10),
"Saya memiliki Tone of Voice: '", 'CONTENT PILLAR MAPPING'!C442, "', Brand Archetype: '", 'CONTENT PILLAR MAPPING'!D442, "', dan Deskripsi Gaya Komunikasi: '", 'CONTENT PILLAR MAPPING'!E442, "'.", CHAR(10),
"Target audiens saya adalah: '", 'CONTENT PILLAR MAPPING'!D450, "', dengan segmentasi audiens: '", 'CONTENT PILLAR MAPPING'!D451, "'.", CHAR(10), CHAR(10),
"Mohon buatkan script konten yang **sangat powerful, menarik, inovatif, dan siap pakai** dengan judul ide '", B531, "'.", CHAR(10),
"Konten ini memiliki pilar '", C531, "', nilai tambah utama '", F531, "', dan akan menggunakan storytelling framework '", G531, "'.", CHAR(10),
"Gambaran singkat ide kontennya adalah: '", J531, "'.", CHAR(10),
"Konten ini akan diunggah di platform '", E531, "' dengan format '", D531,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MAPPING'!C437, "'.** Sesuaikan dengan gaya komunikasi saya, dengan fokus pada nilai tambah '", F531,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MAPPING'!D450, ", khusus ", 'CONTENT PILLAR MAPPING'!D451, ") dan membantu mereka menyelesaikan masalah atau mencapai tujuan mereka.", CHAR(10),
"✔ Membantuku membangun personal branding yang kuat dan sustainable, sesuai dengan Positioning saya sebagai '", 'CONTENT PILLAR MAPPING'!C437, "' dan Brand Archetype '", 'CONTENT PILLAR MAPPING'!D442, "'.", CHAR(10),
"✔ Kemas dalam bentuk tabel agar rapi, mudah di baca dan dipahami, dengan kolom 'Judul Konten', 'Pilar', 'Format', 'Draft Script', 'CTA', 'Saran Visual', dan 'Full Caption'. (Kosongkan kolom Link Prompt jika ada)."
),
"")</f>
        <v/>
      </c>
      <c r="L531" s="91" t="n"/>
      <c r="M531" s="91" t="n"/>
      <c r="N531" s="102" t="n"/>
      <c r="O531" s="102" t="n"/>
      <c r="P531" s="102" t="n"/>
      <c r="Q531" s="102" t="n"/>
      <c r="R531" s="102" t="n"/>
      <c r="S531" s="102" t="n"/>
      <c r="T531" s="102" t="n"/>
      <c r="U531" s="102" t="n"/>
      <c r="V531" s="102" t="n"/>
      <c r="W531" s="102" t="n"/>
      <c r="X531" s="102" t="n"/>
      <c r="Y531" s="102" t="n"/>
      <c r="Z531" s="102" t="n"/>
      <c r="AA531" s="102" t="n"/>
      <c r="AB531" s="102" t="n"/>
      <c r="AC531" s="102" t="n"/>
      <c r="AD531" s="102" t="n"/>
    </row>
    <row r="532" ht="15.75" customHeight="1" s="205">
      <c r="A532" s="102" t="n"/>
      <c r="B532" s="147" t="n"/>
      <c r="C532" s="144" t="n"/>
      <c r="D532" s="144" t="n"/>
      <c r="E532" s="144" t="n"/>
      <c r="F532" s="144" t="n"/>
      <c r="G532" s="144" t="n"/>
      <c r="H532" s="141">
        <f>IF(K532&lt;&gt;"", HYPERLINK("https://chatgpt.com/?prompt=" &amp; SUBSTITUTE(SUBSTITUTE(K532, " ", "+"), "&amp;", "dan") &amp; "&amp;force-refresh=true&amp;timestamp=" &amp; TEXT(NOW(), "yyyymmddhhmmss"), "👉 Klik untuk Generate Script! 🔥"), "")</f>
        <v/>
      </c>
      <c r="I532" s="144" t="n"/>
      <c r="J532" s="148" t="n"/>
      <c r="K532" s="140">
        <f>IF(AND(B532&lt;&gt;"", C532&lt;&gt;"", D532&lt;&gt;"", E532&lt;&gt;"", F532&lt;&gt;"", G532&lt;&gt;"", J532&lt;&gt;"", 'CONTENT PILLAR MAPPING'!C434&lt;&gt;"", 'CONTENT PILLAR MAPPING'!E434&lt;&gt;"", 'CONTENT PILLAR MAPPING'!F434&lt;&gt;"", 'CONTENT PILLAR MAPPING'!C437&lt;&gt;"", 'CONTENT PILLAR MAPPING'!C442&lt;&gt;"", 'CONTENT PILLAR MAPPING'!D442&lt;&gt;"", 'CONTENT PILLAR MAPPING'!E442&lt;&gt;"", 'CONTENT PILLAR MAPPING'!D450&lt;&gt;"", 'CONTENT PILLAR MAPPING'!D451&lt;&gt;""),
CONCATENATE(
"Sebagai seorang top konten kreator dengan niche utama '", 'CONTENT PILLAR MAPPING'!C434, "', spesifik kategori '", 'CONTENT PILLAR MAPPING'!E434, "', dan super spesifik '", 'CONTENT PILLAR MAPPING'!F434, "', yang dikenal sebagai '", 'CONTENT PILLAR MAPPING'!C437, "'.", CHAR(10),
"Saya memiliki Tone of Voice: '", 'CONTENT PILLAR MAPPING'!C442, "', Brand Archetype: '", 'CONTENT PILLAR MAPPING'!D442, "', dan Deskripsi Gaya Komunikasi: '", 'CONTENT PILLAR MAPPING'!E442, "'.", CHAR(10),
"Target audiens saya adalah: '", 'CONTENT PILLAR MAPPING'!D450, "', dengan segmentasi audiens: '", 'CONTENT PILLAR MAPPING'!D451, "'.", CHAR(10), CHAR(10),
"Mohon buatkan script konten yang **sangat powerful, menarik, inovatif, dan siap pakai** dengan judul ide '", B532, "'.", CHAR(10),
"Konten ini memiliki pilar '", C532, "', nilai tambah utama '", F532, "', dan akan menggunakan storytelling framework '", G532, "'.", CHAR(10),
"Gambaran singkat ide kontennya adalah: '", J532, "'.", CHAR(10),
"Konten ini akan diunggah di platform '", E532, "' dengan format '", D532,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MAPPING'!C437, "'.** Sesuaikan dengan gaya komunikasi saya, dengan fokus pada nilai tambah '", F532,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MAPPING'!D450, ", khusus ", 'CONTENT PILLAR MAPPING'!D451, ") dan membantu mereka menyelesaikan masalah atau mencapai tujuan mereka.", CHAR(10),
"✔ Membantuku membangun personal branding yang kuat dan sustainable, sesuai dengan Positioning saya sebagai '", 'CONTENT PILLAR MAPPING'!C437, "' dan Brand Archetype '", 'CONTENT PILLAR MAPPING'!D442, "'.", CHAR(10),
"✔ Kemas dalam bentuk tabel agar rapi, mudah di baca dan dipahami, dengan kolom 'Judul Konten', 'Pilar', 'Format', 'Draft Script', 'CTA', 'Saran Visual', dan 'Full Caption'. (Kosongkan kolom Link Prompt jika ada)."
),
"")</f>
        <v/>
      </c>
      <c r="L532" s="199" t="n"/>
      <c r="M532" s="199" t="n"/>
      <c r="N532" s="102" t="n"/>
      <c r="O532" s="102" t="n"/>
      <c r="P532" s="102" t="n"/>
      <c r="Q532" s="102" t="n"/>
      <c r="R532" s="102" t="n"/>
      <c r="S532" s="102" t="n"/>
      <c r="T532" s="102" t="n"/>
      <c r="U532" s="102" t="n"/>
      <c r="V532" s="102" t="n"/>
      <c r="W532" s="102" t="n"/>
      <c r="X532" s="102" t="n"/>
      <c r="Y532" s="102" t="n"/>
      <c r="Z532" s="102" t="n"/>
      <c r="AA532" s="102" t="n"/>
      <c r="AB532" s="102" t="n"/>
      <c r="AC532" s="102" t="n"/>
      <c r="AD532" s="102" t="n"/>
    </row>
    <row r="533" ht="15.75" customHeight="1" s="205">
      <c r="A533" s="102" t="n"/>
      <c r="B533" s="142" t="n"/>
      <c r="C533" s="143" t="n"/>
      <c r="D533" s="143" t="n"/>
      <c r="E533" s="143" t="n"/>
      <c r="F533" s="143" t="n"/>
      <c r="G533" s="144" t="n"/>
      <c r="H533" s="145">
        <f>IF(K533&lt;&gt;"", HYPERLINK("https://chatgpt.com/?prompt=" &amp; SUBSTITUTE(SUBSTITUTE(K533, " ", "+"), "&amp;", "dan") &amp; "&amp;force-refresh=true&amp;timestamp=" &amp; TEXT(NOW(), "yyyymmddhhmmss"), "👉 Klik untuk Generate Script! 🔥"), "")</f>
        <v/>
      </c>
      <c r="I533" s="143" t="n"/>
      <c r="J533" s="146" t="n"/>
      <c r="K533" s="130">
        <f>IF(AND(B533&lt;&gt;"", C533&lt;&gt;"", D533&lt;&gt;"", E533&lt;&gt;"", F533&lt;&gt;"", G533&lt;&gt;"", J533&lt;&gt;"", 'CONTENT PILLAR MAPPING'!C436&lt;&gt;"", 'CONTENT PILLAR MAPPING'!E436&lt;&gt;"", 'CONTENT PILLAR MAPPING'!F436&lt;&gt;"", 'CONTENT PILLAR MAPPING'!C439&lt;&gt;"", 'CONTENT PILLAR MAPPING'!C444&lt;&gt;"", 'CONTENT PILLAR MAPPING'!D444&lt;&gt;"", 'CONTENT PILLAR MAPPING'!E444&lt;&gt;"", 'CONTENT PILLAR MAPPING'!D452&lt;&gt;"", 'CONTENT PILLAR MAPPING'!D453&lt;&gt;""),
CONCATENATE(
"Sebagai seorang top konten kreator dengan niche utama '", 'CONTENT PILLAR MAPPING'!C436, "', spesifik kategori '", 'CONTENT PILLAR MAPPING'!E436, "', dan super spesifik '", 'CONTENT PILLAR MAPPING'!F436, "', yang dikenal sebagai '", 'CONTENT PILLAR MAPPING'!C439, "'.", CHAR(10),
"Saya memiliki Tone of Voice: '", 'CONTENT PILLAR MAPPING'!C444, "', Brand Archetype: '", 'CONTENT PILLAR MAPPING'!D444, "', dan Deskripsi Gaya Komunikasi: '", 'CONTENT PILLAR MAPPING'!E444, "'.", CHAR(10),
"Target audiens saya adalah: '", 'CONTENT PILLAR MAPPING'!D452, "', dengan segmentasi audiens: '", 'CONTENT PILLAR MAPPING'!D453, "'.", CHAR(10), CHAR(10),
"Mohon buatkan script konten yang **sangat powerful, menarik, inovatif, dan siap pakai** dengan judul ide '", B533, "'.", CHAR(10),
"Konten ini memiliki pilar '", C533, "', nilai tambah utama '", F533, "', dan akan menggunakan storytelling framework '", G533, "'.", CHAR(10),
"Gambaran singkat ide kontennya adalah: '", J533, "'.", CHAR(10),
"Konten ini akan diunggah di platform '", E533, "' dengan format '", D533,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MAPPING'!C439, "'.** Sesuaikan dengan gaya komunikasi saya, dengan fokus pada nilai tambah '", F533,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MAPPING'!D452, ", khusus ", 'CONTENT PILLAR MAPPING'!D453, ") dan membantu mereka menyelesaikan masalah atau mencapai tujuan mereka.", CHAR(10),
"✔ Membantuku membangun personal branding yang kuat dan sustainable, sesuai dengan Positioning saya sebagai '", 'CONTENT PILLAR MAPPING'!C439, "' dan Brand Archetype '", 'CONTENT PILLAR MAPPING'!D444, "'.", CHAR(10),
"✔ Kemas dalam bentuk tabel agar rapi, mudah di baca dan dipahami, dengan kolom 'Judul Konten', 'Pilar', 'Format', 'Draft Script', 'CTA', 'Saran Visual', dan 'Full Caption'. (Kosongkan kolom Link Prompt jika ada)."
),
"")</f>
        <v/>
      </c>
      <c r="L533" s="91" t="n"/>
      <c r="M533" s="91" t="n"/>
      <c r="N533" s="102" t="n"/>
      <c r="O533" s="102" t="n"/>
      <c r="P533" s="102" t="n"/>
      <c r="Q533" s="102" t="n"/>
      <c r="R533" s="102" t="n"/>
      <c r="S533" s="102" t="n"/>
      <c r="T533" s="102" t="n"/>
      <c r="U533" s="102" t="n"/>
      <c r="V533" s="102" t="n"/>
      <c r="W533" s="102" t="n"/>
      <c r="X533" s="102" t="n"/>
      <c r="Y533" s="102" t="n"/>
      <c r="Z533" s="102" t="n"/>
      <c r="AA533" s="102" t="n"/>
      <c r="AB533" s="102" t="n"/>
      <c r="AC533" s="102" t="n"/>
      <c r="AD533" s="102" t="n"/>
    </row>
    <row r="534" ht="15.75" customHeight="1" s="205">
      <c r="A534" s="102" t="n"/>
      <c r="B534" s="147" t="n"/>
      <c r="C534" s="144" t="n"/>
      <c r="D534" s="144" t="n"/>
      <c r="E534" s="144" t="n"/>
      <c r="F534" s="144" t="n"/>
      <c r="G534" s="144" t="n"/>
      <c r="H534" s="141">
        <f>IF(K534&lt;&gt;"", HYPERLINK("https://chatgpt.com/?prompt=" &amp; SUBSTITUTE(SUBSTITUTE(K534, " ", "+"), "&amp;", "dan") &amp; "&amp;force-refresh=true&amp;timestamp=" &amp; TEXT(NOW(), "yyyymmddhhmmss"), "👉 Klik untuk Generate Script! 🔥"), "")</f>
        <v/>
      </c>
      <c r="I534" s="144" t="n"/>
      <c r="J534" s="148" t="n"/>
      <c r="K534" s="140">
        <f>IF(AND(B534&lt;&gt;"", C534&lt;&gt;"", D534&lt;&gt;"", E534&lt;&gt;"", F534&lt;&gt;"", G534&lt;&gt;"", J534&lt;&gt;"", 'CONTENT PILLAR MAPPING'!C436&lt;&gt;"", 'CONTENT PILLAR MAPPING'!E436&lt;&gt;"", 'CONTENT PILLAR MAPPING'!F436&lt;&gt;"", 'CONTENT PILLAR MAPPING'!C439&lt;&gt;"", 'CONTENT PILLAR MAPPING'!C444&lt;&gt;"", 'CONTENT PILLAR MAPPING'!D444&lt;&gt;"", 'CONTENT PILLAR MAPPING'!E444&lt;&gt;"", 'CONTENT PILLAR MAPPING'!D452&lt;&gt;"", 'CONTENT PILLAR MAPPING'!D453&lt;&gt;""),
CONCATENATE(
"Sebagai seorang top konten kreator dengan niche utama '", 'CONTENT PILLAR MAPPING'!C436, "', spesifik kategori '", 'CONTENT PILLAR MAPPING'!E436, "', dan super spesifik '", 'CONTENT PILLAR MAPPING'!F436, "', yang dikenal sebagai '", 'CONTENT PILLAR MAPPING'!C439, "'.", CHAR(10),
"Saya memiliki Tone of Voice: '", 'CONTENT PILLAR MAPPING'!C444, "', Brand Archetype: '", 'CONTENT PILLAR MAPPING'!D444, "', dan Deskripsi Gaya Komunikasi: '", 'CONTENT PILLAR MAPPING'!E444, "'.", CHAR(10),
"Target audiens saya adalah: '", 'CONTENT PILLAR MAPPING'!D452, "', dengan segmentasi audiens: '", 'CONTENT PILLAR MAPPING'!D453, "'.", CHAR(10), CHAR(10),
"Mohon buatkan script konten yang **sangat powerful, menarik, inovatif, dan siap pakai** dengan judul ide '", B534, "'.", CHAR(10),
"Konten ini memiliki pilar '", C534, "', nilai tambah utama '", F534, "', dan akan menggunakan storytelling framework '", G534, "'.", CHAR(10),
"Gambaran singkat ide kontennya adalah: '", J534, "'.", CHAR(10),
"Konten ini akan diunggah di platform '", E534, "' dengan format '", D534,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MAPPING'!C439, "'.** Sesuaikan dengan gaya komunikasi saya, dengan fokus pada nilai tambah '", F534,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MAPPING'!D452, ", khusus ", 'CONTENT PILLAR MAPPING'!D453, ") dan membantu mereka menyelesaikan masalah atau mencapai tujuan mereka.", CHAR(10),
"✔ Membantuku membangun personal branding yang kuat dan sustainable, sesuai dengan Positioning saya sebagai '", 'CONTENT PILLAR MAPPING'!C439, "' dan Brand Archetype '", 'CONTENT PILLAR MAPPING'!D444, "'.", CHAR(10),
"✔ Kemas dalam bentuk tabel agar rapi, mudah di baca dan dipahami, dengan kolom 'Judul Konten', 'Pilar', 'Format', 'Draft Script', 'CTA', 'Saran Visual', dan 'Full Caption'. (Kosongkan kolom Link Prompt jika ada)."
),
"")</f>
        <v/>
      </c>
      <c r="L534" s="199" t="n"/>
      <c r="M534" s="199" t="n"/>
      <c r="N534" s="102" t="n"/>
      <c r="O534" s="102" t="n"/>
      <c r="P534" s="102" t="n"/>
      <c r="Q534" s="102" t="n"/>
      <c r="R534" s="102" t="n"/>
      <c r="S534" s="102" t="n"/>
      <c r="T534" s="102" t="n"/>
      <c r="U534" s="102" t="n"/>
      <c r="V534" s="102" t="n"/>
      <c r="W534" s="102" t="n"/>
      <c r="X534" s="102" t="n"/>
      <c r="Y534" s="102" t="n"/>
      <c r="Z534" s="102" t="n"/>
      <c r="AA534" s="102" t="n"/>
      <c r="AB534" s="102" t="n"/>
      <c r="AC534" s="102" t="n"/>
      <c r="AD534" s="102" t="n"/>
    </row>
    <row r="535" ht="15.75" customHeight="1" s="205">
      <c r="A535" s="102" t="n"/>
      <c r="B535" s="142" t="n"/>
      <c r="C535" s="143" t="n"/>
      <c r="D535" s="143" t="n"/>
      <c r="E535" s="143" t="n"/>
      <c r="F535" s="143" t="n"/>
      <c r="G535" s="144" t="n"/>
      <c r="H535" s="145">
        <f>IF(K535&lt;&gt;"", HYPERLINK("https://chatgpt.com/?prompt=" &amp; SUBSTITUTE(SUBSTITUTE(K535, " ", "+"), "&amp;", "dan") &amp; "&amp;force-refresh=true&amp;timestamp=" &amp; TEXT(NOW(), "yyyymmddhhmmss"), "👉 Klik untuk Generate Script! 🔥"), "")</f>
        <v/>
      </c>
      <c r="I535" s="143" t="n"/>
      <c r="J535" s="146" t="n"/>
      <c r="K535" s="130">
        <f>IF(AND(B535&lt;&gt;"", C535&lt;&gt;"", D535&lt;&gt;"", E535&lt;&gt;"", F535&lt;&gt;"", G535&lt;&gt;"", J535&lt;&gt;"", 'CONTENT PILLAR MAPPING'!C438&lt;&gt;"", 'CONTENT PILLAR MAPPING'!E438&lt;&gt;"", 'CONTENT PILLAR MAPPING'!F438&lt;&gt;"", 'CONTENT PILLAR MAPPING'!C441&lt;&gt;"", 'CONTENT PILLAR MAPPING'!C446&lt;&gt;"", 'CONTENT PILLAR MAPPING'!D446&lt;&gt;"", 'CONTENT PILLAR MAPPING'!E446&lt;&gt;"", 'CONTENT PILLAR MAPPING'!D454&lt;&gt;"", 'CONTENT PILLAR MAPPING'!D455&lt;&gt;""),
CONCATENATE(
"Sebagai seorang top konten kreator dengan niche utama '", 'CONTENT PILLAR MAPPING'!C438, "', spesifik kategori '", 'CONTENT PILLAR MAPPING'!E438, "', dan super spesifik '", 'CONTENT PILLAR MAPPING'!F438, "', yang dikenal sebagai '", 'CONTENT PILLAR MAPPING'!C441, "'.", CHAR(10),
"Saya memiliki Tone of Voice: '", 'CONTENT PILLAR MAPPING'!C446, "', Brand Archetype: '", 'CONTENT PILLAR MAPPING'!D446, "', dan Deskripsi Gaya Komunikasi: '", 'CONTENT PILLAR MAPPING'!E446, "'.", CHAR(10),
"Target audiens saya adalah: '", 'CONTENT PILLAR MAPPING'!D454, "', dengan segmentasi audiens: '", 'CONTENT PILLAR MAPPING'!D455, "'.", CHAR(10), CHAR(10),
"Mohon buatkan script konten yang **sangat powerful, menarik, inovatif, dan siap pakai** dengan judul ide '", B535, "'.", CHAR(10),
"Konten ini memiliki pilar '", C535, "', nilai tambah utama '", F535, "', dan akan menggunakan storytelling framework '", G535, "'.", CHAR(10),
"Gambaran singkat ide kontennya adalah: '", J535, "'.", CHAR(10),
"Konten ini akan diunggah di platform '", E535, "' dengan format '", D535,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MAPPING'!C441, "'.** Sesuaikan dengan gaya komunikasi saya, dengan fokus pada nilai tambah '", F535,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MAPPING'!D454, ", khusus ", 'CONTENT PILLAR MAPPING'!D455, ") dan membantu mereka menyelesaikan masalah atau mencapai tujuan mereka.", CHAR(10),
"✔ Membantuku membangun personal branding yang kuat dan sustainable, sesuai dengan Positioning saya sebagai '", 'CONTENT PILLAR MAPPING'!C441, "' dan Brand Archetype '", 'CONTENT PILLAR MAPPING'!D446, "'.", CHAR(10),
"✔ Kemas dalam bentuk tabel agar rapi, mudah di baca dan dipahami, dengan kolom 'Judul Konten', 'Pilar', 'Format', 'Draft Script', 'CTA', 'Saran Visual', dan 'Full Caption'. (Kosongkan kolom Link Prompt jika ada)."
),
"")</f>
        <v/>
      </c>
      <c r="L535" s="91" t="n"/>
      <c r="M535" s="91" t="n"/>
      <c r="N535" s="102" t="n"/>
      <c r="O535" s="102" t="n"/>
      <c r="P535" s="102" t="n"/>
      <c r="Q535" s="102" t="n"/>
      <c r="R535" s="102" t="n"/>
      <c r="S535" s="102" t="n"/>
      <c r="T535" s="102" t="n"/>
      <c r="U535" s="102" t="n"/>
      <c r="V535" s="102" t="n"/>
      <c r="W535" s="102" t="n"/>
      <c r="X535" s="102" t="n"/>
      <c r="Y535" s="102" t="n"/>
      <c r="Z535" s="102" t="n"/>
      <c r="AA535" s="102" t="n"/>
      <c r="AB535" s="102" t="n"/>
      <c r="AC535" s="102" t="n"/>
      <c r="AD535" s="102" t="n"/>
    </row>
    <row r="536" ht="15.75" customHeight="1" s="205">
      <c r="A536" s="102" t="n"/>
      <c r="B536" s="147" t="n"/>
      <c r="C536" s="144" t="n"/>
      <c r="D536" s="144" t="n"/>
      <c r="E536" s="144" t="n"/>
      <c r="F536" s="144" t="n"/>
      <c r="G536" s="144" t="n"/>
      <c r="H536" s="141">
        <f>IF(K536&lt;&gt;"", HYPERLINK("https://chatgpt.com/?prompt=" &amp; SUBSTITUTE(SUBSTITUTE(K536, " ", "+"), "&amp;", "dan") &amp; "&amp;force-refresh=true&amp;timestamp=" &amp; TEXT(NOW(), "yyyymmddhhmmss"), "👉 Klik untuk Generate Script! 🔥"), "")</f>
        <v/>
      </c>
      <c r="I536" s="144" t="n"/>
      <c r="J536" s="148" t="n"/>
      <c r="K536" s="140">
        <f>IF(AND(B536&lt;&gt;"", C536&lt;&gt;"", D536&lt;&gt;"", E536&lt;&gt;"", F536&lt;&gt;"", G536&lt;&gt;"", J536&lt;&gt;"", 'CONTENT PILLAR MAPPING'!C438&lt;&gt;"", 'CONTENT PILLAR MAPPING'!E438&lt;&gt;"", 'CONTENT PILLAR MAPPING'!F438&lt;&gt;"", 'CONTENT PILLAR MAPPING'!C441&lt;&gt;"", 'CONTENT PILLAR MAPPING'!C446&lt;&gt;"", 'CONTENT PILLAR MAPPING'!D446&lt;&gt;"", 'CONTENT PILLAR MAPPING'!E446&lt;&gt;"", 'CONTENT PILLAR MAPPING'!D454&lt;&gt;"", 'CONTENT PILLAR MAPPING'!D455&lt;&gt;""),
CONCATENATE(
"Sebagai seorang top konten kreator dengan niche utama '", 'CONTENT PILLAR MAPPING'!C438, "', spesifik kategori '", 'CONTENT PILLAR MAPPING'!E438, "', dan super spesifik '", 'CONTENT PILLAR MAPPING'!F438, "', yang dikenal sebagai '", 'CONTENT PILLAR MAPPING'!C441, "'.", CHAR(10),
"Saya memiliki Tone of Voice: '", 'CONTENT PILLAR MAPPING'!C446, "', Brand Archetype: '", 'CONTENT PILLAR MAPPING'!D446, "', dan Deskripsi Gaya Komunikasi: '", 'CONTENT PILLAR MAPPING'!E446, "'.", CHAR(10),
"Target audiens saya adalah: '", 'CONTENT PILLAR MAPPING'!D454, "', dengan segmentasi audiens: '", 'CONTENT PILLAR MAPPING'!D455, "'.", CHAR(10), CHAR(10),
"Mohon buatkan script konten yang **sangat powerful, menarik, inovatif, dan siap pakai** dengan judul ide '", B536, "'.", CHAR(10),
"Konten ini memiliki pilar '", C536, "', nilai tambah utama '", F536, "', dan akan menggunakan storytelling framework '", G536, "'.", CHAR(10),
"Gambaran singkat ide kontennya adalah: '", J536, "'.", CHAR(10),
"Konten ini akan diunggah di platform '", E536, "' dengan format '", D536,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MAPPING'!C441, "'.** Sesuaikan dengan gaya komunikasi saya, dengan fokus pada nilai tambah '", F536,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MAPPING'!D454, ", khusus ", 'CONTENT PILLAR MAPPING'!D455, ") dan membantu mereka menyelesaikan masalah atau mencapai tujuan mereka.", CHAR(10),
"✔ Membantuku membangun personal branding yang kuat dan sustainable, sesuai dengan Positioning saya sebagai '", 'CONTENT PILLAR MAPPING'!C441, "' dan Brand Archetype '", 'CONTENT PILLAR MAPPING'!D446, "'.", CHAR(10),
"✔ Kemas dalam bentuk tabel agar rapi, mudah di baca dan dipahami, dengan kolom 'Judul Konten', 'Pilar', 'Format', 'Draft Script', 'CTA', 'Saran Visual', dan 'Full Caption'. (Kosongkan kolom Link Prompt jika ada)."
),
"")</f>
        <v/>
      </c>
      <c r="L536" s="199" t="n"/>
      <c r="M536" s="199" t="n"/>
      <c r="N536" s="102" t="n"/>
      <c r="O536" s="102" t="n"/>
      <c r="P536" s="102" t="n"/>
      <c r="Q536" s="102" t="n"/>
      <c r="R536" s="102" t="n"/>
      <c r="S536" s="102" t="n"/>
      <c r="T536" s="102" t="n"/>
      <c r="U536" s="102" t="n"/>
      <c r="V536" s="102" t="n"/>
      <c r="W536" s="102" t="n"/>
      <c r="X536" s="102" t="n"/>
      <c r="Y536" s="102" t="n"/>
      <c r="Z536" s="102" t="n"/>
      <c r="AA536" s="102" t="n"/>
      <c r="AB536" s="102" t="n"/>
      <c r="AC536" s="102" t="n"/>
      <c r="AD536" s="102" t="n"/>
    </row>
    <row r="537" ht="15.75" customHeight="1" s="205">
      <c r="A537" s="102" t="n"/>
      <c r="B537" s="142" t="n"/>
      <c r="C537" s="143" t="n"/>
      <c r="D537" s="143" t="n"/>
      <c r="E537" s="143" t="n"/>
      <c r="F537" s="143" t="n"/>
      <c r="G537" s="144" t="n"/>
      <c r="H537" s="145">
        <f>IF(K537&lt;&gt;"", HYPERLINK("https://chatgpt.com/?prompt=" &amp; SUBSTITUTE(SUBSTITUTE(K537, " ", "+"), "&amp;", "dan") &amp; "&amp;force-refresh=true&amp;timestamp=" &amp; TEXT(NOW(), "yyyymmddhhmmss"), "👉 Klik untuk Generate Script! 🔥"), "")</f>
        <v/>
      </c>
      <c r="I537" s="143" t="n"/>
      <c r="J537" s="146" t="n"/>
      <c r="K537" s="130">
        <f>IF(AND(B537&lt;&gt;"", C537&lt;&gt;"", D537&lt;&gt;"", E537&lt;&gt;"", F537&lt;&gt;"", G537&lt;&gt;"", J537&lt;&gt;"", 'CONTENT PILLAR MAPPING'!C440&lt;&gt;"", 'CONTENT PILLAR MAPPING'!E440&lt;&gt;"", 'CONTENT PILLAR MAPPING'!F440&lt;&gt;"", 'CONTENT PILLAR MAPPING'!C443&lt;&gt;"", 'CONTENT PILLAR MAPPING'!C448&lt;&gt;"", 'CONTENT PILLAR MAPPING'!D448&lt;&gt;"", 'CONTENT PILLAR MAPPING'!E448&lt;&gt;"", 'CONTENT PILLAR MAPPING'!D456&lt;&gt;"", 'CONTENT PILLAR MAPPING'!D457&lt;&gt;""),
CONCATENATE(
"Sebagai seorang top konten kreator dengan niche utama '", 'CONTENT PILLAR MAPPING'!C440, "', spesifik kategori '", 'CONTENT PILLAR MAPPING'!E440, "', dan super spesifik '", 'CONTENT PILLAR MAPPING'!F440, "', yang dikenal sebagai '", 'CONTENT PILLAR MAPPING'!C443, "'.", CHAR(10),
"Saya memiliki Tone of Voice: '", 'CONTENT PILLAR MAPPING'!C448, "', Brand Archetype: '", 'CONTENT PILLAR MAPPING'!D448, "', dan Deskripsi Gaya Komunikasi: '", 'CONTENT PILLAR MAPPING'!E448, "'.", CHAR(10),
"Target audiens saya adalah: '", 'CONTENT PILLAR MAPPING'!D456, "', dengan segmentasi audiens: '", 'CONTENT PILLAR MAPPING'!D457, "'.", CHAR(10), CHAR(10),
"Mohon buatkan script konten yang **sangat powerful, menarik, inovatif, dan siap pakai** dengan judul ide '", B537, "'.", CHAR(10),
"Konten ini memiliki pilar '", C537, "', nilai tambah utama '", F537, "', dan akan menggunakan storytelling framework '", G537, "'.", CHAR(10),
"Gambaran singkat ide kontennya adalah: '", J537, "'.", CHAR(10),
"Konten ini akan diunggah di platform '", E537, "' dengan format '", D537,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MAPPING'!C443, "'.** Sesuaikan dengan gaya komunikasi saya, dengan fokus pada nilai tambah '", F537,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MAPPING'!D456, ", khusus ", 'CONTENT PILLAR MAPPING'!D457, ") dan membantu mereka menyelesaikan masalah atau mencapai tujuan mereka.", CHAR(10),
"✔ Membantuku membangun personal branding yang kuat dan sustainable, sesuai dengan Positioning saya sebagai '", 'CONTENT PILLAR MAPPING'!C443, "' dan Brand Archetype '", 'CONTENT PILLAR MAPPING'!D448, "'.", CHAR(10),
"✔ Kemas dalam bentuk tabel agar rapi, mudah di baca dan dipahami, dengan kolom 'Judul Konten', 'Pilar', 'Format', 'Draft Script', 'CTA', 'Saran Visual', dan 'Full Caption'. (Kosongkan kolom Link Prompt jika ada)."
),
"")</f>
        <v/>
      </c>
      <c r="L537" s="91" t="n"/>
      <c r="M537" s="91" t="n"/>
      <c r="N537" s="102" t="n"/>
      <c r="O537" s="102" t="n"/>
      <c r="P537" s="102" t="n"/>
      <c r="Q537" s="102" t="n"/>
      <c r="R537" s="102" t="n"/>
      <c r="S537" s="102" t="n"/>
      <c r="T537" s="102" t="n"/>
      <c r="U537" s="102" t="n"/>
      <c r="V537" s="102" t="n"/>
      <c r="W537" s="102" t="n"/>
      <c r="X537" s="102" t="n"/>
      <c r="Y537" s="102" t="n"/>
      <c r="Z537" s="102" t="n"/>
      <c r="AA537" s="102" t="n"/>
      <c r="AB537" s="102" t="n"/>
      <c r="AC537" s="102" t="n"/>
      <c r="AD537" s="102" t="n"/>
    </row>
    <row r="538" ht="15.75" customHeight="1" s="205">
      <c r="A538" s="102" t="n"/>
      <c r="B538" s="147" t="n"/>
      <c r="C538" s="144" t="n"/>
      <c r="D538" s="144" t="n"/>
      <c r="E538" s="144" t="n"/>
      <c r="F538" s="144" t="n"/>
      <c r="G538" s="144" t="n"/>
      <c r="H538" s="141">
        <f>IF(K538&lt;&gt;"", HYPERLINK("https://chatgpt.com/?prompt=" &amp; SUBSTITUTE(SUBSTITUTE(K538, " ", "+"), "&amp;", "dan") &amp; "&amp;force-refresh=true&amp;timestamp=" &amp; TEXT(NOW(), "yyyymmddhhmmss"), "👉 Klik untuk Generate Script! 🔥"), "")</f>
        <v/>
      </c>
      <c r="I538" s="144" t="n"/>
      <c r="J538" s="148" t="n"/>
      <c r="K538" s="140">
        <f>IF(AND(B538&lt;&gt;"", C538&lt;&gt;"", D538&lt;&gt;"", E538&lt;&gt;"", F538&lt;&gt;"", G538&lt;&gt;"", J538&lt;&gt;"", 'CONTENT PILLAR MAPPING'!C440&lt;&gt;"", 'CONTENT PILLAR MAPPING'!E440&lt;&gt;"", 'CONTENT PILLAR MAPPING'!F440&lt;&gt;"", 'CONTENT PILLAR MAPPING'!C443&lt;&gt;"", 'CONTENT PILLAR MAPPING'!C448&lt;&gt;"", 'CONTENT PILLAR MAPPING'!D448&lt;&gt;"", 'CONTENT PILLAR MAPPING'!E448&lt;&gt;"", 'CONTENT PILLAR MAPPING'!D456&lt;&gt;"", 'CONTENT PILLAR MAPPING'!D457&lt;&gt;""),
CONCATENATE(
"Sebagai seorang top konten kreator dengan niche utama '", 'CONTENT PILLAR MAPPING'!C440, "', spesifik kategori '", 'CONTENT PILLAR MAPPING'!E440, "', dan super spesifik '", 'CONTENT PILLAR MAPPING'!F440, "', yang dikenal sebagai '", 'CONTENT PILLAR MAPPING'!C443, "'.", CHAR(10),
"Saya memiliki Tone of Voice: '", 'CONTENT PILLAR MAPPING'!C448, "', Brand Archetype: '", 'CONTENT PILLAR MAPPING'!D448, "', dan Deskripsi Gaya Komunikasi: '", 'CONTENT PILLAR MAPPING'!E448, "'.", CHAR(10),
"Target audiens saya adalah: '", 'CONTENT PILLAR MAPPING'!D456, "', dengan segmentasi audiens: '", 'CONTENT PILLAR MAPPING'!D457, "'.", CHAR(10), CHAR(10),
"Mohon buatkan script konten yang **sangat powerful, menarik, inovatif, dan siap pakai** dengan judul ide '", B538, "'.", CHAR(10),
"Konten ini memiliki pilar '", C538, "', nilai tambah utama '", F538, "', dan akan menggunakan storytelling framework '", G538, "'.", CHAR(10),
"Gambaran singkat ide kontennya adalah: '", J538, "'.", CHAR(10),
"Konten ini akan diunggah di platform '", E538, "' dengan format '", D538,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MAPPING'!C443, "'.** Sesuaikan dengan gaya komunikasi saya, dengan fokus pada nilai tambah '", F538,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MAPPING'!D456, ", khusus ", 'CONTENT PILLAR MAPPING'!D457, ") dan membantu mereka menyelesaikan masalah atau mencapai tujuan mereka.", CHAR(10),
"✔ Membantuku membangun personal branding yang kuat dan sustainable, sesuai dengan Positioning saya sebagai '", 'CONTENT PILLAR MAPPING'!C443, "' dan Brand Archetype '", 'CONTENT PILLAR MAPPING'!D448, "'.", CHAR(10),
"✔ Kemas dalam bentuk tabel agar rapi, mudah di baca dan dipahami, dengan kolom 'Judul Konten', 'Pilar', 'Format', 'Draft Script', 'CTA', 'Saran Visual', dan 'Full Caption'. (Kosongkan kolom Link Prompt jika ada)."
),
"")</f>
        <v/>
      </c>
      <c r="L538" s="199" t="n"/>
      <c r="M538" s="199" t="n"/>
      <c r="N538" s="102" t="n"/>
      <c r="O538" s="102" t="n"/>
      <c r="P538" s="102" t="n"/>
      <c r="Q538" s="102" t="n"/>
      <c r="R538" s="102" t="n"/>
      <c r="S538" s="102" t="n"/>
      <c r="T538" s="102" t="n"/>
      <c r="U538" s="102" t="n"/>
      <c r="V538" s="102" t="n"/>
      <c r="W538" s="102" t="n"/>
      <c r="X538" s="102" t="n"/>
      <c r="Y538" s="102" t="n"/>
      <c r="Z538" s="102" t="n"/>
      <c r="AA538" s="102" t="n"/>
      <c r="AB538" s="102" t="n"/>
      <c r="AC538" s="102" t="n"/>
      <c r="AD538" s="102" t="n"/>
    </row>
    <row r="539" ht="15.75" customHeight="1" s="205">
      <c r="A539" s="102" t="n"/>
      <c r="B539" s="142" t="n"/>
      <c r="C539" s="143" t="n"/>
      <c r="D539" s="143" t="n"/>
      <c r="E539" s="143" t="n"/>
      <c r="F539" s="143" t="n"/>
      <c r="G539" s="144" t="n"/>
      <c r="H539" s="145">
        <f>IF(K539&lt;&gt;"", HYPERLINK("https://chatgpt.com/?prompt=" &amp; SUBSTITUTE(SUBSTITUTE(K539, " ", "+"), "&amp;", "dan") &amp; "&amp;force-refresh=true&amp;timestamp=" &amp; TEXT(NOW(), "yyyymmddhhmmss"), "👉 Klik untuk Generate Script! 🔥"), "")</f>
        <v/>
      </c>
      <c r="I539" s="143" t="n"/>
      <c r="J539" s="146" t="n"/>
      <c r="K539" s="130">
        <f>IF(AND(B539&lt;&gt;"", C539&lt;&gt;"", D539&lt;&gt;"", E539&lt;&gt;"", F539&lt;&gt;"", G539&lt;&gt;"", J539&lt;&gt;"", 'CONTENT PILLAR MAPPING'!C442&lt;&gt;"", 'CONTENT PILLAR MAPPING'!E442&lt;&gt;"", 'CONTENT PILLAR MAPPING'!F442&lt;&gt;"", 'CONTENT PILLAR MAPPING'!C445&lt;&gt;"", 'CONTENT PILLAR MAPPING'!C450&lt;&gt;"", 'CONTENT PILLAR MAPPING'!D450&lt;&gt;"", 'CONTENT PILLAR MAPPING'!E450&lt;&gt;"", 'CONTENT PILLAR MAPPING'!D458&lt;&gt;"", 'CONTENT PILLAR MAPPING'!D459&lt;&gt;""),
CONCATENATE(
"Sebagai seorang top konten kreator dengan niche utama '", 'CONTENT PILLAR MAPPING'!C442, "', spesifik kategori '", 'CONTENT PILLAR MAPPING'!E442, "', dan super spesifik '", 'CONTENT PILLAR MAPPING'!F442, "', yang dikenal sebagai '", 'CONTENT PILLAR MAPPING'!C445, "'.", CHAR(10),
"Saya memiliki Tone of Voice: '", 'CONTENT PILLAR MAPPING'!C450, "', Brand Archetype: '", 'CONTENT PILLAR MAPPING'!D450, "', dan Deskripsi Gaya Komunikasi: '", 'CONTENT PILLAR MAPPING'!E450, "'.", CHAR(10),
"Target audiens saya adalah: '", 'CONTENT PILLAR MAPPING'!D458, "', dengan segmentasi audiens: '", 'CONTENT PILLAR MAPPING'!D459, "'.", CHAR(10), CHAR(10),
"Mohon buatkan script konten yang **sangat powerful, menarik, inovatif, dan siap pakai** dengan judul ide '", B539, "'.", CHAR(10),
"Konten ini memiliki pilar '", C539, "', nilai tambah utama '", F539, "', dan akan menggunakan storytelling framework '", G539, "'.", CHAR(10),
"Gambaran singkat ide kontennya adalah: '", J539, "'.", CHAR(10),
"Konten ini akan diunggah di platform '", E539, "' dengan format '", D539,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MAPPING'!C445, "'.** Sesuaikan dengan gaya komunikasi saya, dengan fokus pada nilai tambah '", F539,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MAPPING'!D458, ", khusus ", 'CONTENT PILLAR MAPPING'!D459, ") dan membantu mereka menyelesaikan masalah atau mencapai tujuan mereka.", CHAR(10),
"✔ Membantuku membangun personal branding yang kuat dan sustainable, sesuai dengan Positioning saya sebagai '", 'CONTENT PILLAR MAPPING'!C445, "' dan Brand Archetype '", 'CONTENT PILLAR MAPPING'!D450, "'.", CHAR(10),
"✔ Kemas dalam bentuk tabel agar rapi, mudah di baca dan dipahami, dengan kolom 'Judul Konten', 'Pilar', 'Format', 'Draft Script', 'CTA', 'Saran Visual', dan 'Full Caption'. (Kosongkan kolom Link Prompt jika ada)."
),
"")</f>
        <v/>
      </c>
      <c r="L539" s="91" t="n"/>
      <c r="M539" s="91" t="n"/>
      <c r="N539" s="102" t="n"/>
      <c r="O539" s="102" t="n"/>
      <c r="P539" s="102" t="n"/>
      <c r="Q539" s="102" t="n"/>
      <c r="R539" s="102" t="n"/>
      <c r="S539" s="102" t="n"/>
      <c r="T539" s="102" t="n"/>
      <c r="U539" s="102" t="n"/>
      <c r="V539" s="102" t="n"/>
      <c r="W539" s="102" t="n"/>
      <c r="X539" s="102" t="n"/>
      <c r="Y539" s="102" t="n"/>
      <c r="Z539" s="102" t="n"/>
      <c r="AA539" s="102" t="n"/>
      <c r="AB539" s="102" t="n"/>
      <c r="AC539" s="102" t="n"/>
      <c r="AD539" s="102" t="n"/>
    </row>
    <row r="540" ht="15.75" customHeight="1" s="205">
      <c r="A540" s="102" t="n"/>
      <c r="B540" s="147" t="n"/>
      <c r="C540" s="144" t="n"/>
      <c r="D540" s="144" t="n"/>
      <c r="E540" s="144" t="n"/>
      <c r="F540" s="144" t="n"/>
      <c r="G540" s="144" t="n"/>
      <c r="H540" s="141">
        <f>IF(K540&lt;&gt;"", HYPERLINK("https://chatgpt.com/?prompt=" &amp; SUBSTITUTE(SUBSTITUTE(K540, " ", "+"), "&amp;", "dan") &amp; "&amp;force-refresh=true&amp;timestamp=" &amp; TEXT(NOW(), "yyyymmddhhmmss"), "👉 Klik untuk Generate Script! 🔥"), "")</f>
        <v/>
      </c>
      <c r="I540" s="144" t="n"/>
      <c r="J540" s="148" t="n"/>
      <c r="K540" s="140">
        <f>IF(AND(B540&lt;&gt;"", C540&lt;&gt;"", D540&lt;&gt;"", E540&lt;&gt;"", F540&lt;&gt;"", G540&lt;&gt;"", J540&lt;&gt;"", 'CONTENT PILLAR MAPPING'!C442&lt;&gt;"", 'CONTENT PILLAR MAPPING'!E442&lt;&gt;"", 'CONTENT PILLAR MAPPING'!F442&lt;&gt;"", 'CONTENT PILLAR MAPPING'!C445&lt;&gt;"", 'CONTENT PILLAR MAPPING'!C450&lt;&gt;"", 'CONTENT PILLAR MAPPING'!D450&lt;&gt;"", 'CONTENT PILLAR MAPPING'!E450&lt;&gt;"", 'CONTENT PILLAR MAPPING'!D458&lt;&gt;"", 'CONTENT PILLAR MAPPING'!D459&lt;&gt;""),
CONCATENATE(
"Sebagai seorang top konten kreator dengan niche utama '", 'CONTENT PILLAR MAPPING'!C442, "', spesifik kategori '", 'CONTENT PILLAR MAPPING'!E442, "', dan super spesifik '", 'CONTENT PILLAR MAPPING'!F442, "', yang dikenal sebagai '", 'CONTENT PILLAR MAPPING'!C445, "'.", CHAR(10),
"Saya memiliki Tone of Voice: '", 'CONTENT PILLAR MAPPING'!C450, "', Brand Archetype: '", 'CONTENT PILLAR MAPPING'!D450, "', dan Deskripsi Gaya Komunikasi: '", 'CONTENT PILLAR MAPPING'!E450, "'.", CHAR(10),
"Target audiens saya adalah: '", 'CONTENT PILLAR MAPPING'!D458, "', dengan segmentasi audiens: '", 'CONTENT PILLAR MAPPING'!D459, "'.", CHAR(10), CHAR(10),
"Mohon buatkan script konten yang **sangat powerful, menarik, inovatif, dan siap pakai** dengan judul ide '", B540, "'.", CHAR(10),
"Konten ini memiliki pilar '", C540, "', nilai tambah utama '", F540, "', dan akan menggunakan storytelling framework '", G540, "'.", CHAR(10),
"Gambaran singkat ide kontennya adalah: '", J540, "'.", CHAR(10),
"Konten ini akan diunggah di platform '", E540, "' dengan format '", D540,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MAPPING'!C445, "'.** Sesuaikan dengan gaya komunikasi saya, dengan fokus pada nilai tambah '", F540,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MAPPING'!D458, ", khusus ", 'CONTENT PILLAR MAPPING'!D459, ") dan membantu mereka menyelesaikan masalah atau mencapai tujuan mereka.", CHAR(10),
"✔ Membantuku membangun personal branding yang kuat dan sustainable, sesuai dengan Positioning saya sebagai '", 'CONTENT PILLAR MAPPING'!C445, "' dan Brand Archetype '", 'CONTENT PILLAR MAPPING'!D450, "'.", CHAR(10),
"✔ Kemas dalam bentuk tabel agar rapi, mudah di baca dan dipahami, dengan kolom 'Judul Konten', 'Pilar', 'Format', 'Draft Script', 'CTA', 'Saran Visual', dan 'Full Caption'. (Kosongkan kolom Link Prompt jika ada)."
),
"")</f>
        <v/>
      </c>
      <c r="L540" s="199" t="n"/>
      <c r="M540" s="199" t="n"/>
      <c r="N540" s="102" t="n"/>
      <c r="O540" s="102" t="n"/>
      <c r="P540" s="102" t="n"/>
      <c r="Q540" s="102" t="n"/>
      <c r="R540" s="102" t="n"/>
      <c r="S540" s="102" t="n"/>
      <c r="T540" s="102" t="n"/>
      <c r="U540" s="102" t="n"/>
      <c r="V540" s="102" t="n"/>
      <c r="W540" s="102" t="n"/>
      <c r="X540" s="102" t="n"/>
      <c r="Y540" s="102" t="n"/>
      <c r="Z540" s="102" t="n"/>
      <c r="AA540" s="102" t="n"/>
      <c r="AB540" s="102" t="n"/>
      <c r="AC540" s="102" t="n"/>
      <c r="AD540" s="102" t="n"/>
    </row>
    <row r="541" ht="15.75" customHeight="1" s="205">
      <c r="A541" s="102" t="n"/>
      <c r="B541" s="142" t="n"/>
      <c r="C541" s="143" t="n"/>
      <c r="D541" s="143" t="n"/>
      <c r="E541" s="143" t="n"/>
      <c r="F541" s="143" t="n"/>
      <c r="G541" s="144" t="n"/>
      <c r="H541" s="145">
        <f>IF(K541&lt;&gt;"", HYPERLINK("https://chatgpt.com/?prompt=" &amp; SUBSTITUTE(SUBSTITUTE(K541, " ", "+"), "&amp;", "dan") &amp; "&amp;force-refresh=true&amp;timestamp=" &amp; TEXT(NOW(), "yyyymmddhhmmss"), "👉 Klik untuk Generate Script! 🔥"), "")</f>
        <v/>
      </c>
      <c r="I541" s="143" t="n"/>
      <c r="J541" s="146" t="n"/>
      <c r="K541" s="130">
        <f>IF(AND(B541&lt;&gt;"", C541&lt;&gt;"", D541&lt;&gt;"", E541&lt;&gt;"", F541&lt;&gt;"", G541&lt;&gt;"", J541&lt;&gt;"", 'CONTENT PILLAR MAPPING'!C444&lt;&gt;"", 'CONTENT PILLAR MAPPING'!E444&lt;&gt;"", 'CONTENT PILLAR MAPPING'!F444&lt;&gt;"", 'CONTENT PILLAR MAPPING'!C447&lt;&gt;"", 'CONTENT PILLAR MAPPING'!C452&lt;&gt;"", 'CONTENT PILLAR MAPPING'!D452&lt;&gt;"", 'CONTENT PILLAR MAPPING'!E452&lt;&gt;"", 'CONTENT PILLAR MAPPING'!D460&lt;&gt;"", 'CONTENT PILLAR MAPPING'!D461&lt;&gt;""),
CONCATENATE(
"Sebagai seorang top konten kreator dengan niche utama '", 'CONTENT PILLAR MAPPING'!C444, "', spesifik kategori '", 'CONTENT PILLAR MAPPING'!E444, "', dan super spesifik '", 'CONTENT PILLAR MAPPING'!F444, "', yang dikenal sebagai '", 'CONTENT PILLAR MAPPING'!C447, "'.", CHAR(10),
"Saya memiliki Tone of Voice: '", 'CONTENT PILLAR MAPPING'!C452, "', Brand Archetype: '", 'CONTENT PILLAR MAPPING'!D452, "', dan Deskripsi Gaya Komunikasi: '", 'CONTENT PILLAR MAPPING'!E452, "'.", CHAR(10),
"Target audiens saya adalah: '", 'CONTENT PILLAR MAPPING'!D460, "', dengan segmentasi audiens: '", 'CONTENT PILLAR MAPPING'!D461, "'.", CHAR(10), CHAR(10),
"Mohon buatkan script konten yang **sangat powerful, menarik, inovatif, dan siap pakai** dengan judul ide '", B541, "'.", CHAR(10),
"Konten ini memiliki pilar '", C541, "', nilai tambah utama '", F541, "', dan akan menggunakan storytelling framework '", G541, "'.", CHAR(10),
"Gambaran singkat ide kontennya adalah: '", J541, "'.", CHAR(10),
"Konten ini akan diunggah di platform '", E541, "' dengan format '", D541,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MAPPING'!C447, "'.** Sesuaikan dengan gaya komunikasi saya, dengan fokus pada nilai tambah '", F541,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MAPPING'!D460, ", khusus ", 'CONTENT PILLAR MAPPING'!D461, ") dan membantu mereka menyelesaikan masalah atau mencapai tujuan mereka.", CHAR(10),
"✔ Membantuku membangun personal branding yang kuat dan sustainable, sesuai dengan Positioning saya sebagai '", 'CONTENT PILLAR MAPPING'!C447, "' dan Brand Archetype '", 'CONTENT PILLAR MAPPING'!D452, "'.", CHAR(10),
"✔ Kemas dalam bentuk tabel agar rapi, mudah di baca dan dipahami, dengan kolom 'Judul Konten', 'Pilar', 'Format', 'Draft Script', 'CTA', 'Saran Visual', dan 'Full Caption'. (Kosongkan kolom Link Prompt jika ada)."
),
"")</f>
        <v/>
      </c>
      <c r="L541" s="91" t="n"/>
      <c r="M541" s="91" t="n"/>
      <c r="N541" s="102" t="n"/>
      <c r="O541" s="102" t="n"/>
      <c r="P541" s="102" t="n"/>
      <c r="Q541" s="102" t="n"/>
      <c r="R541" s="102" t="n"/>
      <c r="S541" s="102" t="n"/>
      <c r="T541" s="102" t="n"/>
      <c r="U541" s="102" t="n"/>
      <c r="V541" s="102" t="n"/>
      <c r="W541" s="102" t="n"/>
      <c r="X541" s="102" t="n"/>
      <c r="Y541" s="102" t="n"/>
      <c r="Z541" s="102" t="n"/>
      <c r="AA541" s="102" t="n"/>
      <c r="AB541" s="102" t="n"/>
      <c r="AC541" s="102" t="n"/>
      <c r="AD541" s="102" t="n"/>
    </row>
    <row r="542" ht="15.75" customHeight="1" s="205">
      <c r="A542" s="102" t="n"/>
      <c r="B542" s="147" t="n"/>
      <c r="C542" s="144" t="n"/>
      <c r="D542" s="144" t="n"/>
      <c r="E542" s="144" t="n"/>
      <c r="F542" s="144" t="n"/>
      <c r="G542" s="144" t="n"/>
      <c r="H542" s="141">
        <f>IF(K542&lt;&gt;"", HYPERLINK("https://chatgpt.com/?prompt=" &amp; SUBSTITUTE(SUBSTITUTE(K542, " ", "+"), "&amp;", "dan") &amp; "&amp;force-refresh=true&amp;timestamp=" &amp; TEXT(NOW(), "yyyymmddhhmmss"), "👉 Klik untuk Generate Script! 🔥"), "")</f>
        <v/>
      </c>
      <c r="I542" s="144" t="n"/>
      <c r="J542" s="148" t="n"/>
      <c r="K542" s="140">
        <f>IF(AND(B542&lt;&gt;"", C542&lt;&gt;"", D542&lt;&gt;"", E542&lt;&gt;"", F542&lt;&gt;"", G542&lt;&gt;"", J542&lt;&gt;"", 'CONTENT PILLAR MAPPING'!C444&lt;&gt;"", 'CONTENT PILLAR MAPPING'!E444&lt;&gt;"", 'CONTENT PILLAR MAPPING'!F444&lt;&gt;"", 'CONTENT PILLAR MAPPING'!C447&lt;&gt;"", 'CONTENT PILLAR MAPPING'!C452&lt;&gt;"", 'CONTENT PILLAR MAPPING'!D452&lt;&gt;"", 'CONTENT PILLAR MAPPING'!E452&lt;&gt;"", 'CONTENT PILLAR MAPPING'!D460&lt;&gt;"", 'CONTENT PILLAR MAPPING'!D461&lt;&gt;""),
CONCATENATE(
"Sebagai seorang top konten kreator dengan niche utama '", 'CONTENT PILLAR MAPPING'!C444, "', spesifik kategori '", 'CONTENT PILLAR MAPPING'!E444, "', dan super spesifik '", 'CONTENT PILLAR MAPPING'!F444, "', yang dikenal sebagai '", 'CONTENT PILLAR MAPPING'!C447, "'.", CHAR(10),
"Saya memiliki Tone of Voice: '", 'CONTENT PILLAR MAPPING'!C452, "', Brand Archetype: '", 'CONTENT PILLAR MAPPING'!D452, "', dan Deskripsi Gaya Komunikasi: '", 'CONTENT PILLAR MAPPING'!E452, "'.", CHAR(10),
"Target audiens saya adalah: '", 'CONTENT PILLAR MAPPING'!D460, "', dengan segmentasi audiens: '", 'CONTENT PILLAR MAPPING'!D461, "'.", CHAR(10), CHAR(10),
"Mohon buatkan script konten yang **sangat powerful, menarik, inovatif, dan siap pakai** dengan judul ide '", B542, "'.", CHAR(10),
"Konten ini memiliki pilar '", C542, "', nilai tambah utama '", F542, "', dan akan menggunakan storytelling framework '", G542, "'.", CHAR(10),
"Gambaran singkat ide kontennya adalah: '", J542, "'.", CHAR(10),
"Konten ini akan diunggah di platform '", E542, "' dengan format '", D542,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MAPPING'!C447, "'.** Sesuaikan dengan gaya komunikasi saya, dengan fokus pada nilai tambah '", F542,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MAPPING'!D460, ", khusus ", 'CONTENT PILLAR MAPPING'!D461, ") dan membantu mereka menyelesaikan masalah atau mencapai tujuan mereka.", CHAR(10),
"✔ Membantuku membangun personal branding yang kuat dan sustainable, sesuai dengan Positioning saya sebagai '", 'CONTENT PILLAR MAPPING'!C447, "' dan Brand Archetype '", 'CONTENT PILLAR MAPPING'!D452, "'.", CHAR(10),
"✔ Kemas dalam bentuk tabel agar rapi, mudah di baca dan dipahami, dengan kolom 'Judul Konten', 'Pilar', 'Format', 'Draft Script', 'CTA', 'Saran Visual', dan 'Full Caption'. (Kosongkan kolom Link Prompt jika ada)."
),
"")</f>
        <v/>
      </c>
      <c r="L542" s="199" t="n"/>
      <c r="M542" s="199" t="n"/>
      <c r="N542" s="102" t="n"/>
      <c r="O542" s="102" t="n"/>
      <c r="P542" s="102" t="n"/>
      <c r="Q542" s="102" t="n"/>
      <c r="R542" s="102" t="n"/>
      <c r="S542" s="102" t="n"/>
      <c r="T542" s="102" t="n"/>
      <c r="U542" s="102" t="n"/>
      <c r="V542" s="102" t="n"/>
      <c r="W542" s="102" t="n"/>
      <c r="X542" s="102" t="n"/>
      <c r="Y542" s="102" t="n"/>
      <c r="Z542" s="102" t="n"/>
      <c r="AA542" s="102" t="n"/>
      <c r="AB542" s="102" t="n"/>
      <c r="AC542" s="102" t="n"/>
      <c r="AD542" s="102" t="n"/>
    </row>
    <row r="543" ht="15.75" customHeight="1" s="205">
      <c r="A543" s="102" t="n"/>
      <c r="B543" s="142" t="n"/>
      <c r="C543" s="143" t="n"/>
      <c r="D543" s="143" t="n"/>
      <c r="E543" s="143" t="n"/>
      <c r="F543" s="143" t="n"/>
      <c r="G543" s="144" t="n"/>
      <c r="H543" s="145">
        <f>IF(K543&lt;&gt;"", HYPERLINK("https://chatgpt.com/?prompt=" &amp; SUBSTITUTE(SUBSTITUTE(K543, " ", "+"), "&amp;", "dan") &amp; "&amp;force-refresh=true&amp;timestamp=" &amp; TEXT(NOW(), "yyyymmddhhmmss"), "👉 Klik untuk Generate Script! 🔥"), "")</f>
        <v/>
      </c>
      <c r="I543" s="143" t="n"/>
      <c r="J543" s="146" t="n"/>
      <c r="K543" s="130">
        <f>IF(AND(B543&lt;&gt;"", C543&lt;&gt;"", D543&lt;&gt;"", E543&lt;&gt;"", F543&lt;&gt;"", G543&lt;&gt;"", J543&lt;&gt;"", 'CONTENT PILLAR MAPPING'!C446&lt;&gt;"", 'CONTENT PILLAR MAPPING'!E446&lt;&gt;"", 'CONTENT PILLAR MAPPING'!F446&lt;&gt;"", 'CONTENT PILLAR MAPPING'!C449&lt;&gt;"", 'CONTENT PILLAR MAPPING'!C454&lt;&gt;"", 'CONTENT PILLAR MAPPING'!D454&lt;&gt;"", 'CONTENT PILLAR MAPPING'!E454&lt;&gt;"", 'CONTENT PILLAR MAPPING'!D462&lt;&gt;"", 'CONTENT PILLAR MAPPING'!D463&lt;&gt;""),
CONCATENATE(
"Sebagai seorang top konten kreator dengan niche utama '", 'CONTENT PILLAR MAPPING'!C446, "', spesifik kategori '", 'CONTENT PILLAR MAPPING'!E446, "', dan super spesifik '", 'CONTENT PILLAR MAPPING'!F446, "', yang dikenal sebagai '", 'CONTENT PILLAR MAPPING'!C449, "'.", CHAR(10),
"Saya memiliki Tone of Voice: '", 'CONTENT PILLAR MAPPING'!C454, "', Brand Archetype: '", 'CONTENT PILLAR MAPPING'!D454, "', dan Deskripsi Gaya Komunikasi: '", 'CONTENT PILLAR MAPPING'!E454, "'.", CHAR(10),
"Target audiens saya adalah: '", 'CONTENT PILLAR MAPPING'!D462, "', dengan segmentasi audiens: '", 'CONTENT PILLAR MAPPING'!D463, "'.", CHAR(10), CHAR(10),
"Mohon buatkan script konten yang **sangat powerful, menarik, inovatif, dan siap pakai** dengan judul ide '", B543, "'.", CHAR(10),
"Konten ini memiliki pilar '", C543, "', nilai tambah utama '", F543, "', dan akan menggunakan storytelling framework '", G543, "'.", CHAR(10),
"Gambaran singkat ide kontennya adalah: '", J543, "'.", CHAR(10),
"Konten ini akan diunggah di platform '", E543, "' dengan format '", D543,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MAPPING'!C449, "'.** Sesuaikan dengan gaya komunikasi saya, dengan fokus pada nilai tambah '", F543,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MAPPING'!D462, ", khusus ", 'CONTENT PILLAR MAPPING'!D463, ") dan membantu mereka menyelesaikan masalah atau mencapai tujuan mereka.", CHAR(10),
"✔ Membantuku membangun personal branding yang kuat dan sustainable, sesuai dengan Positioning saya sebagai '", 'CONTENT PILLAR MAPPING'!C449, "' dan Brand Archetype '", 'CONTENT PILLAR MAPPING'!D454, "'.", CHAR(10),
"✔ Kemas dalam bentuk tabel agar rapi, mudah di baca dan dipahami, dengan kolom 'Judul Konten', 'Pilar', 'Format', 'Draft Script', 'CTA', 'Saran Visual', dan 'Full Caption'. (Kosongkan kolom Link Prompt jika ada)."
),
"")</f>
        <v/>
      </c>
      <c r="L543" s="91" t="n"/>
      <c r="M543" s="91" t="n"/>
      <c r="N543" s="102" t="n"/>
      <c r="O543" s="102" t="n"/>
      <c r="P543" s="102" t="n"/>
      <c r="Q543" s="102" t="n"/>
      <c r="R543" s="102" t="n"/>
      <c r="S543" s="102" t="n"/>
      <c r="T543" s="102" t="n"/>
      <c r="U543" s="102" t="n"/>
      <c r="V543" s="102" t="n"/>
      <c r="W543" s="102" t="n"/>
      <c r="X543" s="102" t="n"/>
      <c r="Y543" s="102" t="n"/>
      <c r="Z543" s="102" t="n"/>
      <c r="AA543" s="102" t="n"/>
      <c r="AB543" s="102" t="n"/>
      <c r="AC543" s="102" t="n"/>
      <c r="AD543" s="102" t="n"/>
    </row>
    <row r="544" ht="15.75" customHeight="1" s="205">
      <c r="A544" s="102" t="n"/>
      <c r="B544" s="147" t="n"/>
      <c r="C544" s="144" t="n"/>
      <c r="D544" s="144" t="n"/>
      <c r="E544" s="144" t="n"/>
      <c r="F544" s="144" t="n"/>
      <c r="G544" s="144" t="n"/>
      <c r="H544" s="141">
        <f>IF(K544&lt;&gt;"", HYPERLINK("https://chatgpt.com/?prompt=" &amp; SUBSTITUTE(SUBSTITUTE(K544, " ", "+"), "&amp;", "dan") &amp; "&amp;force-refresh=true&amp;timestamp=" &amp; TEXT(NOW(), "yyyymmddhhmmss"), "👉 Klik untuk Generate Script! 🔥"), "")</f>
        <v/>
      </c>
      <c r="I544" s="144" t="n"/>
      <c r="J544" s="148" t="n"/>
      <c r="K544" s="140">
        <f>IF(AND(B544&lt;&gt;"", C544&lt;&gt;"", D544&lt;&gt;"", E544&lt;&gt;"", F544&lt;&gt;"", G544&lt;&gt;"", J544&lt;&gt;"", 'CONTENT PILLAR MAPPING'!C446&lt;&gt;"", 'CONTENT PILLAR MAPPING'!E446&lt;&gt;"", 'CONTENT PILLAR MAPPING'!F446&lt;&gt;"", 'CONTENT PILLAR MAPPING'!C449&lt;&gt;"", 'CONTENT PILLAR MAPPING'!C454&lt;&gt;"", 'CONTENT PILLAR MAPPING'!D454&lt;&gt;"", 'CONTENT PILLAR MAPPING'!E454&lt;&gt;"", 'CONTENT PILLAR MAPPING'!D462&lt;&gt;"", 'CONTENT PILLAR MAPPING'!D463&lt;&gt;""),
CONCATENATE(
"Sebagai seorang top konten kreator dengan niche utama '", 'CONTENT PILLAR MAPPING'!C446, "', spesifik kategori '", 'CONTENT PILLAR MAPPING'!E446, "', dan super spesifik '", 'CONTENT PILLAR MAPPING'!F446, "', yang dikenal sebagai '", 'CONTENT PILLAR MAPPING'!C449, "'.", CHAR(10),
"Saya memiliki Tone of Voice: '", 'CONTENT PILLAR MAPPING'!C454, "', Brand Archetype: '", 'CONTENT PILLAR MAPPING'!D454, "', dan Deskripsi Gaya Komunikasi: '", 'CONTENT PILLAR MAPPING'!E454, "'.", CHAR(10),
"Target audiens saya adalah: '", 'CONTENT PILLAR MAPPING'!D462, "', dengan segmentasi audiens: '", 'CONTENT PILLAR MAPPING'!D463, "'.", CHAR(10), CHAR(10),
"Mohon buatkan script konten yang **sangat powerful, menarik, inovatif, dan siap pakai** dengan judul ide '", B544, "'.", CHAR(10),
"Konten ini memiliki pilar '", C544, "', nilai tambah utama '", F544, "', dan akan menggunakan storytelling framework '", G544, "'.", CHAR(10),
"Gambaran singkat ide kontennya adalah: '", J544, "'.", CHAR(10),
"Konten ini akan diunggah di platform '", E544, "' dengan format '", D544,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MAPPING'!C449, "'.** Sesuaikan dengan gaya komunikasi saya, dengan fokus pada nilai tambah '", F544,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MAPPING'!D462, ", khusus ", 'CONTENT PILLAR MAPPING'!D463, ") dan membantu mereka menyelesaikan masalah atau mencapai tujuan mereka.", CHAR(10),
"✔ Membantuku membangun personal branding yang kuat dan sustainable, sesuai dengan Positioning saya sebagai '", 'CONTENT PILLAR MAPPING'!C449, "' dan Brand Archetype '", 'CONTENT PILLAR MAPPING'!D454, "'.", CHAR(10),
"✔ Kemas dalam bentuk tabel agar rapi, mudah di baca dan dipahami, dengan kolom 'Judul Konten', 'Pilar', 'Format', 'Draft Script', 'CTA', 'Saran Visual', dan 'Full Caption'. (Kosongkan kolom Link Prompt jika ada)."
),
"")</f>
        <v/>
      </c>
      <c r="L544" s="199" t="n"/>
      <c r="M544" s="199" t="n"/>
      <c r="N544" s="102" t="n"/>
      <c r="O544" s="102" t="n"/>
      <c r="P544" s="102" t="n"/>
      <c r="Q544" s="102" t="n"/>
      <c r="R544" s="102" t="n"/>
      <c r="S544" s="102" t="n"/>
      <c r="T544" s="102" t="n"/>
      <c r="U544" s="102" t="n"/>
      <c r="V544" s="102" t="n"/>
      <c r="W544" s="102" t="n"/>
      <c r="X544" s="102" t="n"/>
      <c r="Y544" s="102" t="n"/>
      <c r="Z544" s="102" t="n"/>
      <c r="AA544" s="102" t="n"/>
      <c r="AB544" s="102" t="n"/>
      <c r="AC544" s="102" t="n"/>
      <c r="AD544" s="102" t="n"/>
    </row>
    <row r="545" ht="15.75" customHeight="1" s="205">
      <c r="A545" s="102" t="n"/>
      <c r="B545" s="142" t="n"/>
      <c r="C545" s="143" t="n"/>
      <c r="D545" s="143" t="n"/>
      <c r="E545" s="143" t="n"/>
      <c r="F545" s="143" t="n"/>
      <c r="G545" s="144" t="n"/>
      <c r="H545" s="145">
        <f>IF(K545&lt;&gt;"", HYPERLINK("https://chatgpt.com/?prompt=" &amp; SUBSTITUTE(SUBSTITUTE(K545, " ", "+"), "&amp;", "dan") &amp; "&amp;force-refresh=true&amp;timestamp=" &amp; TEXT(NOW(), "yyyymmddhhmmss"), "👉 Klik untuk Generate Script! 🔥"), "")</f>
        <v/>
      </c>
      <c r="I545" s="143" t="n"/>
      <c r="J545" s="146" t="n"/>
      <c r="K545" s="130">
        <f>IF(AND(B545&lt;&gt;"", C545&lt;&gt;"", D545&lt;&gt;"", E545&lt;&gt;"", F545&lt;&gt;"", G545&lt;&gt;"", J545&lt;&gt;"", 'CONTENT PILLAR MAPPING'!C448&lt;&gt;"", 'CONTENT PILLAR MAPPING'!E448&lt;&gt;"", 'CONTENT PILLAR MAPPING'!F448&lt;&gt;"", 'CONTENT PILLAR MAPPING'!C451&lt;&gt;"", 'CONTENT PILLAR MAPPING'!C456&lt;&gt;"", 'CONTENT PILLAR MAPPING'!D456&lt;&gt;"", 'CONTENT PILLAR MAPPING'!E456&lt;&gt;"", 'CONTENT PILLAR MAPPING'!D464&lt;&gt;"", 'CONTENT PILLAR MAPPING'!D465&lt;&gt;""),
CONCATENATE(
"Sebagai seorang top konten kreator dengan niche utama '", 'CONTENT PILLAR MAPPING'!C448, "', spesifik kategori '", 'CONTENT PILLAR MAPPING'!E448, "', dan super spesifik '", 'CONTENT PILLAR MAPPING'!F448, "', yang dikenal sebagai '", 'CONTENT PILLAR MAPPING'!C451, "'.", CHAR(10),
"Saya memiliki Tone of Voice: '", 'CONTENT PILLAR MAPPING'!C456, "', Brand Archetype: '", 'CONTENT PILLAR MAPPING'!D456, "', dan Deskripsi Gaya Komunikasi: '", 'CONTENT PILLAR MAPPING'!E456, "'.", CHAR(10),
"Target audiens saya adalah: '", 'CONTENT PILLAR MAPPING'!D464, "', dengan segmentasi audiens: '", 'CONTENT PILLAR MAPPING'!D465, "'.", CHAR(10), CHAR(10),
"Mohon buatkan script konten yang **sangat powerful, menarik, inovatif, dan siap pakai** dengan judul ide '", B545, "'.", CHAR(10),
"Konten ini memiliki pilar '", C545, "', nilai tambah utama '", F545, "', dan akan menggunakan storytelling framework '", G545, "'.", CHAR(10),
"Gambaran singkat ide kontennya adalah: '", J545, "'.", CHAR(10),
"Konten ini akan diunggah di platform '", E545, "' dengan format '", D545,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MAPPING'!C451, "'.** Sesuaikan dengan gaya komunikasi saya, dengan fokus pada nilai tambah '", F545,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MAPPING'!D464, ", khusus ", 'CONTENT PILLAR MAPPING'!D465, ") dan membantu mereka menyelesaikan masalah atau mencapai tujuan mereka.", CHAR(10),
"✔ Membantuku membangun personal branding yang kuat dan sustainable, sesuai dengan Positioning saya sebagai '", 'CONTENT PILLAR MAPPING'!C451, "' dan Brand Archetype '", 'CONTENT PILLAR MAPPING'!D456, "'.", CHAR(10),
"✔ Kemas dalam bentuk tabel agar rapi, mudah di baca dan dipahami, dengan kolom 'Judul Konten', 'Pilar', 'Format', 'Draft Script', 'CTA', 'Saran Visual', dan 'Full Caption'. (Kosongkan kolom Link Prompt jika ada)."
),
"")</f>
        <v/>
      </c>
      <c r="L545" s="91" t="n"/>
      <c r="M545" s="91" t="n"/>
      <c r="N545" s="102" t="n"/>
      <c r="O545" s="102" t="n"/>
      <c r="P545" s="102" t="n"/>
      <c r="Q545" s="102" t="n"/>
      <c r="R545" s="102" t="n"/>
      <c r="S545" s="102" t="n"/>
      <c r="T545" s="102" t="n"/>
      <c r="U545" s="102" t="n"/>
      <c r="V545" s="102" t="n"/>
      <c r="W545" s="102" t="n"/>
      <c r="X545" s="102" t="n"/>
      <c r="Y545" s="102" t="n"/>
      <c r="Z545" s="102" t="n"/>
      <c r="AA545" s="102" t="n"/>
      <c r="AB545" s="102" t="n"/>
      <c r="AC545" s="102" t="n"/>
      <c r="AD545" s="102" t="n"/>
    </row>
    <row r="546" ht="15.75" customHeight="1" s="205">
      <c r="A546" s="102" t="n"/>
      <c r="B546" s="147" t="n"/>
      <c r="C546" s="144" t="n"/>
      <c r="D546" s="144" t="n"/>
      <c r="E546" s="144" t="n"/>
      <c r="F546" s="144" t="n"/>
      <c r="G546" s="144" t="n"/>
      <c r="H546" s="141">
        <f>IF(K546&lt;&gt;"", HYPERLINK("https://chatgpt.com/?prompt=" &amp; SUBSTITUTE(SUBSTITUTE(K546, " ", "+"), "&amp;", "dan") &amp; "&amp;force-refresh=true&amp;timestamp=" &amp; TEXT(NOW(), "yyyymmddhhmmss"), "👉 Klik untuk Generate Script! 🔥"), "")</f>
        <v/>
      </c>
      <c r="I546" s="144" t="n"/>
      <c r="J546" s="148" t="n"/>
      <c r="K546" s="140">
        <f>IF(AND(B546&lt;&gt;"", C546&lt;&gt;"", D546&lt;&gt;"", E546&lt;&gt;"", F546&lt;&gt;"", G546&lt;&gt;"", J546&lt;&gt;"", 'CONTENT PILLAR MAPPING'!C448&lt;&gt;"", 'CONTENT PILLAR MAPPING'!E448&lt;&gt;"", 'CONTENT PILLAR MAPPING'!F448&lt;&gt;"", 'CONTENT PILLAR MAPPING'!C451&lt;&gt;"", 'CONTENT PILLAR MAPPING'!C456&lt;&gt;"", 'CONTENT PILLAR MAPPING'!D456&lt;&gt;"", 'CONTENT PILLAR MAPPING'!E456&lt;&gt;"", 'CONTENT PILLAR MAPPING'!D464&lt;&gt;"", 'CONTENT PILLAR MAPPING'!D465&lt;&gt;""),
CONCATENATE(
"Sebagai seorang top konten kreator dengan niche utama '", 'CONTENT PILLAR MAPPING'!C448, "', spesifik kategori '", 'CONTENT PILLAR MAPPING'!E448, "', dan super spesifik '", 'CONTENT PILLAR MAPPING'!F448, "', yang dikenal sebagai '", 'CONTENT PILLAR MAPPING'!C451, "'.", CHAR(10),
"Saya memiliki Tone of Voice: '", 'CONTENT PILLAR MAPPING'!C456, "', Brand Archetype: '", 'CONTENT PILLAR MAPPING'!D456, "', dan Deskripsi Gaya Komunikasi: '", 'CONTENT PILLAR MAPPING'!E456, "'.", CHAR(10),
"Target audiens saya adalah: '", 'CONTENT PILLAR MAPPING'!D464, "', dengan segmentasi audiens: '", 'CONTENT PILLAR MAPPING'!D465, "'.", CHAR(10), CHAR(10),
"Mohon buatkan script konten yang **sangat powerful, menarik, inovatif, dan siap pakai** dengan judul ide '", B546, "'.", CHAR(10),
"Konten ini memiliki pilar '", C546, "', nilai tambah utama '", F546, "', dan akan menggunakan storytelling framework '", G546, "'.", CHAR(10),
"Gambaran singkat ide kontennya adalah: '", J546, "'.", CHAR(10),
"Konten ini akan diunggah di platform '", E546, "' dengan format '", D546,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MAPPING'!C451, "'.** Sesuaikan dengan gaya komunikasi saya, dengan fokus pada nilai tambah '", F546,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MAPPING'!D464, ", khusus ", 'CONTENT PILLAR MAPPING'!D465, ") dan membantu mereka menyelesaikan masalah atau mencapai tujuan mereka.", CHAR(10),
"✔ Membantuku membangun personal branding yang kuat dan sustainable, sesuai dengan Positioning saya sebagai '", 'CONTENT PILLAR MAPPING'!C451, "' dan Brand Archetype '", 'CONTENT PILLAR MAPPING'!D456, "'.", CHAR(10),
"✔ Kemas dalam bentuk tabel agar rapi, mudah di baca dan dipahami, dengan kolom 'Judul Konten', 'Pilar', 'Format', 'Draft Script', 'CTA', 'Saran Visual', dan 'Full Caption'. (Kosongkan kolom Link Prompt jika ada)."
),
"")</f>
        <v/>
      </c>
      <c r="L546" s="199" t="n"/>
      <c r="M546" s="199" t="n"/>
      <c r="N546" s="102" t="n"/>
      <c r="O546" s="102" t="n"/>
      <c r="P546" s="102" t="n"/>
      <c r="Q546" s="102" t="n"/>
      <c r="R546" s="102" t="n"/>
      <c r="S546" s="102" t="n"/>
      <c r="T546" s="102" t="n"/>
      <c r="U546" s="102" t="n"/>
      <c r="V546" s="102" t="n"/>
      <c r="W546" s="102" t="n"/>
      <c r="X546" s="102" t="n"/>
      <c r="Y546" s="102" t="n"/>
      <c r="Z546" s="102" t="n"/>
      <c r="AA546" s="102" t="n"/>
      <c r="AB546" s="102" t="n"/>
      <c r="AC546" s="102" t="n"/>
      <c r="AD546" s="102" t="n"/>
    </row>
    <row r="547" ht="15.75" customHeight="1" s="205">
      <c r="A547" s="102" t="n"/>
      <c r="B547" s="142" t="n"/>
      <c r="C547" s="143" t="n"/>
      <c r="D547" s="143" t="n"/>
      <c r="E547" s="143" t="n"/>
      <c r="F547" s="143" t="n"/>
      <c r="G547" s="144" t="n"/>
      <c r="H547" s="145">
        <f>IF(K547&lt;&gt;"", HYPERLINK("https://chatgpt.com/?prompt=" &amp; SUBSTITUTE(SUBSTITUTE(K547, " ", "+"), "&amp;", "dan") &amp; "&amp;force-refresh=true&amp;timestamp=" &amp; TEXT(NOW(), "yyyymmddhhmmss"), "👉 Klik untuk Generate Script! 🔥"), "")</f>
        <v/>
      </c>
      <c r="I547" s="143" t="n"/>
      <c r="J547" s="146" t="n"/>
      <c r="K547" s="130">
        <f>IF(AND(B547&lt;&gt;"", C547&lt;&gt;"", D547&lt;&gt;"", E547&lt;&gt;"", F547&lt;&gt;"", G547&lt;&gt;"", J547&lt;&gt;"", 'CONTENT PILLAR MAPPING'!C450&lt;&gt;"", 'CONTENT PILLAR MAPPING'!E450&lt;&gt;"", 'CONTENT PILLAR MAPPING'!F450&lt;&gt;"", 'CONTENT PILLAR MAPPING'!C453&lt;&gt;"", 'CONTENT PILLAR MAPPING'!C458&lt;&gt;"", 'CONTENT PILLAR MAPPING'!D458&lt;&gt;"", 'CONTENT PILLAR MAPPING'!E458&lt;&gt;"", 'CONTENT PILLAR MAPPING'!D466&lt;&gt;"", 'CONTENT PILLAR MAPPING'!D467&lt;&gt;""),
CONCATENATE(
"Sebagai seorang top konten kreator dengan niche utama '", 'CONTENT PILLAR MAPPING'!C450, "', spesifik kategori '", 'CONTENT PILLAR MAPPING'!E450, "', dan super spesifik '", 'CONTENT PILLAR MAPPING'!F450, "', yang dikenal sebagai '", 'CONTENT PILLAR MAPPING'!C453, "'.", CHAR(10),
"Saya memiliki Tone of Voice: '", 'CONTENT PILLAR MAPPING'!C458, "', Brand Archetype: '", 'CONTENT PILLAR MAPPING'!D458, "', dan Deskripsi Gaya Komunikasi: '", 'CONTENT PILLAR MAPPING'!E458, "'.", CHAR(10),
"Target audiens saya adalah: '", 'CONTENT PILLAR MAPPING'!D466, "', dengan segmentasi audiens: '", 'CONTENT PILLAR MAPPING'!D467, "'.", CHAR(10), CHAR(10),
"Mohon buatkan script konten yang **sangat powerful, menarik, inovatif, dan siap pakai** dengan judul ide '", B547, "'.", CHAR(10),
"Konten ini memiliki pilar '", C547, "', nilai tambah utama '", F547, "', dan akan menggunakan storytelling framework '", G547, "'.", CHAR(10),
"Gambaran singkat ide kontennya adalah: '", J547, "'.", CHAR(10),
"Konten ini akan diunggah di platform '", E547, "' dengan format '", D547,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MAPPING'!C453, "'.** Sesuaikan dengan gaya komunikasi saya, dengan fokus pada nilai tambah '", F547,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MAPPING'!D466, ", khusus ", 'CONTENT PILLAR MAPPING'!D467, ") dan membantu mereka menyelesaikan masalah atau mencapai tujuan mereka.", CHAR(10),
"✔ Membantuku membangun personal branding yang kuat dan sustainable, sesuai dengan Positioning saya sebagai '", 'CONTENT PILLAR MAPPING'!C453, "' dan Brand Archetype '", 'CONTENT PILLAR MAPPING'!D458, "'.", CHAR(10),
"✔ Kemas dalam bentuk tabel agar rapi, mudah di baca dan dipahami, dengan kolom 'Judul Konten', 'Pilar', 'Format', 'Draft Script', 'CTA', 'Saran Visual', dan 'Full Caption'. (Kosongkan kolom Link Prompt jika ada)."
),
"")</f>
        <v/>
      </c>
      <c r="L547" s="91" t="n"/>
      <c r="M547" s="91" t="n"/>
      <c r="N547" s="102" t="n"/>
      <c r="O547" s="102" t="n"/>
      <c r="P547" s="102" t="n"/>
      <c r="Q547" s="102" t="n"/>
      <c r="R547" s="102" t="n"/>
      <c r="S547" s="102" t="n"/>
      <c r="T547" s="102" t="n"/>
      <c r="U547" s="102" t="n"/>
      <c r="V547" s="102" t="n"/>
      <c r="W547" s="102" t="n"/>
      <c r="X547" s="102" t="n"/>
      <c r="Y547" s="102" t="n"/>
      <c r="Z547" s="102" t="n"/>
      <c r="AA547" s="102" t="n"/>
      <c r="AB547" s="102" t="n"/>
      <c r="AC547" s="102" t="n"/>
      <c r="AD547" s="102" t="n"/>
    </row>
    <row r="548" ht="15.75" customHeight="1" s="205">
      <c r="A548" s="102" t="n"/>
      <c r="B548" s="147" t="n"/>
      <c r="C548" s="144" t="n"/>
      <c r="D548" s="144" t="n"/>
      <c r="E548" s="144" t="n"/>
      <c r="F548" s="144" t="n"/>
      <c r="G548" s="144" t="n"/>
      <c r="H548" s="141">
        <f>IF(K548&lt;&gt;"", HYPERLINK("https://chatgpt.com/?prompt=" &amp; SUBSTITUTE(SUBSTITUTE(K548, " ", "+"), "&amp;", "dan") &amp; "&amp;force-refresh=true&amp;timestamp=" &amp; TEXT(NOW(), "yyyymmddhhmmss"), "👉 Klik untuk Generate Script! 🔥"), "")</f>
        <v/>
      </c>
      <c r="I548" s="144" t="n"/>
      <c r="J548" s="148" t="n"/>
      <c r="K548" s="140">
        <f>IF(AND(B548&lt;&gt;"", C548&lt;&gt;"", D548&lt;&gt;"", E548&lt;&gt;"", F548&lt;&gt;"", G548&lt;&gt;"", J548&lt;&gt;"", 'CONTENT PILLAR MAPPING'!C450&lt;&gt;"", 'CONTENT PILLAR MAPPING'!E450&lt;&gt;"", 'CONTENT PILLAR MAPPING'!F450&lt;&gt;"", 'CONTENT PILLAR MAPPING'!C453&lt;&gt;"", 'CONTENT PILLAR MAPPING'!C458&lt;&gt;"", 'CONTENT PILLAR MAPPING'!D458&lt;&gt;"", 'CONTENT PILLAR MAPPING'!E458&lt;&gt;"", 'CONTENT PILLAR MAPPING'!D466&lt;&gt;"", 'CONTENT PILLAR MAPPING'!D467&lt;&gt;""),
CONCATENATE(
"Sebagai seorang top konten kreator dengan niche utama '", 'CONTENT PILLAR MAPPING'!C450, "', spesifik kategori '", 'CONTENT PILLAR MAPPING'!E450, "', dan super spesifik '", 'CONTENT PILLAR MAPPING'!F450, "', yang dikenal sebagai '", 'CONTENT PILLAR MAPPING'!C453, "'.", CHAR(10),
"Saya memiliki Tone of Voice: '", 'CONTENT PILLAR MAPPING'!C458, "', Brand Archetype: '", 'CONTENT PILLAR MAPPING'!D458, "', dan Deskripsi Gaya Komunikasi: '", 'CONTENT PILLAR MAPPING'!E458, "'.", CHAR(10),
"Target audiens saya adalah: '", 'CONTENT PILLAR MAPPING'!D466, "', dengan segmentasi audiens: '", 'CONTENT PILLAR MAPPING'!D467, "'.", CHAR(10), CHAR(10),
"Mohon buatkan script konten yang **sangat powerful, menarik, inovatif, dan siap pakai** dengan judul ide '", B548, "'.", CHAR(10),
"Konten ini memiliki pilar '", C548, "', nilai tambah utama '", F548, "', dan akan menggunakan storytelling framework '", G548, "'.", CHAR(10),
"Gambaran singkat ide kontennya adalah: '", J548, "'.", CHAR(10),
"Konten ini akan diunggah di platform '", E548, "' dengan format '", D548,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MAPPING'!C453, "'.** Sesuaikan dengan gaya komunikasi saya, dengan fokus pada nilai tambah '", F548,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MAPPING'!D466, ", khusus ", 'CONTENT PILLAR MAPPING'!D467, ") dan membantu mereka menyelesaikan masalah atau mencapai tujuan mereka.", CHAR(10),
"✔ Membantuku membangun personal branding yang kuat dan sustainable, sesuai dengan Positioning saya sebagai '", 'CONTENT PILLAR MAPPING'!C453, "' dan Brand Archetype '", 'CONTENT PILLAR MAPPING'!D458, "'.", CHAR(10),
"✔ Kemas dalam bentuk tabel agar rapi, mudah di baca dan dipahami, dengan kolom 'Judul Konten', 'Pilar', 'Format', 'Draft Script', 'CTA', 'Saran Visual', dan 'Full Caption'. (Kosongkan kolom Link Prompt jika ada)."
),
"")</f>
        <v/>
      </c>
      <c r="L548" s="199" t="n"/>
      <c r="M548" s="199" t="n"/>
      <c r="N548" s="102" t="n"/>
      <c r="O548" s="102" t="n"/>
      <c r="P548" s="102" t="n"/>
      <c r="Q548" s="102" t="n"/>
      <c r="R548" s="102" t="n"/>
      <c r="S548" s="102" t="n"/>
      <c r="T548" s="102" t="n"/>
      <c r="U548" s="102" t="n"/>
      <c r="V548" s="102" t="n"/>
      <c r="W548" s="102" t="n"/>
      <c r="X548" s="102" t="n"/>
      <c r="Y548" s="102" t="n"/>
      <c r="Z548" s="102" t="n"/>
      <c r="AA548" s="102" t="n"/>
      <c r="AB548" s="102" t="n"/>
      <c r="AC548" s="102" t="n"/>
      <c r="AD548" s="102" t="n"/>
    </row>
    <row r="549" ht="15.75" customHeight="1" s="205">
      <c r="A549" s="102" t="n"/>
      <c r="B549" s="142" t="n"/>
      <c r="C549" s="143" t="n"/>
      <c r="D549" s="143" t="n"/>
      <c r="E549" s="143" t="n"/>
      <c r="F549" s="143" t="n"/>
      <c r="G549" s="144" t="n"/>
      <c r="H549" s="145">
        <f>IF(K549&lt;&gt;"", HYPERLINK("https://chatgpt.com/?prompt=" &amp; SUBSTITUTE(SUBSTITUTE(K549, " ", "+"), "&amp;", "dan") &amp; "&amp;force-refresh=true&amp;timestamp=" &amp; TEXT(NOW(), "yyyymmddhhmmss"), "👉 Klik untuk Generate Script! 🔥"), "")</f>
        <v/>
      </c>
      <c r="I549" s="143" t="n"/>
      <c r="J549" s="146" t="n"/>
      <c r="K549" s="130">
        <f>IF(AND(B549&lt;&gt;"", C549&lt;&gt;"", D549&lt;&gt;"", E549&lt;&gt;"", F549&lt;&gt;"", G549&lt;&gt;"", J549&lt;&gt;"", 'CONTENT PILLAR MAPPING'!C452&lt;&gt;"", 'CONTENT PILLAR MAPPING'!E452&lt;&gt;"", 'CONTENT PILLAR MAPPING'!F452&lt;&gt;"", 'CONTENT PILLAR MAPPING'!C455&lt;&gt;"", 'CONTENT PILLAR MAPPING'!C460&lt;&gt;"", 'CONTENT PILLAR MAPPING'!D460&lt;&gt;"", 'CONTENT PILLAR MAPPING'!E460&lt;&gt;"", 'CONTENT PILLAR MAPPING'!D468&lt;&gt;"", 'CONTENT PILLAR MAPPING'!D469&lt;&gt;""),
CONCATENATE(
"Sebagai seorang top konten kreator dengan niche utama '", 'CONTENT PILLAR MAPPING'!C452, "', spesifik kategori '", 'CONTENT PILLAR MAPPING'!E452, "', dan super spesifik '", 'CONTENT PILLAR MAPPING'!F452, "', yang dikenal sebagai '", 'CONTENT PILLAR MAPPING'!C455, "'.", CHAR(10),
"Saya memiliki Tone of Voice: '", 'CONTENT PILLAR MAPPING'!C460, "', Brand Archetype: '", 'CONTENT PILLAR MAPPING'!D460, "', dan Deskripsi Gaya Komunikasi: '", 'CONTENT PILLAR MAPPING'!E460, "'.", CHAR(10),
"Target audiens saya adalah: '", 'CONTENT PILLAR MAPPING'!D468, "', dengan segmentasi audiens: '", 'CONTENT PILLAR MAPPING'!D469, "'.", CHAR(10), CHAR(10),
"Mohon buatkan script konten yang **sangat powerful, menarik, inovatif, dan siap pakai** dengan judul ide '", B549, "'.", CHAR(10),
"Konten ini memiliki pilar '", C549, "', nilai tambah utama '", F549, "', dan akan menggunakan storytelling framework '", G549, "'.", CHAR(10),
"Gambaran singkat ide kontennya adalah: '", J549, "'.", CHAR(10),
"Konten ini akan diunggah di platform '", E549, "' dengan format '", D549,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MAPPING'!C455, "'.** Sesuaikan dengan gaya komunikasi saya, dengan fokus pada nilai tambah '", F549,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MAPPING'!D468, ", khusus ", 'CONTENT PILLAR MAPPING'!D469, ") dan membantu mereka menyelesaikan masalah atau mencapai tujuan mereka.", CHAR(10),
"✔ Membantuku membangun personal branding yang kuat dan sustainable, sesuai dengan Positioning saya sebagai '", 'CONTENT PILLAR MAPPING'!C455, "' dan Brand Archetype '", 'CONTENT PILLAR MAPPING'!D460, "'.", CHAR(10),
"✔ Kemas dalam bentuk tabel agar rapi, mudah di baca dan dipahami, dengan kolom 'Judul Konten', 'Pilar', 'Format', 'Draft Script', 'CTA', 'Saran Visual', dan 'Full Caption'. (Kosongkan kolom Link Prompt jika ada)."
),
"")</f>
        <v/>
      </c>
      <c r="L549" s="91" t="n"/>
      <c r="M549" s="91" t="n"/>
      <c r="N549" s="102" t="n"/>
      <c r="O549" s="102" t="n"/>
      <c r="P549" s="102" t="n"/>
      <c r="Q549" s="102" t="n"/>
      <c r="R549" s="102" t="n"/>
      <c r="S549" s="102" t="n"/>
      <c r="T549" s="102" t="n"/>
      <c r="U549" s="102" t="n"/>
      <c r="V549" s="102" t="n"/>
      <c r="W549" s="102" t="n"/>
      <c r="X549" s="102" t="n"/>
      <c r="Y549" s="102" t="n"/>
      <c r="Z549" s="102" t="n"/>
      <c r="AA549" s="102" t="n"/>
      <c r="AB549" s="102" t="n"/>
      <c r="AC549" s="102" t="n"/>
      <c r="AD549" s="102" t="n"/>
    </row>
    <row r="550" ht="15.75" customHeight="1" s="205">
      <c r="A550" s="102" t="n"/>
      <c r="B550" s="147" t="n"/>
      <c r="C550" s="144" t="n"/>
      <c r="D550" s="144" t="n"/>
      <c r="E550" s="144" t="n"/>
      <c r="F550" s="144" t="n"/>
      <c r="G550" s="144" t="n"/>
      <c r="H550" s="141">
        <f>IF(K550&lt;&gt;"", HYPERLINK("https://chatgpt.com/?prompt=" &amp; SUBSTITUTE(SUBSTITUTE(K550, " ", "+"), "&amp;", "dan") &amp; "&amp;force-refresh=true&amp;timestamp=" &amp; TEXT(NOW(), "yyyymmddhhmmss"), "👉 Klik untuk Generate Script! 🔥"), "")</f>
        <v/>
      </c>
      <c r="I550" s="144" t="n"/>
      <c r="J550" s="148" t="n"/>
      <c r="K550" s="140">
        <f>IF(AND(B550&lt;&gt;"", C550&lt;&gt;"", D550&lt;&gt;"", E550&lt;&gt;"", F550&lt;&gt;"", G550&lt;&gt;"", J550&lt;&gt;"", 'CONTENT PILLAR MAPPING'!C452&lt;&gt;"", 'CONTENT PILLAR MAPPING'!E452&lt;&gt;"", 'CONTENT PILLAR MAPPING'!F452&lt;&gt;"", 'CONTENT PILLAR MAPPING'!C455&lt;&gt;"", 'CONTENT PILLAR MAPPING'!C460&lt;&gt;"", 'CONTENT PILLAR MAPPING'!D460&lt;&gt;"", 'CONTENT PILLAR MAPPING'!E460&lt;&gt;"", 'CONTENT PILLAR MAPPING'!D468&lt;&gt;"", 'CONTENT PILLAR MAPPING'!D469&lt;&gt;""),
CONCATENATE(
"Sebagai seorang top konten kreator dengan niche utama '", 'CONTENT PILLAR MAPPING'!C452, "', spesifik kategori '", 'CONTENT PILLAR MAPPING'!E452, "', dan super spesifik '", 'CONTENT PILLAR MAPPING'!F452, "', yang dikenal sebagai '", 'CONTENT PILLAR MAPPING'!C455, "'.", CHAR(10),
"Saya memiliki Tone of Voice: '", 'CONTENT PILLAR MAPPING'!C460, "', Brand Archetype: '", 'CONTENT PILLAR MAPPING'!D460, "', dan Deskripsi Gaya Komunikasi: '", 'CONTENT PILLAR MAPPING'!E460, "'.", CHAR(10),
"Target audiens saya adalah: '", 'CONTENT PILLAR MAPPING'!D468, "', dengan segmentasi audiens: '", 'CONTENT PILLAR MAPPING'!D469, "'.", CHAR(10), CHAR(10),
"Mohon buatkan script konten yang **sangat powerful, menarik, inovatif, dan siap pakai** dengan judul ide '", B550, "'.", CHAR(10),
"Konten ini memiliki pilar '", C550, "', nilai tambah utama '", F550, "', dan akan menggunakan storytelling framework '", G550, "'.", CHAR(10),
"Gambaran singkat ide kontennya adalah: '", J550, "'.", CHAR(10),
"Konten ini akan diunggah di platform '", E550, "' dengan format '", D550,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MAPPING'!C455, "'.** Sesuaikan dengan gaya komunikasi saya, dengan fokus pada nilai tambah '", F550,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MAPPING'!D468, ", khusus ", 'CONTENT PILLAR MAPPING'!D469, ") dan membantu mereka menyelesaikan masalah atau mencapai tujuan mereka.", CHAR(10),
"✔ Membantuku membangun personal branding yang kuat dan sustainable, sesuai dengan Positioning saya sebagai '", 'CONTENT PILLAR MAPPING'!C455, "' dan Brand Archetype '", 'CONTENT PILLAR MAPPING'!D460, "'.", CHAR(10),
"✔ Kemas dalam bentuk tabel agar rapi, mudah di baca dan dipahami, dengan kolom 'Judul Konten', 'Pilar', 'Format', 'Draft Script', 'CTA', 'Saran Visual', dan 'Full Caption'. (Kosongkan kolom Link Prompt jika ada)."
),
"")</f>
        <v/>
      </c>
      <c r="L550" s="199" t="n"/>
      <c r="M550" s="199" t="n"/>
      <c r="N550" s="102" t="n"/>
      <c r="O550" s="102" t="n"/>
      <c r="P550" s="102" t="n"/>
      <c r="Q550" s="102" t="n"/>
      <c r="R550" s="102" t="n"/>
      <c r="S550" s="102" t="n"/>
      <c r="T550" s="102" t="n"/>
      <c r="U550" s="102" t="n"/>
      <c r="V550" s="102" t="n"/>
      <c r="W550" s="102" t="n"/>
      <c r="X550" s="102" t="n"/>
      <c r="Y550" s="102" t="n"/>
      <c r="Z550" s="102" t="n"/>
      <c r="AA550" s="102" t="n"/>
      <c r="AB550" s="102" t="n"/>
      <c r="AC550" s="102" t="n"/>
      <c r="AD550" s="102" t="n"/>
    </row>
    <row r="551" ht="15.75" customHeight="1" s="205">
      <c r="A551" s="102" t="n"/>
      <c r="B551" s="142" t="n"/>
      <c r="C551" s="143" t="n"/>
      <c r="D551" s="143" t="n"/>
      <c r="E551" s="143" t="n"/>
      <c r="F551" s="143" t="n"/>
      <c r="G551" s="144" t="n"/>
      <c r="H551" s="145">
        <f>IF(K551&lt;&gt;"", HYPERLINK("https://chatgpt.com/?prompt=" &amp; SUBSTITUTE(SUBSTITUTE(K551, " ", "+"), "&amp;", "dan") &amp; "&amp;force-refresh=true&amp;timestamp=" &amp; TEXT(NOW(), "yyyymmddhhmmss"), "👉 Klik untuk Generate Script! 🔥"), "")</f>
        <v/>
      </c>
      <c r="I551" s="143" t="n"/>
      <c r="J551" s="146" t="n"/>
      <c r="K551" s="130">
        <f>IF(AND(B551&lt;&gt;"", C551&lt;&gt;"", D551&lt;&gt;"", E551&lt;&gt;"", F551&lt;&gt;"", G551&lt;&gt;"", J551&lt;&gt;"", 'CONTENT PILLAR MAPPING'!C454&lt;&gt;"", 'CONTENT PILLAR MAPPING'!E454&lt;&gt;"", 'CONTENT PILLAR MAPPING'!F454&lt;&gt;"", 'CONTENT PILLAR MAPPING'!C457&lt;&gt;"", 'CONTENT PILLAR MAPPING'!C462&lt;&gt;"", 'CONTENT PILLAR MAPPING'!D462&lt;&gt;"", 'CONTENT PILLAR MAPPING'!E462&lt;&gt;"", 'CONTENT PILLAR MAPPING'!D470&lt;&gt;"", 'CONTENT PILLAR MAPPING'!D471&lt;&gt;""),
CONCATENATE(
"Sebagai seorang top konten kreator dengan niche utama '", 'CONTENT PILLAR MAPPING'!C454, "', spesifik kategori '", 'CONTENT PILLAR MAPPING'!E454, "', dan super spesifik '", 'CONTENT PILLAR MAPPING'!F454, "', yang dikenal sebagai '", 'CONTENT PILLAR MAPPING'!C457, "'.", CHAR(10),
"Saya memiliki Tone of Voice: '", 'CONTENT PILLAR MAPPING'!C462, "', Brand Archetype: '", 'CONTENT PILLAR MAPPING'!D462, "', dan Deskripsi Gaya Komunikasi: '", 'CONTENT PILLAR MAPPING'!E462, "'.", CHAR(10),
"Target audiens saya adalah: '", 'CONTENT PILLAR MAPPING'!D470, "', dengan segmentasi audiens: '", 'CONTENT PILLAR MAPPING'!D471, "'.", CHAR(10), CHAR(10),
"Mohon buatkan script konten yang **sangat powerful, menarik, inovatif, dan siap pakai** dengan judul ide '", B551, "'.", CHAR(10),
"Konten ini memiliki pilar '", C551, "', nilai tambah utama '", F551, "', dan akan menggunakan storytelling framework '", G551, "'.", CHAR(10),
"Gambaran singkat ide kontennya adalah: '", J551, "'.", CHAR(10),
"Konten ini akan diunggah di platform '", E551, "' dengan format '", D551,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MAPPING'!C457, "'.** Sesuaikan dengan gaya komunikasi saya, dengan fokus pada nilai tambah '", F551,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MAPPING'!D470, ", khusus ", 'CONTENT PILLAR MAPPING'!D471, ") dan membantu mereka menyelesaikan masalah atau mencapai tujuan mereka.", CHAR(10),
"✔ Membantuku membangun personal branding yang kuat dan sustainable, sesuai dengan Positioning saya sebagai '", 'CONTENT PILLAR MAPPING'!C457, "' dan Brand Archetype '", 'CONTENT PILLAR MAPPING'!D462, "'.", CHAR(10),
"✔ Kemas dalam bentuk tabel agar rapi, mudah di baca dan dipahami, dengan kolom 'Judul Konten', 'Pilar', 'Format', 'Draft Script', 'CTA', 'Saran Visual', dan 'Full Caption'. (Kosongkan kolom Link Prompt jika ada)."
),
"")</f>
        <v/>
      </c>
      <c r="L551" s="91" t="n"/>
      <c r="M551" s="91" t="n"/>
      <c r="N551" s="102" t="n"/>
      <c r="O551" s="102" t="n"/>
      <c r="P551" s="102" t="n"/>
      <c r="Q551" s="102" t="n"/>
      <c r="R551" s="102" t="n"/>
      <c r="S551" s="102" t="n"/>
      <c r="T551" s="102" t="n"/>
      <c r="U551" s="102" t="n"/>
      <c r="V551" s="102" t="n"/>
      <c r="W551" s="102" t="n"/>
      <c r="X551" s="102" t="n"/>
      <c r="Y551" s="102" t="n"/>
      <c r="Z551" s="102" t="n"/>
      <c r="AA551" s="102" t="n"/>
      <c r="AB551" s="102" t="n"/>
      <c r="AC551" s="102" t="n"/>
      <c r="AD551" s="102" t="n"/>
    </row>
    <row r="552" ht="15.75" customHeight="1" s="205">
      <c r="A552" s="102" t="n"/>
      <c r="B552" s="147" t="n"/>
      <c r="C552" s="144" t="n"/>
      <c r="D552" s="144" t="n"/>
      <c r="E552" s="144" t="n"/>
      <c r="F552" s="144" t="n"/>
      <c r="G552" s="144" t="n"/>
      <c r="H552" s="141">
        <f>IF(K552&lt;&gt;"", HYPERLINK("https://chatgpt.com/?prompt=" &amp; SUBSTITUTE(SUBSTITUTE(K552, " ", "+"), "&amp;", "dan") &amp; "&amp;force-refresh=true&amp;timestamp=" &amp; TEXT(NOW(), "yyyymmddhhmmss"), "👉 Klik untuk Generate Script! 🔥"), "")</f>
        <v/>
      </c>
      <c r="I552" s="144" t="n"/>
      <c r="J552" s="148" t="n"/>
      <c r="K552" s="140">
        <f>IF(AND(B552&lt;&gt;"", C552&lt;&gt;"", D552&lt;&gt;"", E552&lt;&gt;"", F552&lt;&gt;"", G552&lt;&gt;"", J552&lt;&gt;"", 'CONTENT PILLAR MAPPING'!C454&lt;&gt;"", 'CONTENT PILLAR MAPPING'!E454&lt;&gt;"", 'CONTENT PILLAR MAPPING'!F454&lt;&gt;"", 'CONTENT PILLAR MAPPING'!C457&lt;&gt;"", 'CONTENT PILLAR MAPPING'!C462&lt;&gt;"", 'CONTENT PILLAR MAPPING'!D462&lt;&gt;"", 'CONTENT PILLAR MAPPING'!E462&lt;&gt;"", 'CONTENT PILLAR MAPPING'!D470&lt;&gt;"", 'CONTENT PILLAR MAPPING'!D471&lt;&gt;""),
CONCATENATE(
"Sebagai seorang top konten kreator dengan niche utama '", 'CONTENT PILLAR MAPPING'!C454, "', spesifik kategori '", 'CONTENT PILLAR MAPPING'!E454, "', dan super spesifik '", 'CONTENT PILLAR MAPPING'!F454, "', yang dikenal sebagai '", 'CONTENT PILLAR MAPPING'!C457, "'.", CHAR(10),
"Saya memiliki Tone of Voice: '", 'CONTENT PILLAR MAPPING'!C462, "', Brand Archetype: '", 'CONTENT PILLAR MAPPING'!D462, "', dan Deskripsi Gaya Komunikasi: '", 'CONTENT PILLAR MAPPING'!E462, "'.", CHAR(10),
"Target audiens saya adalah: '", 'CONTENT PILLAR MAPPING'!D470, "', dengan segmentasi audiens: '", 'CONTENT PILLAR MAPPING'!D471, "'.", CHAR(10), CHAR(10),
"Mohon buatkan script konten yang **sangat powerful, menarik, inovatif, dan siap pakai** dengan judul ide '", B552, "'.", CHAR(10),
"Konten ini memiliki pilar '", C552, "', nilai tambah utama '", F552, "', dan akan menggunakan storytelling framework '", G552, "'.", CHAR(10),
"Gambaran singkat ide kontennya adalah: '", J552, "'.", CHAR(10),
"Konten ini akan diunggah di platform '", E552, "' dengan format '", D552,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MAPPING'!C457, "'.** Sesuaikan dengan gaya komunikasi saya, dengan fokus pada nilai tambah '", F552,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MAPPING'!D470, ", khusus ", 'CONTENT PILLAR MAPPING'!D471, ") dan membantu mereka menyelesaikan masalah atau mencapai tujuan mereka.", CHAR(10),
"✔ Membantuku membangun personal branding yang kuat dan sustainable, sesuai dengan Positioning saya sebagai '", 'CONTENT PILLAR MAPPING'!C457, "' dan Brand Archetype '", 'CONTENT PILLAR MAPPING'!D462, "'.", CHAR(10),
"✔ Kemas dalam bentuk tabel agar rapi, mudah di baca dan dipahami, dengan kolom 'Judul Konten', 'Pilar', 'Format', 'Draft Script', 'CTA', 'Saran Visual', dan 'Full Caption'. (Kosongkan kolom Link Prompt jika ada)."
),
"")</f>
        <v/>
      </c>
      <c r="L552" s="199" t="n"/>
      <c r="M552" s="199" t="n"/>
      <c r="N552" s="102" t="n"/>
      <c r="O552" s="102" t="n"/>
      <c r="P552" s="102" t="n"/>
      <c r="Q552" s="102" t="n"/>
      <c r="R552" s="102" t="n"/>
      <c r="S552" s="102" t="n"/>
      <c r="T552" s="102" t="n"/>
      <c r="U552" s="102" t="n"/>
      <c r="V552" s="102" t="n"/>
      <c r="W552" s="102" t="n"/>
      <c r="X552" s="102" t="n"/>
      <c r="Y552" s="102" t="n"/>
      <c r="Z552" s="102" t="n"/>
      <c r="AA552" s="102" t="n"/>
      <c r="AB552" s="102" t="n"/>
      <c r="AC552" s="102" t="n"/>
      <c r="AD552" s="102" t="n"/>
    </row>
    <row r="553" ht="15.75" customHeight="1" s="205">
      <c r="A553" s="102" t="n"/>
      <c r="B553" s="142" t="n"/>
      <c r="C553" s="143" t="n"/>
      <c r="D553" s="143" t="n"/>
      <c r="E553" s="143" t="n"/>
      <c r="F553" s="143" t="n"/>
      <c r="G553" s="144" t="n"/>
      <c r="H553" s="145">
        <f>IF(K553&lt;&gt;"", HYPERLINK("https://chatgpt.com/?prompt=" &amp; SUBSTITUTE(SUBSTITUTE(K553, " ", "+"), "&amp;", "dan") &amp; "&amp;force-refresh=true&amp;timestamp=" &amp; TEXT(NOW(), "yyyymmddhhmmss"), "👉 Klik untuk Generate Script! 🔥"), "")</f>
        <v/>
      </c>
      <c r="I553" s="143" t="n"/>
      <c r="J553" s="146" t="n"/>
      <c r="K553" s="130">
        <f>IF(AND(B553&lt;&gt;"", C553&lt;&gt;"", D553&lt;&gt;"", E553&lt;&gt;"", F553&lt;&gt;"", G553&lt;&gt;"", J553&lt;&gt;"", 'CONTENT PILLAR MAPPING'!C456&lt;&gt;"", 'CONTENT PILLAR MAPPING'!E456&lt;&gt;"", 'CONTENT PILLAR MAPPING'!F456&lt;&gt;"", 'CONTENT PILLAR MAPPING'!C459&lt;&gt;"", 'CONTENT PILLAR MAPPING'!C464&lt;&gt;"", 'CONTENT PILLAR MAPPING'!D464&lt;&gt;"", 'CONTENT PILLAR MAPPING'!E464&lt;&gt;"", 'CONTENT PILLAR MAPPING'!D472&lt;&gt;"", 'CONTENT PILLAR MAPPING'!D473&lt;&gt;""),
CONCATENATE(
"Sebagai seorang top konten kreator dengan niche utama '", 'CONTENT PILLAR MAPPING'!C456, "', spesifik kategori '", 'CONTENT PILLAR MAPPING'!E456, "', dan super spesifik '", 'CONTENT PILLAR MAPPING'!F456, "', yang dikenal sebagai '", 'CONTENT PILLAR MAPPING'!C459, "'.", CHAR(10),
"Saya memiliki Tone of Voice: '", 'CONTENT PILLAR MAPPING'!C464, "', Brand Archetype: '", 'CONTENT PILLAR MAPPING'!D464, "', dan Deskripsi Gaya Komunikasi: '", 'CONTENT PILLAR MAPPING'!E464, "'.", CHAR(10),
"Target audiens saya adalah: '", 'CONTENT PILLAR MAPPING'!D472, "', dengan segmentasi audiens: '", 'CONTENT PILLAR MAPPING'!D473, "'.", CHAR(10), CHAR(10),
"Mohon buatkan script konten yang **sangat powerful, menarik, inovatif, dan siap pakai** dengan judul ide '", B553, "'.", CHAR(10),
"Konten ini memiliki pilar '", C553, "', nilai tambah utama '", F553, "', dan akan menggunakan storytelling framework '", G553, "'.", CHAR(10),
"Gambaran singkat ide kontennya adalah: '", J553, "'.", CHAR(10),
"Konten ini akan diunggah di platform '", E553, "' dengan format '", D553,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MAPPING'!C459, "'.** Sesuaikan dengan gaya komunikasi saya, dengan fokus pada nilai tambah '", F553,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MAPPING'!D472, ", khusus ", 'CONTENT PILLAR MAPPING'!D473, ") dan membantu mereka menyelesaikan masalah atau mencapai tujuan mereka.", CHAR(10),
"✔ Membantuku membangun personal branding yang kuat dan sustainable, sesuai dengan Positioning saya sebagai '", 'CONTENT PILLAR MAPPING'!C459, "' dan Brand Archetype '", 'CONTENT PILLAR MAPPING'!D464, "'.", CHAR(10),
"✔ Kemas dalam bentuk tabel agar rapi, mudah di baca dan dipahami, dengan kolom 'Judul Konten', 'Pilar', 'Format', 'Draft Script', 'CTA', 'Saran Visual', dan 'Full Caption'. (Kosongkan kolom Link Prompt jika ada)."
),
"")</f>
        <v/>
      </c>
      <c r="L553" s="91" t="n"/>
      <c r="M553" s="91" t="n"/>
      <c r="N553" s="102" t="n"/>
      <c r="O553" s="102" t="n"/>
      <c r="P553" s="102" t="n"/>
      <c r="Q553" s="102" t="n"/>
      <c r="R553" s="102" t="n"/>
      <c r="S553" s="102" t="n"/>
      <c r="T553" s="102" t="n"/>
      <c r="U553" s="102" t="n"/>
      <c r="V553" s="102" t="n"/>
      <c r="W553" s="102" t="n"/>
      <c r="X553" s="102" t="n"/>
      <c r="Y553" s="102" t="n"/>
      <c r="Z553" s="102" t="n"/>
      <c r="AA553" s="102" t="n"/>
      <c r="AB553" s="102" t="n"/>
      <c r="AC553" s="102" t="n"/>
      <c r="AD553" s="102" t="n"/>
    </row>
    <row r="554" ht="15.75" customHeight="1" s="205">
      <c r="A554" s="102" t="n"/>
      <c r="B554" s="147" t="n"/>
      <c r="C554" s="144" t="n"/>
      <c r="D554" s="144" t="n"/>
      <c r="E554" s="144" t="n"/>
      <c r="F554" s="144" t="n"/>
      <c r="G554" s="144" t="n"/>
      <c r="H554" s="141">
        <f>IF(K554&lt;&gt;"", HYPERLINK("https://chatgpt.com/?prompt=" &amp; SUBSTITUTE(SUBSTITUTE(K554, " ", "+"), "&amp;", "dan") &amp; "&amp;force-refresh=true&amp;timestamp=" &amp; TEXT(NOW(), "yyyymmddhhmmss"), "👉 Klik untuk Generate Script! 🔥"), "")</f>
        <v/>
      </c>
      <c r="I554" s="144" t="n"/>
      <c r="J554" s="148" t="n"/>
      <c r="K554" s="140">
        <f>IF(AND(B554&lt;&gt;"", C554&lt;&gt;"", D554&lt;&gt;"", E554&lt;&gt;"", F554&lt;&gt;"", G554&lt;&gt;"", J554&lt;&gt;"", 'CONTENT PILLAR MAPPING'!C456&lt;&gt;"", 'CONTENT PILLAR MAPPING'!E456&lt;&gt;"", 'CONTENT PILLAR MAPPING'!F456&lt;&gt;"", 'CONTENT PILLAR MAPPING'!C459&lt;&gt;"", 'CONTENT PILLAR MAPPING'!C464&lt;&gt;"", 'CONTENT PILLAR MAPPING'!D464&lt;&gt;"", 'CONTENT PILLAR MAPPING'!E464&lt;&gt;"", 'CONTENT PILLAR MAPPING'!D472&lt;&gt;"", 'CONTENT PILLAR MAPPING'!D473&lt;&gt;""),
CONCATENATE(
"Sebagai seorang top konten kreator dengan niche utama '", 'CONTENT PILLAR MAPPING'!C456, "', spesifik kategori '", 'CONTENT PILLAR MAPPING'!E456, "', dan super spesifik '", 'CONTENT PILLAR MAPPING'!F456, "', yang dikenal sebagai '", 'CONTENT PILLAR MAPPING'!C459, "'.", CHAR(10),
"Saya memiliki Tone of Voice: '", 'CONTENT PILLAR MAPPING'!C464, "', Brand Archetype: '", 'CONTENT PILLAR MAPPING'!D464, "', dan Deskripsi Gaya Komunikasi: '", 'CONTENT PILLAR MAPPING'!E464, "'.", CHAR(10),
"Target audiens saya adalah: '", 'CONTENT PILLAR MAPPING'!D472, "', dengan segmentasi audiens: '", 'CONTENT PILLAR MAPPING'!D473, "'.", CHAR(10), CHAR(10),
"Mohon buatkan script konten yang **sangat powerful, menarik, inovatif, dan siap pakai** dengan judul ide '", B554, "'.", CHAR(10),
"Konten ini memiliki pilar '", C554, "', nilai tambah utama '", F554, "', dan akan menggunakan storytelling framework '", G554, "'.", CHAR(10),
"Gambaran singkat ide kontennya adalah: '", J554, "'.", CHAR(10),
"Konten ini akan diunggah di platform '", E554, "' dengan format '", D554,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MAPPING'!C459, "'.** Sesuaikan dengan gaya komunikasi saya, dengan fokus pada nilai tambah '", F554,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MAPPING'!D472, ", khusus ", 'CONTENT PILLAR MAPPING'!D473, ") dan membantu mereka menyelesaikan masalah atau mencapai tujuan mereka.", CHAR(10),
"✔ Membantuku membangun personal branding yang kuat dan sustainable, sesuai dengan Positioning saya sebagai '", 'CONTENT PILLAR MAPPING'!C459, "' dan Brand Archetype '", 'CONTENT PILLAR MAPPING'!D464, "'.", CHAR(10),
"✔ Kemas dalam bentuk tabel agar rapi, mudah di baca dan dipahami, dengan kolom 'Judul Konten', 'Pilar', 'Format', 'Draft Script', 'CTA', 'Saran Visual', dan 'Full Caption'. (Kosongkan kolom Link Prompt jika ada)."
),
"")</f>
        <v/>
      </c>
      <c r="L554" s="199" t="n"/>
      <c r="M554" s="199" t="n"/>
      <c r="N554" s="102" t="n"/>
      <c r="O554" s="102" t="n"/>
      <c r="P554" s="102" t="n"/>
      <c r="Q554" s="102" t="n"/>
      <c r="R554" s="102" t="n"/>
      <c r="S554" s="102" t="n"/>
      <c r="T554" s="102" t="n"/>
      <c r="U554" s="102" t="n"/>
      <c r="V554" s="102" t="n"/>
      <c r="W554" s="102" t="n"/>
      <c r="X554" s="102" t="n"/>
      <c r="Y554" s="102" t="n"/>
      <c r="Z554" s="102" t="n"/>
      <c r="AA554" s="102" t="n"/>
      <c r="AB554" s="102" t="n"/>
      <c r="AC554" s="102" t="n"/>
      <c r="AD554" s="102" t="n"/>
    </row>
    <row r="555" ht="15.75" customHeight="1" s="205">
      <c r="A555" s="102" t="n"/>
      <c r="B555" s="142" t="n"/>
      <c r="C555" s="143" t="n"/>
      <c r="D555" s="143" t="n"/>
      <c r="E555" s="143" t="n"/>
      <c r="F555" s="143" t="n"/>
      <c r="G555" s="144" t="n"/>
      <c r="H555" s="145">
        <f>IF(K555&lt;&gt;"", HYPERLINK("https://chatgpt.com/?prompt=" &amp; SUBSTITUTE(SUBSTITUTE(K555, " ", "+"), "&amp;", "dan") &amp; "&amp;force-refresh=true&amp;timestamp=" &amp; TEXT(NOW(), "yyyymmddhhmmss"), "👉 Klik untuk Generate Script! 🔥"), "")</f>
        <v/>
      </c>
      <c r="I555" s="143" t="n"/>
      <c r="J555" s="146" t="n"/>
      <c r="K555" s="130">
        <f>IF(AND(B555&lt;&gt;"", C555&lt;&gt;"", D555&lt;&gt;"", E555&lt;&gt;"", F555&lt;&gt;"", G555&lt;&gt;"", J555&lt;&gt;"", 'CONTENT PILLAR MAPPING'!C458&lt;&gt;"", 'CONTENT PILLAR MAPPING'!E458&lt;&gt;"", 'CONTENT PILLAR MAPPING'!F458&lt;&gt;"", 'CONTENT PILLAR MAPPING'!C461&lt;&gt;"", 'CONTENT PILLAR MAPPING'!C466&lt;&gt;"", 'CONTENT PILLAR MAPPING'!D466&lt;&gt;"", 'CONTENT PILLAR MAPPING'!E466&lt;&gt;"", 'CONTENT PILLAR MAPPING'!D474&lt;&gt;"", 'CONTENT PILLAR MAPPING'!D475&lt;&gt;""),
CONCATENATE(
"Sebagai seorang top konten kreator dengan niche utama '", 'CONTENT PILLAR MAPPING'!C458, "', spesifik kategori '", 'CONTENT PILLAR MAPPING'!E458, "', dan super spesifik '", 'CONTENT PILLAR MAPPING'!F458, "', yang dikenal sebagai '", 'CONTENT PILLAR MAPPING'!C461, "'.", CHAR(10),
"Saya memiliki Tone of Voice: '", 'CONTENT PILLAR MAPPING'!C466, "', Brand Archetype: '", 'CONTENT PILLAR MAPPING'!D466, "', dan Deskripsi Gaya Komunikasi: '", 'CONTENT PILLAR MAPPING'!E466, "'.", CHAR(10),
"Target audiens saya adalah: '", 'CONTENT PILLAR MAPPING'!D474, "', dengan segmentasi audiens: '", 'CONTENT PILLAR MAPPING'!D475, "'.", CHAR(10), CHAR(10),
"Mohon buatkan script konten yang **sangat powerful, menarik, inovatif, dan siap pakai** dengan judul ide '", B555, "'.", CHAR(10),
"Konten ini memiliki pilar '", C555, "', nilai tambah utama '", F555, "', dan akan menggunakan storytelling framework '", G555, "'.", CHAR(10),
"Gambaran singkat ide kontennya adalah: '", J555, "'.", CHAR(10),
"Konten ini akan diunggah di platform '", E555, "' dengan format '", D555,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MAPPING'!C461, "'.** Sesuaikan dengan gaya komunikasi saya, dengan fokus pada nilai tambah '", F555,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MAPPING'!D474, ", khusus ", 'CONTENT PILLAR MAPPING'!D475, ") dan membantu mereka menyelesaikan masalah atau mencapai tujuan mereka.", CHAR(10),
"✔ Membantuku membangun personal branding yang kuat dan sustainable, sesuai dengan Positioning saya sebagai '", 'CONTENT PILLAR MAPPING'!C461, "' dan Brand Archetype '", 'CONTENT PILLAR MAPPING'!D466, "'.", CHAR(10),
"✔ Kemas dalam bentuk tabel agar rapi, mudah di baca dan dipahami, dengan kolom 'Judul Konten', 'Pilar', 'Format', 'Draft Script', 'CTA', 'Saran Visual', dan 'Full Caption'. (Kosongkan kolom Link Prompt jika ada)."
),
"")</f>
        <v/>
      </c>
      <c r="L555" s="91" t="n"/>
      <c r="M555" s="91" t="n"/>
      <c r="N555" s="102" t="n"/>
      <c r="O555" s="102" t="n"/>
      <c r="P555" s="102" t="n"/>
      <c r="Q555" s="102" t="n"/>
      <c r="R555" s="102" t="n"/>
      <c r="S555" s="102" t="n"/>
      <c r="T555" s="102" t="n"/>
      <c r="U555" s="102" t="n"/>
      <c r="V555" s="102" t="n"/>
      <c r="W555" s="102" t="n"/>
      <c r="X555" s="102" t="n"/>
      <c r="Y555" s="102" t="n"/>
      <c r="Z555" s="102" t="n"/>
      <c r="AA555" s="102" t="n"/>
      <c r="AB555" s="102" t="n"/>
      <c r="AC555" s="102" t="n"/>
      <c r="AD555" s="102" t="n"/>
    </row>
    <row r="556" ht="15.75" customHeight="1" s="205">
      <c r="A556" s="102" t="n"/>
      <c r="B556" s="147" t="n"/>
      <c r="C556" s="144" t="n"/>
      <c r="D556" s="144" t="n"/>
      <c r="E556" s="144" t="n"/>
      <c r="F556" s="144" t="n"/>
      <c r="G556" s="144" t="n"/>
      <c r="H556" s="141">
        <f>IF(K556&lt;&gt;"", HYPERLINK("https://chatgpt.com/?prompt=" &amp; SUBSTITUTE(SUBSTITUTE(K556, " ", "+"), "&amp;", "dan") &amp; "&amp;force-refresh=true&amp;timestamp=" &amp; TEXT(NOW(), "yyyymmddhhmmss"), "👉 Klik untuk Generate Script! 🔥"), "")</f>
        <v/>
      </c>
      <c r="I556" s="144" t="n"/>
      <c r="J556" s="148" t="n"/>
      <c r="K556" s="140">
        <f>IF(AND(B556&lt;&gt;"", C556&lt;&gt;"", D556&lt;&gt;"", E556&lt;&gt;"", F556&lt;&gt;"", G556&lt;&gt;"", J556&lt;&gt;"", 'CONTENT PILLAR MAPPING'!C458&lt;&gt;"", 'CONTENT PILLAR MAPPING'!E458&lt;&gt;"", 'CONTENT PILLAR MAPPING'!F458&lt;&gt;"", 'CONTENT PILLAR MAPPING'!C461&lt;&gt;"", 'CONTENT PILLAR MAPPING'!C466&lt;&gt;"", 'CONTENT PILLAR MAPPING'!D466&lt;&gt;"", 'CONTENT PILLAR MAPPING'!E466&lt;&gt;"", 'CONTENT PILLAR MAPPING'!D474&lt;&gt;"", 'CONTENT PILLAR MAPPING'!D475&lt;&gt;""),
CONCATENATE(
"Sebagai seorang top konten kreator dengan niche utama '", 'CONTENT PILLAR MAPPING'!C458, "', spesifik kategori '", 'CONTENT PILLAR MAPPING'!E458, "', dan super spesifik '", 'CONTENT PILLAR MAPPING'!F458, "', yang dikenal sebagai '", 'CONTENT PILLAR MAPPING'!C461, "'.", CHAR(10),
"Saya memiliki Tone of Voice: '", 'CONTENT PILLAR MAPPING'!C466, "', Brand Archetype: '", 'CONTENT PILLAR MAPPING'!D466, "', dan Deskripsi Gaya Komunikasi: '", 'CONTENT PILLAR MAPPING'!E466, "'.", CHAR(10),
"Target audiens saya adalah: '", 'CONTENT PILLAR MAPPING'!D474, "', dengan segmentasi audiens: '", 'CONTENT PILLAR MAPPING'!D475, "'.", CHAR(10), CHAR(10),
"Mohon buatkan script konten yang **sangat powerful, menarik, inovatif, dan siap pakai** dengan judul ide '", B556, "'.", CHAR(10),
"Konten ini memiliki pilar '", C556, "', nilai tambah utama '", F556, "', dan akan menggunakan storytelling framework '", G556, "'.", CHAR(10),
"Gambaran singkat ide kontennya adalah: '", J556, "'.", CHAR(10),
"Konten ini akan diunggah di platform '", E556, "' dengan format '", D556,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MAPPING'!C461, "'.** Sesuaikan dengan gaya komunikasi saya, dengan fokus pada nilai tambah '", F556,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MAPPING'!D474, ", khusus ", 'CONTENT PILLAR MAPPING'!D475, ") dan membantu mereka menyelesaikan masalah atau mencapai tujuan mereka.", CHAR(10),
"✔ Membantuku membangun personal branding yang kuat dan sustainable, sesuai dengan Positioning saya sebagai '", 'CONTENT PILLAR MAPPING'!C461, "' dan Brand Archetype '", 'CONTENT PILLAR MAPPING'!D466, "'.", CHAR(10),
"✔ Kemas dalam bentuk tabel agar rapi, mudah di baca dan dipahami, dengan kolom 'Judul Konten', 'Pilar', 'Format', 'Draft Script', 'CTA', 'Saran Visual', dan 'Full Caption'. (Kosongkan kolom Link Prompt jika ada)."
),
"")</f>
        <v/>
      </c>
      <c r="L556" s="199" t="n"/>
      <c r="M556" s="199" t="n"/>
      <c r="N556" s="102" t="n"/>
      <c r="O556" s="102" t="n"/>
      <c r="P556" s="102" t="n"/>
      <c r="Q556" s="102" t="n"/>
      <c r="R556" s="102" t="n"/>
      <c r="S556" s="102" t="n"/>
      <c r="T556" s="102" t="n"/>
      <c r="U556" s="102" t="n"/>
      <c r="V556" s="102" t="n"/>
      <c r="W556" s="102" t="n"/>
      <c r="X556" s="102" t="n"/>
      <c r="Y556" s="102" t="n"/>
      <c r="Z556" s="102" t="n"/>
      <c r="AA556" s="102" t="n"/>
      <c r="AB556" s="102" t="n"/>
      <c r="AC556" s="102" t="n"/>
      <c r="AD556" s="102" t="n"/>
    </row>
    <row r="557" ht="15.75" customHeight="1" s="205">
      <c r="A557" s="102" t="n"/>
      <c r="B557" s="142" t="n"/>
      <c r="C557" s="143" t="n"/>
      <c r="D557" s="143" t="n"/>
      <c r="E557" s="143" t="n"/>
      <c r="F557" s="143" t="n"/>
      <c r="G557" s="144" t="n"/>
      <c r="H557" s="145">
        <f>IF(K557&lt;&gt;"", HYPERLINK("https://chatgpt.com/?prompt=" &amp; SUBSTITUTE(SUBSTITUTE(K557, " ", "+"), "&amp;", "dan") &amp; "&amp;force-refresh=true&amp;timestamp=" &amp; TEXT(NOW(), "yyyymmddhhmmss"), "👉 Klik untuk Generate Script! 🔥"), "")</f>
        <v/>
      </c>
      <c r="I557" s="143" t="n"/>
      <c r="J557" s="146" t="n"/>
      <c r="K557" s="130">
        <f>IF(AND(B557&lt;&gt;"", C557&lt;&gt;"", D557&lt;&gt;"", E557&lt;&gt;"", F557&lt;&gt;"", G557&lt;&gt;"", J557&lt;&gt;"", 'CONTENT PILLAR MAPPING'!C460&lt;&gt;"", 'CONTENT PILLAR MAPPING'!E460&lt;&gt;"", 'CONTENT PILLAR MAPPING'!F460&lt;&gt;"", 'CONTENT PILLAR MAPPING'!C463&lt;&gt;"", 'CONTENT PILLAR MAPPING'!C468&lt;&gt;"", 'CONTENT PILLAR MAPPING'!D468&lt;&gt;"", 'CONTENT PILLAR MAPPING'!E468&lt;&gt;"", 'CONTENT PILLAR MAPPING'!D476&lt;&gt;"", 'CONTENT PILLAR MAPPING'!D477&lt;&gt;""),
CONCATENATE(
"Sebagai seorang top konten kreator dengan niche utama '", 'CONTENT PILLAR MAPPING'!C460, "', spesifik kategori '", 'CONTENT PILLAR MAPPING'!E460, "', dan super spesifik '", 'CONTENT PILLAR MAPPING'!F460, "', yang dikenal sebagai '", 'CONTENT PILLAR MAPPING'!C463, "'.", CHAR(10),
"Saya memiliki Tone of Voice: '", 'CONTENT PILLAR MAPPING'!C468, "', Brand Archetype: '", 'CONTENT PILLAR MAPPING'!D468, "', dan Deskripsi Gaya Komunikasi: '", 'CONTENT PILLAR MAPPING'!E468, "'.", CHAR(10),
"Target audiens saya adalah: '", 'CONTENT PILLAR MAPPING'!D476, "', dengan segmentasi audiens: '", 'CONTENT PILLAR MAPPING'!D477, "'.", CHAR(10), CHAR(10),
"Mohon buatkan script konten yang **sangat powerful, menarik, inovatif, dan siap pakai** dengan judul ide '", B557, "'.", CHAR(10),
"Konten ini memiliki pilar '", C557, "', nilai tambah utama '", F557, "', dan akan menggunakan storytelling framework '", G557, "'.", CHAR(10),
"Gambaran singkat ide kontennya adalah: '", J557, "'.", CHAR(10),
"Konten ini akan diunggah di platform '", E557, "' dengan format '", D557,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MAPPING'!C463, "'.** Sesuaikan dengan gaya komunikasi saya, dengan fokus pada nilai tambah '", F557,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MAPPING'!D476, ", khusus ", 'CONTENT PILLAR MAPPING'!D477, ") dan membantu mereka menyelesaikan masalah atau mencapai tujuan mereka.", CHAR(10),
"✔ Membantuku membangun personal branding yang kuat dan sustainable, sesuai dengan Positioning saya sebagai '", 'CONTENT PILLAR MAPPING'!C463, "' dan Brand Archetype '", 'CONTENT PILLAR MAPPING'!D468, "'.", CHAR(10),
"✔ Kemas dalam bentuk tabel agar rapi, mudah di baca dan dipahami, dengan kolom 'Judul Konten', 'Pilar', 'Format', 'Draft Script', 'CTA', 'Saran Visual', dan 'Full Caption'. (Kosongkan kolom Link Prompt jika ada)."
),
"")</f>
        <v/>
      </c>
      <c r="L557" s="91" t="n"/>
      <c r="M557" s="91" t="n"/>
      <c r="N557" s="102" t="n"/>
      <c r="O557" s="102" t="n"/>
      <c r="P557" s="102" t="n"/>
      <c r="Q557" s="102" t="n"/>
      <c r="R557" s="102" t="n"/>
      <c r="S557" s="102" t="n"/>
      <c r="T557" s="102" t="n"/>
      <c r="U557" s="102" t="n"/>
      <c r="V557" s="102" t="n"/>
      <c r="W557" s="102" t="n"/>
      <c r="X557" s="102" t="n"/>
      <c r="Y557" s="102" t="n"/>
      <c r="Z557" s="102" t="n"/>
      <c r="AA557" s="102" t="n"/>
      <c r="AB557" s="102" t="n"/>
      <c r="AC557" s="102" t="n"/>
      <c r="AD557" s="102" t="n"/>
    </row>
    <row r="558" ht="15.75" customHeight="1" s="205">
      <c r="A558" s="102" t="n"/>
      <c r="B558" s="147" t="n"/>
      <c r="C558" s="144" t="n"/>
      <c r="D558" s="144" t="n"/>
      <c r="E558" s="144" t="n"/>
      <c r="F558" s="144" t="n"/>
      <c r="G558" s="144" t="n"/>
      <c r="H558" s="141">
        <f>IF(K558&lt;&gt;"", HYPERLINK("https://chatgpt.com/?prompt=" &amp; SUBSTITUTE(SUBSTITUTE(K558, " ", "+"), "&amp;", "dan") &amp; "&amp;force-refresh=true&amp;timestamp=" &amp; TEXT(NOW(), "yyyymmddhhmmss"), "👉 Klik untuk Generate Script! 🔥"), "")</f>
        <v/>
      </c>
      <c r="I558" s="144" t="n"/>
      <c r="J558" s="148" t="n"/>
      <c r="K558" s="140">
        <f>IF(AND(B558&lt;&gt;"", C558&lt;&gt;"", D558&lt;&gt;"", E558&lt;&gt;"", F558&lt;&gt;"", G558&lt;&gt;"", J558&lt;&gt;"", 'CONTENT PILLAR MAPPING'!C460&lt;&gt;"", 'CONTENT PILLAR MAPPING'!E460&lt;&gt;"", 'CONTENT PILLAR MAPPING'!F460&lt;&gt;"", 'CONTENT PILLAR MAPPING'!C463&lt;&gt;"", 'CONTENT PILLAR MAPPING'!C468&lt;&gt;"", 'CONTENT PILLAR MAPPING'!D468&lt;&gt;"", 'CONTENT PILLAR MAPPING'!E468&lt;&gt;"", 'CONTENT PILLAR MAPPING'!D476&lt;&gt;"", 'CONTENT PILLAR MAPPING'!D477&lt;&gt;""),
CONCATENATE(
"Sebagai seorang top konten kreator dengan niche utama '", 'CONTENT PILLAR MAPPING'!C460, "', spesifik kategori '", 'CONTENT PILLAR MAPPING'!E460, "', dan super spesifik '", 'CONTENT PILLAR MAPPING'!F460, "', yang dikenal sebagai '", 'CONTENT PILLAR MAPPING'!C463, "'.", CHAR(10),
"Saya memiliki Tone of Voice: '", 'CONTENT PILLAR MAPPING'!C468, "', Brand Archetype: '", 'CONTENT PILLAR MAPPING'!D468, "', dan Deskripsi Gaya Komunikasi: '", 'CONTENT PILLAR MAPPING'!E468, "'.", CHAR(10),
"Target audiens saya adalah: '", 'CONTENT PILLAR MAPPING'!D476, "', dengan segmentasi audiens: '", 'CONTENT PILLAR MAPPING'!D477, "'.", CHAR(10), CHAR(10),
"Mohon buatkan script konten yang **sangat powerful, menarik, inovatif, dan siap pakai** dengan judul ide '", B558, "'.", CHAR(10),
"Konten ini memiliki pilar '", C558, "', nilai tambah utama '", F558, "', dan akan menggunakan storytelling framework '", G558, "'.", CHAR(10),
"Gambaran singkat ide kontennya adalah: '", J558, "'.", CHAR(10),
"Konten ini akan diunggah di platform '", E558, "' dengan format '", D558,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MAPPING'!C463, "'.** Sesuaikan dengan gaya komunikasi saya, dengan fokus pada nilai tambah '", F558,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MAPPING'!D476, ", khusus ", 'CONTENT PILLAR MAPPING'!D477, ") dan membantu mereka menyelesaikan masalah atau mencapai tujuan mereka.", CHAR(10),
"✔ Membantuku membangun personal branding yang kuat dan sustainable, sesuai dengan Positioning saya sebagai '", 'CONTENT PILLAR MAPPING'!C463, "' dan Brand Archetype '", 'CONTENT PILLAR MAPPING'!D468, "'.", CHAR(10),
"✔ Kemas dalam bentuk tabel agar rapi, mudah di baca dan dipahami, dengan kolom 'Judul Konten', 'Pilar', 'Format', 'Draft Script', 'CTA', 'Saran Visual', dan 'Full Caption'. (Kosongkan kolom Link Prompt jika ada)."
),
"")</f>
        <v/>
      </c>
      <c r="L558" s="199" t="n"/>
      <c r="M558" s="199" t="n"/>
      <c r="N558" s="102" t="n"/>
      <c r="O558" s="102" t="n"/>
      <c r="P558" s="102" t="n"/>
      <c r="Q558" s="102" t="n"/>
      <c r="R558" s="102" t="n"/>
      <c r="S558" s="102" t="n"/>
      <c r="T558" s="102" t="n"/>
      <c r="U558" s="102" t="n"/>
      <c r="V558" s="102" t="n"/>
      <c r="W558" s="102" t="n"/>
      <c r="X558" s="102" t="n"/>
      <c r="Y558" s="102" t="n"/>
      <c r="Z558" s="102" t="n"/>
      <c r="AA558" s="102" t="n"/>
      <c r="AB558" s="102" t="n"/>
      <c r="AC558" s="102" t="n"/>
      <c r="AD558" s="102" t="n"/>
    </row>
    <row r="559" ht="15.75" customHeight="1" s="205">
      <c r="A559" s="102" t="n"/>
      <c r="B559" s="142" t="n"/>
      <c r="C559" s="143" t="n"/>
      <c r="D559" s="143" t="n"/>
      <c r="E559" s="143" t="n"/>
      <c r="F559" s="143" t="n"/>
      <c r="G559" s="144" t="n"/>
      <c r="H559" s="145">
        <f>IF(K559&lt;&gt;"", HYPERLINK("https://chatgpt.com/?prompt=" &amp; SUBSTITUTE(SUBSTITUTE(K559, " ", "+"), "&amp;", "dan") &amp; "&amp;force-refresh=true&amp;timestamp=" &amp; TEXT(NOW(), "yyyymmddhhmmss"), "👉 Klik untuk Generate Script! 🔥"), "")</f>
        <v/>
      </c>
      <c r="I559" s="143" t="n"/>
      <c r="J559" s="146" t="n"/>
      <c r="K559" s="130">
        <f>IF(AND(B559&lt;&gt;"", C559&lt;&gt;"", D559&lt;&gt;"", E559&lt;&gt;"", F559&lt;&gt;"", G559&lt;&gt;"", J559&lt;&gt;"", 'CONTENT PILLAR MAPPING'!C462&lt;&gt;"", 'CONTENT PILLAR MAPPING'!E462&lt;&gt;"", 'CONTENT PILLAR MAPPING'!F462&lt;&gt;"", 'CONTENT PILLAR MAPPING'!C465&lt;&gt;"", 'CONTENT PILLAR MAPPING'!C470&lt;&gt;"", 'CONTENT PILLAR MAPPING'!D470&lt;&gt;"", 'CONTENT PILLAR MAPPING'!E470&lt;&gt;"", 'CONTENT PILLAR MAPPING'!D478&lt;&gt;"", 'CONTENT PILLAR MAPPING'!D479&lt;&gt;""),
CONCATENATE(
"Sebagai seorang top konten kreator dengan niche utama '", 'CONTENT PILLAR MAPPING'!C462, "', spesifik kategori '", 'CONTENT PILLAR MAPPING'!E462, "', dan super spesifik '", 'CONTENT PILLAR MAPPING'!F462, "', yang dikenal sebagai '", 'CONTENT PILLAR MAPPING'!C465, "'.", CHAR(10),
"Saya memiliki Tone of Voice: '", 'CONTENT PILLAR MAPPING'!C470, "', Brand Archetype: '", 'CONTENT PILLAR MAPPING'!D470, "', dan Deskripsi Gaya Komunikasi: '", 'CONTENT PILLAR MAPPING'!E470, "'.", CHAR(10),
"Target audiens saya adalah: '", 'CONTENT PILLAR MAPPING'!D478, "', dengan segmentasi audiens: '", 'CONTENT PILLAR MAPPING'!D479, "'.", CHAR(10), CHAR(10),
"Mohon buatkan script konten yang **sangat powerful, menarik, inovatif, dan siap pakai** dengan judul ide '", B559, "'.", CHAR(10),
"Konten ini memiliki pilar '", C559, "', nilai tambah utama '", F559, "', dan akan menggunakan storytelling framework '", G559, "'.", CHAR(10),
"Gambaran singkat ide kontennya adalah: '", J559, "'.", CHAR(10),
"Konten ini akan diunggah di platform '", E559, "' dengan format '", D559,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MAPPING'!C465, "'.** Sesuaikan dengan gaya komunikasi saya, dengan fokus pada nilai tambah '", F559,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MAPPING'!D478, ", khusus ", 'CONTENT PILLAR MAPPING'!D479, ") dan membantu mereka menyelesaikan masalah atau mencapai tujuan mereka.", CHAR(10),
"✔ Membantuku membangun personal branding yang kuat dan sustainable, sesuai dengan Positioning saya sebagai '", 'CONTENT PILLAR MAPPING'!C465, "' dan Brand Archetype '", 'CONTENT PILLAR MAPPING'!D470, "'.", CHAR(10),
"✔ Kemas dalam bentuk tabel agar rapi, mudah di baca dan dipahami, dengan kolom 'Judul Konten', 'Pilar', 'Format', 'Draft Script', 'CTA', 'Saran Visual', dan 'Full Caption'. (Kosongkan kolom Link Prompt jika ada)."
),
"")</f>
        <v/>
      </c>
      <c r="L559" s="91" t="n"/>
      <c r="M559" s="91" t="n"/>
      <c r="N559" s="102" t="n"/>
      <c r="O559" s="102" t="n"/>
      <c r="P559" s="102" t="n"/>
      <c r="Q559" s="102" t="n"/>
      <c r="R559" s="102" t="n"/>
      <c r="S559" s="102" t="n"/>
      <c r="T559" s="102" t="n"/>
      <c r="U559" s="102" t="n"/>
      <c r="V559" s="102" t="n"/>
      <c r="W559" s="102" t="n"/>
      <c r="X559" s="102" t="n"/>
      <c r="Y559" s="102" t="n"/>
      <c r="Z559" s="102" t="n"/>
      <c r="AA559" s="102" t="n"/>
      <c r="AB559" s="102" t="n"/>
      <c r="AC559" s="102" t="n"/>
      <c r="AD559" s="102" t="n"/>
    </row>
    <row r="560" ht="15.75" customHeight="1" s="205">
      <c r="A560" s="102" t="n"/>
      <c r="B560" s="147" t="n"/>
      <c r="C560" s="144" t="n"/>
      <c r="D560" s="144" t="n"/>
      <c r="E560" s="144" t="n"/>
      <c r="F560" s="144" t="n"/>
      <c r="G560" s="144" t="n"/>
      <c r="H560" s="141">
        <f>IF(K560&lt;&gt;"", HYPERLINK("https://chatgpt.com/?prompt=" &amp; SUBSTITUTE(SUBSTITUTE(K560, " ", "+"), "&amp;", "dan") &amp; "&amp;force-refresh=true&amp;timestamp=" &amp; TEXT(NOW(), "yyyymmddhhmmss"), "👉 Klik untuk Generate Script! 🔥"), "")</f>
        <v/>
      </c>
      <c r="I560" s="144" t="n"/>
      <c r="J560" s="148" t="n"/>
      <c r="K560" s="140">
        <f>IF(AND(B560&lt;&gt;"", C560&lt;&gt;"", D560&lt;&gt;"", E560&lt;&gt;"", F560&lt;&gt;"", G560&lt;&gt;"", J560&lt;&gt;"", 'CONTENT PILLAR MAPPING'!C462&lt;&gt;"", 'CONTENT PILLAR MAPPING'!E462&lt;&gt;"", 'CONTENT PILLAR MAPPING'!F462&lt;&gt;"", 'CONTENT PILLAR MAPPING'!C465&lt;&gt;"", 'CONTENT PILLAR MAPPING'!C470&lt;&gt;"", 'CONTENT PILLAR MAPPING'!D470&lt;&gt;"", 'CONTENT PILLAR MAPPING'!E470&lt;&gt;"", 'CONTENT PILLAR MAPPING'!D478&lt;&gt;"", 'CONTENT PILLAR MAPPING'!D479&lt;&gt;""),
CONCATENATE(
"Sebagai seorang top konten kreator dengan niche utama '", 'CONTENT PILLAR MAPPING'!C462, "', spesifik kategori '", 'CONTENT PILLAR MAPPING'!E462, "', dan super spesifik '", 'CONTENT PILLAR MAPPING'!F462, "', yang dikenal sebagai '", 'CONTENT PILLAR MAPPING'!C465, "'.", CHAR(10),
"Saya memiliki Tone of Voice: '", 'CONTENT PILLAR MAPPING'!C470, "', Brand Archetype: '", 'CONTENT PILLAR MAPPING'!D470, "', dan Deskripsi Gaya Komunikasi: '", 'CONTENT PILLAR MAPPING'!E470, "'.", CHAR(10),
"Target audiens saya adalah: '", 'CONTENT PILLAR MAPPING'!D478, "', dengan segmentasi audiens: '", 'CONTENT PILLAR MAPPING'!D479, "'.", CHAR(10), CHAR(10),
"Mohon buatkan script konten yang **sangat powerful, menarik, inovatif, dan siap pakai** dengan judul ide '", B560, "'.", CHAR(10),
"Konten ini memiliki pilar '", C560, "', nilai tambah utama '", F560, "', dan akan menggunakan storytelling framework '", G560, "'.", CHAR(10),
"Gambaran singkat ide kontennya adalah: '", J560, "'.", CHAR(10),
"Konten ini akan diunggah di platform '", E560, "' dengan format '", D560,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MAPPING'!C465, "'.** Sesuaikan dengan gaya komunikasi saya, dengan fokus pada nilai tambah '", F560,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MAPPING'!D478, ", khusus ", 'CONTENT PILLAR MAPPING'!D479, ") dan membantu mereka menyelesaikan masalah atau mencapai tujuan mereka.", CHAR(10),
"✔ Membantuku membangun personal branding yang kuat dan sustainable, sesuai dengan Positioning saya sebagai '", 'CONTENT PILLAR MAPPING'!C465, "' dan Brand Archetype '", 'CONTENT PILLAR MAPPING'!D470, "'.", CHAR(10),
"✔ Kemas dalam bentuk tabel agar rapi, mudah di baca dan dipahami, dengan kolom 'Judul Konten', 'Pilar', 'Format', 'Draft Script', 'CTA', 'Saran Visual', dan 'Full Caption'. (Kosongkan kolom Link Prompt jika ada)."
),
"")</f>
        <v/>
      </c>
      <c r="L560" s="199" t="n"/>
      <c r="M560" s="199" t="n"/>
      <c r="N560" s="102" t="n"/>
      <c r="O560" s="102" t="n"/>
      <c r="P560" s="102" t="n"/>
      <c r="Q560" s="102" t="n"/>
      <c r="R560" s="102" t="n"/>
      <c r="S560" s="102" t="n"/>
      <c r="T560" s="102" t="n"/>
      <c r="U560" s="102" t="n"/>
      <c r="V560" s="102" t="n"/>
      <c r="W560" s="102" t="n"/>
      <c r="X560" s="102" t="n"/>
      <c r="Y560" s="102" t="n"/>
      <c r="Z560" s="102" t="n"/>
      <c r="AA560" s="102" t="n"/>
      <c r="AB560" s="102" t="n"/>
      <c r="AC560" s="102" t="n"/>
      <c r="AD560" s="102" t="n"/>
    </row>
    <row r="561" ht="15.75" customHeight="1" s="205">
      <c r="A561" s="102" t="n"/>
      <c r="B561" s="142" t="n"/>
      <c r="C561" s="143" t="n"/>
      <c r="D561" s="143" t="n"/>
      <c r="E561" s="143" t="n"/>
      <c r="F561" s="143" t="n"/>
      <c r="G561" s="144" t="n"/>
      <c r="H561" s="145">
        <f>IF(K561&lt;&gt;"", HYPERLINK("https://chatgpt.com/?prompt=" &amp; SUBSTITUTE(SUBSTITUTE(K561, " ", "+"), "&amp;", "dan") &amp; "&amp;force-refresh=true&amp;timestamp=" &amp; TEXT(NOW(), "yyyymmddhhmmss"), "👉 Klik untuk Generate Script! 🔥"), "")</f>
        <v/>
      </c>
      <c r="I561" s="143" t="n"/>
      <c r="J561" s="146" t="n"/>
      <c r="K561" s="130">
        <f>IF(AND(B561&lt;&gt;"", C561&lt;&gt;"", D561&lt;&gt;"", E561&lt;&gt;"", F561&lt;&gt;"", G561&lt;&gt;"", J561&lt;&gt;"", 'CONTENT PILLAR MAPPING'!C464&lt;&gt;"", 'CONTENT PILLAR MAPPING'!E464&lt;&gt;"", 'CONTENT PILLAR MAPPING'!F464&lt;&gt;"", 'CONTENT PILLAR MAPPING'!C467&lt;&gt;"", 'CONTENT PILLAR MAPPING'!C472&lt;&gt;"", 'CONTENT PILLAR MAPPING'!D472&lt;&gt;"", 'CONTENT PILLAR MAPPING'!E472&lt;&gt;"", 'CONTENT PILLAR MAPPING'!D480&lt;&gt;"", 'CONTENT PILLAR MAPPING'!D481&lt;&gt;""),
CONCATENATE(
"Sebagai seorang top konten kreator dengan niche utama '", 'CONTENT PILLAR MAPPING'!C464, "', spesifik kategori '", 'CONTENT PILLAR MAPPING'!E464, "', dan super spesifik '", 'CONTENT PILLAR MAPPING'!F464, "', yang dikenal sebagai '", 'CONTENT PILLAR MAPPING'!C467, "'.", CHAR(10),
"Saya memiliki Tone of Voice: '", 'CONTENT PILLAR MAPPING'!C472, "', Brand Archetype: '", 'CONTENT PILLAR MAPPING'!D472, "', dan Deskripsi Gaya Komunikasi: '", 'CONTENT PILLAR MAPPING'!E472, "'.", CHAR(10),
"Target audiens saya adalah: '", 'CONTENT PILLAR MAPPING'!D480, "', dengan segmentasi audiens: '", 'CONTENT PILLAR MAPPING'!D481, "'.", CHAR(10), CHAR(10),
"Mohon buatkan script konten yang **sangat powerful, menarik, inovatif, dan siap pakai** dengan judul ide '", B561, "'.", CHAR(10),
"Konten ini memiliki pilar '", C561, "', nilai tambah utama '", F561, "', dan akan menggunakan storytelling framework '", G561, "'.", CHAR(10),
"Gambaran singkat ide kontennya adalah: '", J561, "'.", CHAR(10),
"Konten ini akan diunggah di platform '", E561, "' dengan format '", D561,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MAPPING'!C467, "'.** Sesuaikan dengan gaya komunikasi saya, dengan fokus pada nilai tambah '", F561,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MAPPING'!D480, ", khusus ", 'CONTENT PILLAR MAPPING'!D481, ") dan membantu mereka menyelesaikan masalah atau mencapai tujuan mereka.", CHAR(10),
"✔ Membantuku membangun personal branding yang kuat dan sustainable, sesuai dengan Positioning saya sebagai '", 'CONTENT PILLAR MAPPING'!C467, "' dan Brand Archetype '", 'CONTENT PILLAR MAPPING'!D472, "'.", CHAR(10),
"✔ Kemas dalam bentuk tabel agar rapi, mudah di baca dan dipahami, dengan kolom 'Judul Konten', 'Pilar', 'Format', 'Draft Script', 'CTA', 'Saran Visual', dan 'Full Caption'. (Kosongkan kolom Link Prompt jika ada)."
),
"")</f>
        <v/>
      </c>
      <c r="L561" s="91" t="n"/>
      <c r="M561" s="91" t="n"/>
      <c r="N561" s="102" t="n"/>
      <c r="O561" s="102" t="n"/>
      <c r="P561" s="102" t="n"/>
      <c r="Q561" s="102" t="n"/>
      <c r="R561" s="102" t="n"/>
      <c r="S561" s="102" t="n"/>
      <c r="T561" s="102" t="n"/>
      <c r="U561" s="102" t="n"/>
      <c r="V561" s="102" t="n"/>
      <c r="W561" s="102" t="n"/>
      <c r="X561" s="102" t="n"/>
      <c r="Y561" s="102" t="n"/>
      <c r="Z561" s="102" t="n"/>
      <c r="AA561" s="102" t="n"/>
      <c r="AB561" s="102" t="n"/>
      <c r="AC561" s="102" t="n"/>
      <c r="AD561" s="102" t="n"/>
    </row>
    <row r="562" ht="15.75" customHeight="1" s="205">
      <c r="A562" s="102" t="n"/>
      <c r="B562" s="147" t="n"/>
      <c r="C562" s="144" t="n"/>
      <c r="D562" s="144" t="n"/>
      <c r="E562" s="144" t="n"/>
      <c r="F562" s="144" t="n"/>
      <c r="G562" s="144" t="n"/>
      <c r="H562" s="141">
        <f>IF(K562&lt;&gt;"", HYPERLINK("https://chatgpt.com/?prompt=" &amp; SUBSTITUTE(SUBSTITUTE(K562, " ", "+"), "&amp;", "dan") &amp; "&amp;force-refresh=true&amp;timestamp=" &amp; TEXT(NOW(), "yyyymmddhhmmss"), "👉 Klik untuk Generate Script! 🔥"), "")</f>
        <v/>
      </c>
      <c r="I562" s="144" t="n"/>
      <c r="J562" s="148" t="n"/>
      <c r="K562" s="140">
        <f>IF(AND(B562&lt;&gt;"", C562&lt;&gt;"", D562&lt;&gt;"", E562&lt;&gt;"", F562&lt;&gt;"", G562&lt;&gt;"", J562&lt;&gt;"", 'CONTENT PILLAR MAPPING'!C464&lt;&gt;"", 'CONTENT PILLAR MAPPING'!E464&lt;&gt;"", 'CONTENT PILLAR MAPPING'!F464&lt;&gt;"", 'CONTENT PILLAR MAPPING'!C467&lt;&gt;"", 'CONTENT PILLAR MAPPING'!C472&lt;&gt;"", 'CONTENT PILLAR MAPPING'!D472&lt;&gt;"", 'CONTENT PILLAR MAPPING'!E472&lt;&gt;"", 'CONTENT PILLAR MAPPING'!D480&lt;&gt;"", 'CONTENT PILLAR MAPPING'!D481&lt;&gt;""),
CONCATENATE(
"Sebagai seorang top konten kreator dengan niche utama '", 'CONTENT PILLAR MAPPING'!C464, "', spesifik kategori '", 'CONTENT PILLAR MAPPING'!E464, "', dan super spesifik '", 'CONTENT PILLAR MAPPING'!F464, "', yang dikenal sebagai '", 'CONTENT PILLAR MAPPING'!C467, "'.", CHAR(10),
"Saya memiliki Tone of Voice: '", 'CONTENT PILLAR MAPPING'!C472, "', Brand Archetype: '", 'CONTENT PILLAR MAPPING'!D472, "', dan Deskripsi Gaya Komunikasi: '", 'CONTENT PILLAR MAPPING'!E472, "'.", CHAR(10),
"Target audiens saya adalah: '", 'CONTENT PILLAR MAPPING'!D480, "', dengan segmentasi audiens: '", 'CONTENT PILLAR MAPPING'!D481, "'.", CHAR(10), CHAR(10),
"Mohon buatkan script konten yang **sangat powerful, menarik, inovatif, dan siap pakai** dengan judul ide '", B562, "'.", CHAR(10),
"Konten ini memiliki pilar '", C562, "', nilai tambah utama '", F562, "', dan akan menggunakan storytelling framework '", G562, "'.", CHAR(10),
"Gambaran singkat ide kontennya adalah: '", J562, "'.", CHAR(10),
"Konten ini akan diunggah di platform '", E562, "' dengan format '", D562,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MAPPING'!C467, "'.** Sesuaikan dengan gaya komunikasi saya, dengan fokus pada nilai tambah '", F562,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MAPPING'!D480, ", khusus ", 'CONTENT PILLAR MAPPING'!D481, ") dan membantu mereka menyelesaikan masalah atau mencapai tujuan mereka.", CHAR(10),
"✔ Membantuku membangun personal branding yang kuat dan sustainable, sesuai dengan Positioning saya sebagai '", 'CONTENT PILLAR MAPPING'!C467, "' dan Brand Archetype '", 'CONTENT PILLAR MAPPING'!D472, "'.", CHAR(10),
"✔ Kemas dalam bentuk tabel agar rapi, mudah di baca dan dipahami, dengan kolom 'Judul Konten', 'Pilar', 'Format', 'Draft Script', 'CTA', 'Saran Visual', dan 'Full Caption'. (Kosongkan kolom Link Prompt jika ada)."
),
"")</f>
        <v/>
      </c>
      <c r="L562" s="199" t="n"/>
      <c r="M562" s="199" t="n"/>
      <c r="N562" s="102" t="n"/>
      <c r="O562" s="102" t="n"/>
      <c r="P562" s="102" t="n"/>
      <c r="Q562" s="102" t="n"/>
      <c r="R562" s="102" t="n"/>
      <c r="S562" s="102" t="n"/>
      <c r="T562" s="102" t="n"/>
      <c r="U562" s="102" t="n"/>
      <c r="V562" s="102" t="n"/>
      <c r="W562" s="102" t="n"/>
      <c r="X562" s="102" t="n"/>
      <c r="Y562" s="102" t="n"/>
      <c r="Z562" s="102" t="n"/>
      <c r="AA562" s="102" t="n"/>
      <c r="AB562" s="102" t="n"/>
      <c r="AC562" s="102" t="n"/>
      <c r="AD562" s="102" t="n"/>
    </row>
    <row r="563" ht="15.75" customHeight="1" s="205">
      <c r="A563" s="102" t="n"/>
      <c r="B563" s="142" t="n"/>
      <c r="C563" s="143" t="n"/>
      <c r="D563" s="143" t="n"/>
      <c r="E563" s="143" t="n"/>
      <c r="F563" s="143" t="n"/>
      <c r="G563" s="144" t="n"/>
      <c r="H563" s="145">
        <f>IF(K563&lt;&gt;"", HYPERLINK("https://chatgpt.com/?prompt=" &amp; SUBSTITUTE(SUBSTITUTE(K563, " ", "+"), "&amp;", "dan") &amp; "&amp;force-refresh=true&amp;timestamp=" &amp; TEXT(NOW(), "yyyymmddhhmmss"), "👉 Klik untuk Generate Script! 🔥"), "")</f>
        <v/>
      </c>
      <c r="I563" s="143" t="n"/>
      <c r="J563" s="146" t="n"/>
      <c r="K563" s="130">
        <f>IF(AND(B563&lt;&gt;"", C563&lt;&gt;"", D563&lt;&gt;"", E563&lt;&gt;"", F563&lt;&gt;"", G563&lt;&gt;"", J563&lt;&gt;"", 'CONTENT PILLAR MAPPING'!C466&lt;&gt;"", 'CONTENT PILLAR MAPPING'!E466&lt;&gt;"", 'CONTENT PILLAR MAPPING'!F466&lt;&gt;"", 'CONTENT PILLAR MAPPING'!C469&lt;&gt;"", 'CONTENT PILLAR MAPPING'!C474&lt;&gt;"", 'CONTENT PILLAR MAPPING'!D474&lt;&gt;"", 'CONTENT PILLAR MAPPING'!E474&lt;&gt;"", 'CONTENT PILLAR MAPPING'!D482&lt;&gt;"", 'CONTENT PILLAR MAPPING'!D483&lt;&gt;""),
CONCATENATE(
"Sebagai seorang top konten kreator dengan niche utama '", 'CONTENT PILLAR MAPPING'!C466, "', spesifik kategori '", 'CONTENT PILLAR MAPPING'!E466, "', dan super spesifik '", 'CONTENT PILLAR MAPPING'!F466, "', yang dikenal sebagai '", 'CONTENT PILLAR MAPPING'!C469, "'.", CHAR(10),
"Saya memiliki Tone of Voice: '", 'CONTENT PILLAR MAPPING'!C474, "', Brand Archetype: '", 'CONTENT PILLAR MAPPING'!D474, "', dan Deskripsi Gaya Komunikasi: '", 'CONTENT PILLAR MAPPING'!E474, "'.", CHAR(10),
"Target audiens saya adalah: '", 'CONTENT PILLAR MAPPING'!D482, "', dengan segmentasi audiens: '", 'CONTENT PILLAR MAPPING'!D483, "'.", CHAR(10), CHAR(10),
"Mohon buatkan script konten yang **sangat powerful, menarik, inovatif, dan siap pakai** dengan judul ide '", B563, "'.", CHAR(10),
"Konten ini memiliki pilar '", C563, "', nilai tambah utama '", F563, "', dan akan menggunakan storytelling framework '", G563, "'.", CHAR(10),
"Gambaran singkat ide kontennya adalah: '", J563, "'.", CHAR(10),
"Konten ini akan diunggah di platform '", E563, "' dengan format '", D563,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MAPPING'!C469, "'.** Sesuaikan dengan gaya komunikasi saya, dengan fokus pada nilai tambah '", F563,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MAPPING'!D482, ", khusus ", 'CONTENT PILLAR MAPPING'!D483, ") dan membantu mereka menyelesaikan masalah atau mencapai tujuan mereka.", CHAR(10),
"✔ Membantuku membangun personal branding yang kuat dan sustainable, sesuai dengan Positioning saya sebagai '", 'CONTENT PILLAR MAPPING'!C469, "' dan Brand Archetype '", 'CONTENT PILLAR MAPPING'!D474, "'.", CHAR(10),
"✔ Kemas dalam bentuk tabel agar rapi, mudah di baca dan dipahami, dengan kolom 'Judul Konten', 'Pilar', 'Format', 'Draft Script', 'CTA', 'Saran Visual', dan 'Full Caption'. (Kosongkan kolom Link Prompt jika ada)."
),
"")</f>
        <v/>
      </c>
      <c r="L563" s="91" t="n"/>
      <c r="M563" s="91" t="n"/>
      <c r="N563" s="102" t="n"/>
      <c r="O563" s="102" t="n"/>
      <c r="P563" s="102" t="n"/>
      <c r="Q563" s="102" t="n"/>
      <c r="R563" s="102" t="n"/>
      <c r="S563" s="102" t="n"/>
      <c r="T563" s="102" t="n"/>
      <c r="U563" s="102" t="n"/>
      <c r="V563" s="102" t="n"/>
      <c r="W563" s="102" t="n"/>
      <c r="X563" s="102" t="n"/>
      <c r="Y563" s="102" t="n"/>
      <c r="Z563" s="102" t="n"/>
      <c r="AA563" s="102" t="n"/>
      <c r="AB563" s="102" t="n"/>
      <c r="AC563" s="102" t="n"/>
      <c r="AD563" s="102" t="n"/>
    </row>
    <row r="564" ht="15.75" customHeight="1" s="205">
      <c r="A564" s="102" t="n"/>
      <c r="B564" s="147" t="n"/>
      <c r="C564" s="144" t="n"/>
      <c r="D564" s="144" t="n"/>
      <c r="E564" s="144" t="n"/>
      <c r="F564" s="144" t="n"/>
      <c r="G564" s="144" t="n"/>
      <c r="H564" s="141">
        <f>IF(K564&lt;&gt;"", HYPERLINK("https://chatgpt.com/?prompt=" &amp; SUBSTITUTE(SUBSTITUTE(K564, " ", "+"), "&amp;", "dan") &amp; "&amp;force-refresh=true&amp;timestamp=" &amp; TEXT(NOW(), "yyyymmddhhmmss"), "👉 Klik untuk Generate Script! 🔥"), "")</f>
        <v/>
      </c>
      <c r="I564" s="144" t="n"/>
      <c r="J564" s="148" t="n"/>
      <c r="K564" s="140">
        <f>IF(AND(B564&lt;&gt;"", C564&lt;&gt;"", D564&lt;&gt;"", E564&lt;&gt;"", F564&lt;&gt;"", G564&lt;&gt;"", J564&lt;&gt;"", 'CONTENT PILLAR MAPPING'!C466&lt;&gt;"", 'CONTENT PILLAR MAPPING'!E466&lt;&gt;"", 'CONTENT PILLAR MAPPING'!F466&lt;&gt;"", 'CONTENT PILLAR MAPPING'!C469&lt;&gt;"", 'CONTENT PILLAR MAPPING'!C474&lt;&gt;"", 'CONTENT PILLAR MAPPING'!D474&lt;&gt;"", 'CONTENT PILLAR MAPPING'!E474&lt;&gt;"", 'CONTENT PILLAR MAPPING'!D482&lt;&gt;"", 'CONTENT PILLAR MAPPING'!D483&lt;&gt;""),
CONCATENATE(
"Sebagai seorang top konten kreator dengan niche utama '", 'CONTENT PILLAR MAPPING'!C466, "', spesifik kategori '", 'CONTENT PILLAR MAPPING'!E466, "', dan super spesifik '", 'CONTENT PILLAR MAPPING'!F466, "', yang dikenal sebagai '", 'CONTENT PILLAR MAPPING'!C469, "'.", CHAR(10),
"Saya memiliki Tone of Voice: '", 'CONTENT PILLAR MAPPING'!C474, "', Brand Archetype: '", 'CONTENT PILLAR MAPPING'!D474, "', dan Deskripsi Gaya Komunikasi: '", 'CONTENT PILLAR MAPPING'!E474, "'.", CHAR(10),
"Target audiens saya adalah: '", 'CONTENT PILLAR MAPPING'!D482, "', dengan segmentasi audiens: '", 'CONTENT PILLAR MAPPING'!D483, "'.", CHAR(10), CHAR(10),
"Mohon buatkan script konten yang **sangat powerful, menarik, inovatif, dan siap pakai** dengan judul ide '", B564, "'.", CHAR(10),
"Konten ini memiliki pilar '", C564, "', nilai tambah utama '", F564, "', dan akan menggunakan storytelling framework '", G564, "'.", CHAR(10),
"Gambaran singkat ide kontennya adalah: '", J564, "'.", CHAR(10),
"Konten ini akan diunggah di platform '", E564, "' dengan format '", D564,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MAPPING'!C469, "'.** Sesuaikan dengan gaya komunikasi saya, dengan fokus pada nilai tambah '", F564,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MAPPING'!D482, ", khusus ", 'CONTENT PILLAR MAPPING'!D483, ") dan membantu mereka menyelesaikan masalah atau mencapai tujuan mereka.", CHAR(10),
"✔ Membantuku membangun personal branding yang kuat dan sustainable, sesuai dengan Positioning saya sebagai '", 'CONTENT PILLAR MAPPING'!C469, "' dan Brand Archetype '", 'CONTENT PILLAR MAPPING'!D474, "'.", CHAR(10),
"✔ Kemas dalam bentuk tabel agar rapi, mudah di baca dan dipahami, dengan kolom 'Judul Konten', 'Pilar', 'Format', 'Draft Script', 'CTA', 'Saran Visual', dan 'Full Caption'. (Kosongkan kolom Link Prompt jika ada)."
),
"")</f>
        <v/>
      </c>
      <c r="L564" s="199" t="n"/>
      <c r="M564" s="199" t="n"/>
      <c r="N564" s="102" t="n"/>
      <c r="O564" s="102" t="n"/>
      <c r="P564" s="102" t="n"/>
      <c r="Q564" s="102" t="n"/>
      <c r="R564" s="102" t="n"/>
      <c r="S564" s="102" t="n"/>
      <c r="T564" s="102" t="n"/>
      <c r="U564" s="102" t="n"/>
      <c r="V564" s="102" t="n"/>
      <c r="W564" s="102" t="n"/>
      <c r="X564" s="102" t="n"/>
      <c r="Y564" s="102" t="n"/>
      <c r="Z564" s="102" t="n"/>
      <c r="AA564" s="102" t="n"/>
      <c r="AB564" s="102" t="n"/>
      <c r="AC564" s="102" t="n"/>
      <c r="AD564" s="102" t="n"/>
    </row>
    <row r="565" ht="15.75" customHeight="1" s="205">
      <c r="A565" s="102" t="n"/>
      <c r="B565" s="142" t="n"/>
      <c r="C565" s="143" t="n"/>
      <c r="D565" s="143" t="n"/>
      <c r="E565" s="143" t="n"/>
      <c r="F565" s="143" t="n"/>
      <c r="G565" s="144" t="n"/>
      <c r="H565" s="145">
        <f>IF(K565&lt;&gt;"", HYPERLINK("https://chatgpt.com/?prompt=" &amp; SUBSTITUTE(SUBSTITUTE(K565, " ", "+"), "&amp;", "dan") &amp; "&amp;force-refresh=true&amp;timestamp=" &amp; TEXT(NOW(), "yyyymmddhhmmss"), "👉 Klik untuk Generate Script! 🔥"), "")</f>
        <v/>
      </c>
      <c r="I565" s="143" t="n"/>
      <c r="J565" s="146" t="n"/>
      <c r="K565" s="130">
        <f>IF(AND(B565&lt;&gt;"", C565&lt;&gt;"", D565&lt;&gt;"", E565&lt;&gt;"", F565&lt;&gt;"", G565&lt;&gt;"", J565&lt;&gt;"", 'CONTENT PILLAR MAPPING'!C468&lt;&gt;"", 'CONTENT PILLAR MAPPING'!E468&lt;&gt;"", 'CONTENT PILLAR MAPPING'!F468&lt;&gt;"", 'CONTENT PILLAR MAPPING'!C471&lt;&gt;"", 'CONTENT PILLAR MAPPING'!C476&lt;&gt;"", 'CONTENT PILLAR MAPPING'!D476&lt;&gt;"", 'CONTENT PILLAR MAPPING'!E476&lt;&gt;"", 'CONTENT PILLAR MAPPING'!D484&lt;&gt;"", 'CONTENT PILLAR MAPPING'!D485&lt;&gt;""),
CONCATENATE(
"Sebagai seorang top konten kreator dengan niche utama '", 'CONTENT PILLAR MAPPING'!C468, "', spesifik kategori '", 'CONTENT PILLAR MAPPING'!E468, "', dan super spesifik '", 'CONTENT PILLAR MAPPING'!F468, "', yang dikenal sebagai '", 'CONTENT PILLAR MAPPING'!C471, "'.", CHAR(10),
"Saya memiliki Tone of Voice: '", 'CONTENT PILLAR MAPPING'!C476, "', Brand Archetype: '", 'CONTENT PILLAR MAPPING'!D476, "', dan Deskripsi Gaya Komunikasi: '", 'CONTENT PILLAR MAPPING'!E476, "'.", CHAR(10),
"Target audiens saya adalah: '", 'CONTENT PILLAR MAPPING'!D484, "', dengan segmentasi audiens: '", 'CONTENT PILLAR MAPPING'!D485, "'.", CHAR(10), CHAR(10),
"Mohon buatkan script konten yang **sangat powerful, menarik, inovatif, dan siap pakai** dengan judul ide '", B565, "'.", CHAR(10),
"Konten ini memiliki pilar '", C565, "', nilai tambah utama '", F565, "', dan akan menggunakan storytelling framework '", G565, "'.", CHAR(10),
"Gambaran singkat ide kontennya adalah: '", J565, "'.", CHAR(10),
"Konten ini akan diunggah di platform '", E565, "' dengan format '", D565,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MAPPING'!C471, "'.** Sesuaikan dengan gaya komunikasi saya, dengan fokus pada nilai tambah '", F565,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MAPPING'!D484, ", khusus ", 'CONTENT PILLAR MAPPING'!D485, ") dan membantu mereka menyelesaikan masalah atau mencapai tujuan mereka.", CHAR(10),
"✔ Membantuku membangun personal branding yang kuat dan sustainable, sesuai dengan Positioning saya sebagai '", 'CONTENT PILLAR MAPPING'!C471, "' dan Brand Archetype '", 'CONTENT PILLAR MAPPING'!D476, "'.", CHAR(10),
"✔ Kemas dalam bentuk tabel agar rapi, mudah di baca dan dipahami, dengan kolom 'Judul Konten', 'Pilar', 'Format', 'Draft Script', 'CTA', 'Saran Visual', dan 'Full Caption'. (Kosongkan kolom Link Prompt jika ada)."
),
"")</f>
        <v/>
      </c>
      <c r="L565" s="91" t="n"/>
      <c r="M565" s="91" t="n"/>
      <c r="N565" s="102" t="n"/>
      <c r="O565" s="102" t="n"/>
      <c r="P565" s="102" t="n"/>
      <c r="Q565" s="102" t="n"/>
      <c r="R565" s="102" t="n"/>
      <c r="S565" s="102" t="n"/>
      <c r="T565" s="102" t="n"/>
      <c r="U565" s="102" t="n"/>
      <c r="V565" s="102" t="n"/>
      <c r="W565" s="102" t="n"/>
      <c r="X565" s="102" t="n"/>
      <c r="Y565" s="102" t="n"/>
      <c r="Z565" s="102" t="n"/>
      <c r="AA565" s="102" t="n"/>
      <c r="AB565" s="102" t="n"/>
      <c r="AC565" s="102" t="n"/>
      <c r="AD565" s="102" t="n"/>
    </row>
    <row r="566" ht="15.75" customHeight="1" s="205">
      <c r="A566" s="102" t="n"/>
      <c r="B566" s="147" t="n"/>
      <c r="C566" s="144" t="n"/>
      <c r="D566" s="144" t="n"/>
      <c r="E566" s="144" t="n"/>
      <c r="F566" s="144" t="n"/>
      <c r="G566" s="144" t="n"/>
      <c r="H566" s="141">
        <f>IF(K566&lt;&gt;"", HYPERLINK("https://chatgpt.com/?prompt=" &amp; SUBSTITUTE(SUBSTITUTE(K566, " ", "+"), "&amp;", "dan") &amp; "&amp;force-refresh=true&amp;timestamp=" &amp; TEXT(NOW(), "yyyymmddhhmmss"), "👉 Klik untuk Generate Script! 🔥"), "")</f>
        <v/>
      </c>
      <c r="I566" s="144" t="n"/>
      <c r="J566" s="148" t="n"/>
      <c r="K566" s="140">
        <f>IF(AND(B566&lt;&gt;"", C566&lt;&gt;"", D566&lt;&gt;"", E566&lt;&gt;"", F566&lt;&gt;"", G566&lt;&gt;"", J566&lt;&gt;"", 'CONTENT PILLAR MAPPING'!C468&lt;&gt;"", 'CONTENT PILLAR MAPPING'!E468&lt;&gt;"", 'CONTENT PILLAR MAPPING'!F468&lt;&gt;"", 'CONTENT PILLAR MAPPING'!C471&lt;&gt;"", 'CONTENT PILLAR MAPPING'!C476&lt;&gt;"", 'CONTENT PILLAR MAPPING'!D476&lt;&gt;"", 'CONTENT PILLAR MAPPING'!E476&lt;&gt;"", 'CONTENT PILLAR MAPPING'!D484&lt;&gt;"", 'CONTENT PILLAR MAPPING'!D485&lt;&gt;""),
CONCATENATE(
"Sebagai seorang top konten kreator dengan niche utama '", 'CONTENT PILLAR MAPPING'!C468, "', spesifik kategori '", 'CONTENT PILLAR MAPPING'!E468, "', dan super spesifik '", 'CONTENT PILLAR MAPPING'!F468, "', yang dikenal sebagai '", 'CONTENT PILLAR MAPPING'!C471, "'.", CHAR(10),
"Saya memiliki Tone of Voice: '", 'CONTENT PILLAR MAPPING'!C476, "', Brand Archetype: '", 'CONTENT PILLAR MAPPING'!D476, "', dan Deskripsi Gaya Komunikasi: '", 'CONTENT PILLAR MAPPING'!E476, "'.", CHAR(10),
"Target audiens saya adalah: '", 'CONTENT PILLAR MAPPING'!D484, "', dengan segmentasi audiens: '", 'CONTENT PILLAR MAPPING'!D485, "'.", CHAR(10), CHAR(10),
"Mohon buatkan script konten yang **sangat powerful, menarik, inovatif, dan siap pakai** dengan judul ide '", B566, "'.", CHAR(10),
"Konten ini memiliki pilar '", C566, "', nilai tambah utama '", F566, "', dan akan menggunakan storytelling framework '", G566, "'.", CHAR(10),
"Gambaran singkat ide kontennya adalah: '", J566, "'.", CHAR(10),
"Konten ini akan diunggah di platform '", E566, "' dengan format '", D566,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MAPPING'!C471, "'.** Sesuaikan dengan gaya komunikasi saya, dengan fokus pada nilai tambah '", F566,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MAPPING'!D484, ", khusus ", 'CONTENT PILLAR MAPPING'!D485, ") dan membantu mereka menyelesaikan masalah atau mencapai tujuan mereka.", CHAR(10),
"✔ Membantuku membangun personal branding yang kuat dan sustainable, sesuai dengan Positioning saya sebagai '", 'CONTENT PILLAR MAPPING'!C471, "' dan Brand Archetype '", 'CONTENT PILLAR MAPPING'!D476, "'.", CHAR(10),
"✔ Kemas dalam bentuk tabel agar rapi, mudah di baca dan dipahami, dengan kolom 'Judul Konten', 'Pilar', 'Format', 'Draft Script', 'CTA', 'Saran Visual', dan 'Full Caption'. (Kosongkan kolom Link Prompt jika ada)."
),
"")</f>
        <v/>
      </c>
      <c r="L566" s="199" t="n"/>
      <c r="M566" s="199" t="n"/>
      <c r="N566" s="102" t="n"/>
      <c r="O566" s="102" t="n"/>
      <c r="P566" s="102" t="n"/>
      <c r="Q566" s="102" t="n"/>
      <c r="R566" s="102" t="n"/>
      <c r="S566" s="102" t="n"/>
      <c r="T566" s="102" t="n"/>
      <c r="U566" s="102" t="n"/>
      <c r="V566" s="102" t="n"/>
      <c r="W566" s="102" t="n"/>
      <c r="X566" s="102" t="n"/>
      <c r="Y566" s="102" t="n"/>
      <c r="Z566" s="102" t="n"/>
      <c r="AA566" s="102" t="n"/>
      <c r="AB566" s="102" t="n"/>
      <c r="AC566" s="102" t="n"/>
      <c r="AD566" s="102" t="n"/>
    </row>
    <row r="567" ht="15.75" customHeight="1" s="205">
      <c r="A567" s="102" t="n"/>
      <c r="B567" s="142" t="n"/>
      <c r="C567" s="143" t="n"/>
      <c r="D567" s="143" t="n"/>
      <c r="E567" s="143" t="n"/>
      <c r="F567" s="143" t="n"/>
      <c r="G567" s="144" t="n"/>
      <c r="H567" s="145">
        <f>IF(K567&lt;&gt;"", HYPERLINK("https://chatgpt.com/?prompt=" &amp; SUBSTITUTE(SUBSTITUTE(K567, " ", "+"), "&amp;", "dan") &amp; "&amp;force-refresh=true&amp;timestamp=" &amp; TEXT(NOW(), "yyyymmddhhmmss"), "👉 Klik untuk Generate Script! 🔥"), "")</f>
        <v/>
      </c>
      <c r="I567" s="143" t="n"/>
      <c r="J567" s="146" t="n"/>
      <c r="K567" s="130">
        <f>IF(AND(B567&lt;&gt;"", C567&lt;&gt;"", D567&lt;&gt;"", E567&lt;&gt;"", F567&lt;&gt;"", G567&lt;&gt;"", J567&lt;&gt;"", 'CONTENT PILLAR MAPPING'!C470&lt;&gt;"", 'CONTENT PILLAR MAPPING'!E470&lt;&gt;"", 'CONTENT PILLAR MAPPING'!F470&lt;&gt;"", 'CONTENT PILLAR MAPPING'!C473&lt;&gt;"", 'CONTENT PILLAR MAPPING'!C478&lt;&gt;"", 'CONTENT PILLAR MAPPING'!D478&lt;&gt;"", 'CONTENT PILLAR MAPPING'!E478&lt;&gt;"", 'CONTENT PILLAR MAPPING'!D486&lt;&gt;"", 'CONTENT PILLAR MAPPING'!D487&lt;&gt;""),
CONCATENATE(
"Sebagai seorang top konten kreator dengan niche utama '", 'CONTENT PILLAR MAPPING'!C470, "', spesifik kategori '", 'CONTENT PILLAR MAPPING'!E470, "', dan super spesifik '", 'CONTENT PILLAR MAPPING'!F470, "', yang dikenal sebagai '", 'CONTENT PILLAR MAPPING'!C473, "'.", CHAR(10),
"Saya memiliki Tone of Voice: '", 'CONTENT PILLAR MAPPING'!C478, "', Brand Archetype: '", 'CONTENT PILLAR MAPPING'!D478, "', dan Deskripsi Gaya Komunikasi: '", 'CONTENT PILLAR MAPPING'!E478, "'.", CHAR(10),
"Target audiens saya adalah: '", 'CONTENT PILLAR MAPPING'!D486, "', dengan segmentasi audiens: '", 'CONTENT PILLAR MAPPING'!D487, "'.", CHAR(10), CHAR(10),
"Mohon buatkan script konten yang **sangat powerful, menarik, inovatif, dan siap pakai** dengan judul ide '", B567, "'.", CHAR(10),
"Konten ini memiliki pilar '", C567, "', nilai tambah utama '", F567, "', dan akan menggunakan storytelling framework '", G567, "'.", CHAR(10),
"Gambaran singkat ide kontennya adalah: '", J567, "'.", CHAR(10),
"Konten ini akan diunggah di platform '", E567, "' dengan format '", D567,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MAPPING'!C473, "'.** Sesuaikan dengan gaya komunikasi saya, dengan fokus pada nilai tambah '", F567,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MAPPING'!D486, ", khusus ", 'CONTENT PILLAR MAPPING'!D487, ") dan membantu mereka menyelesaikan masalah atau mencapai tujuan mereka.", CHAR(10),
"✔ Membantuku membangun personal branding yang kuat dan sustainable, sesuai dengan Positioning saya sebagai '", 'CONTENT PILLAR MAPPING'!C473, "' dan Brand Archetype '", 'CONTENT PILLAR MAPPING'!D478, "'.", CHAR(10),
"✔ Kemas dalam bentuk tabel agar rapi, mudah di baca dan dipahami, dengan kolom 'Judul Konten', 'Pilar', 'Format', 'Draft Script', 'CTA', 'Saran Visual', dan 'Full Caption'. (Kosongkan kolom Link Prompt jika ada)."
),
"")</f>
        <v/>
      </c>
      <c r="L567" s="91" t="n"/>
      <c r="M567" s="91" t="n"/>
      <c r="N567" s="102" t="n"/>
      <c r="O567" s="102" t="n"/>
      <c r="P567" s="102" t="n"/>
      <c r="Q567" s="102" t="n"/>
      <c r="R567" s="102" t="n"/>
      <c r="S567" s="102" t="n"/>
      <c r="T567" s="102" t="n"/>
      <c r="U567" s="102" t="n"/>
      <c r="V567" s="102" t="n"/>
      <c r="W567" s="102" t="n"/>
      <c r="X567" s="102" t="n"/>
      <c r="Y567" s="102" t="n"/>
      <c r="Z567" s="102" t="n"/>
      <c r="AA567" s="102" t="n"/>
      <c r="AB567" s="102" t="n"/>
      <c r="AC567" s="102" t="n"/>
      <c r="AD567" s="102" t="n"/>
    </row>
    <row r="568" ht="15.75" customHeight="1" s="205">
      <c r="A568" s="102" t="n"/>
      <c r="B568" s="147" t="n"/>
      <c r="C568" s="144" t="n"/>
      <c r="D568" s="144" t="n"/>
      <c r="E568" s="144" t="n"/>
      <c r="F568" s="144" t="n"/>
      <c r="G568" s="144" t="n"/>
      <c r="H568" s="141">
        <f>IF(K568&lt;&gt;"", HYPERLINK("https://chatgpt.com/?prompt=" &amp; SUBSTITUTE(SUBSTITUTE(K568, " ", "+"), "&amp;", "dan") &amp; "&amp;force-refresh=true&amp;timestamp=" &amp; TEXT(NOW(), "yyyymmddhhmmss"), "👉 Klik untuk Generate Script! 🔥"), "")</f>
        <v/>
      </c>
      <c r="I568" s="144" t="n"/>
      <c r="J568" s="148" t="n"/>
      <c r="K568" s="140">
        <f>IF(AND(B568&lt;&gt;"", C568&lt;&gt;"", D568&lt;&gt;"", E568&lt;&gt;"", F568&lt;&gt;"", G568&lt;&gt;"", J568&lt;&gt;"", 'CONTENT PILLAR MAPPING'!C470&lt;&gt;"", 'CONTENT PILLAR MAPPING'!E470&lt;&gt;"", 'CONTENT PILLAR MAPPING'!F470&lt;&gt;"", 'CONTENT PILLAR MAPPING'!C473&lt;&gt;"", 'CONTENT PILLAR MAPPING'!C478&lt;&gt;"", 'CONTENT PILLAR MAPPING'!D478&lt;&gt;"", 'CONTENT PILLAR MAPPING'!E478&lt;&gt;"", 'CONTENT PILLAR MAPPING'!D486&lt;&gt;"", 'CONTENT PILLAR MAPPING'!D487&lt;&gt;""),
CONCATENATE(
"Sebagai seorang top konten kreator dengan niche utama '", 'CONTENT PILLAR MAPPING'!C470, "', spesifik kategori '", 'CONTENT PILLAR MAPPING'!E470, "', dan super spesifik '", 'CONTENT PILLAR MAPPING'!F470, "', yang dikenal sebagai '", 'CONTENT PILLAR MAPPING'!C473, "'.", CHAR(10),
"Saya memiliki Tone of Voice: '", 'CONTENT PILLAR MAPPING'!C478, "', Brand Archetype: '", 'CONTENT PILLAR MAPPING'!D478, "', dan Deskripsi Gaya Komunikasi: '", 'CONTENT PILLAR MAPPING'!E478, "'.", CHAR(10),
"Target audiens saya adalah: '", 'CONTENT PILLAR MAPPING'!D486, "', dengan segmentasi audiens: '", 'CONTENT PILLAR MAPPING'!D487, "'.", CHAR(10), CHAR(10),
"Mohon buatkan script konten yang **sangat powerful, menarik, inovatif, dan siap pakai** dengan judul ide '", B568, "'.", CHAR(10),
"Konten ini memiliki pilar '", C568, "', nilai tambah utama '", F568, "', dan akan menggunakan storytelling framework '", G568, "'.", CHAR(10),
"Gambaran singkat ide kontennya adalah: '", J568, "'.", CHAR(10),
"Konten ini akan diunggah di platform '", E568, "' dengan format '", D568,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MAPPING'!C473, "'.** Sesuaikan dengan gaya komunikasi saya, dengan fokus pada nilai tambah '", F568,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MAPPING'!D486, ", khusus ", 'CONTENT PILLAR MAPPING'!D487, ") dan membantu mereka menyelesaikan masalah atau mencapai tujuan mereka.", CHAR(10),
"✔ Membantuku membangun personal branding yang kuat dan sustainable, sesuai dengan Positioning saya sebagai '", 'CONTENT PILLAR MAPPING'!C473, "' dan Brand Archetype '", 'CONTENT PILLAR MAPPING'!D478, "'.", CHAR(10),
"✔ Kemas dalam bentuk tabel agar rapi, mudah di baca dan dipahami, dengan kolom 'Judul Konten', 'Pilar', 'Format', 'Draft Script', 'CTA', 'Saran Visual', dan 'Full Caption'. (Kosongkan kolom Link Prompt jika ada)."
),
"")</f>
        <v/>
      </c>
      <c r="L568" s="199" t="n"/>
      <c r="M568" s="199" t="n"/>
      <c r="N568" s="102" t="n"/>
      <c r="O568" s="102" t="n"/>
      <c r="P568" s="102" t="n"/>
      <c r="Q568" s="102" t="n"/>
      <c r="R568" s="102" t="n"/>
      <c r="S568" s="102" t="n"/>
      <c r="T568" s="102" t="n"/>
      <c r="U568" s="102" t="n"/>
      <c r="V568" s="102" t="n"/>
      <c r="W568" s="102" t="n"/>
      <c r="X568" s="102" t="n"/>
      <c r="Y568" s="102" t="n"/>
      <c r="Z568" s="102" t="n"/>
      <c r="AA568" s="102" t="n"/>
      <c r="AB568" s="102" t="n"/>
      <c r="AC568" s="102" t="n"/>
      <c r="AD568" s="102" t="n"/>
    </row>
    <row r="569" ht="15.75" customHeight="1" s="205">
      <c r="A569" s="102" t="n"/>
      <c r="B569" s="142" t="n"/>
      <c r="C569" s="143" t="n"/>
      <c r="D569" s="143" t="n"/>
      <c r="E569" s="143" t="n"/>
      <c r="F569" s="143" t="n"/>
      <c r="G569" s="144" t="n"/>
      <c r="H569" s="145">
        <f>IF(K569&lt;&gt;"", HYPERLINK("https://chatgpt.com/?prompt=" &amp; SUBSTITUTE(SUBSTITUTE(K569, " ", "+"), "&amp;", "dan") &amp; "&amp;force-refresh=true&amp;timestamp=" &amp; TEXT(NOW(), "yyyymmddhhmmss"), "👉 Klik untuk Generate Script! 🔥"), "")</f>
        <v/>
      </c>
      <c r="I569" s="143" t="n"/>
      <c r="J569" s="146" t="n"/>
      <c r="K569" s="130">
        <f>IF(AND(B569&lt;&gt;"", C569&lt;&gt;"", D569&lt;&gt;"", E569&lt;&gt;"", F569&lt;&gt;"", G569&lt;&gt;"", J569&lt;&gt;"", 'CONTENT PILLAR MAPPING'!C472&lt;&gt;"", 'CONTENT PILLAR MAPPING'!E472&lt;&gt;"", 'CONTENT PILLAR MAPPING'!F472&lt;&gt;"", 'CONTENT PILLAR MAPPING'!C475&lt;&gt;"", 'CONTENT PILLAR MAPPING'!C480&lt;&gt;"", 'CONTENT PILLAR MAPPING'!D480&lt;&gt;"", 'CONTENT PILLAR MAPPING'!E480&lt;&gt;"", 'CONTENT PILLAR MAPPING'!D488&lt;&gt;"", 'CONTENT PILLAR MAPPING'!D489&lt;&gt;""),
CONCATENATE(
"Sebagai seorang top konten kreator dengan niche utama '", 'CONTENT PILLAR MAPPING'!C472, "', spesifik kategori '", 'CONTENT PILLAR MAPPING'!E472, "', dan super spesifik '", 'CONTENT PILLAR MAPPING'!F472, "', yang dikenal sebagai '", 'CONTENT PILLAR MAPPING'!C475, "'.", CHAR(10),
"Saya memiliki Tone of Voice: '", 'CONTENT PILLAR MAPPING'!C480, "', Brand Archetype: '", 'CONTENT PILLAR MAPPING'!D480, "', dan Deskripsi Gaya Komunikasi: '", 'CONTENT PILLAR MAPPING'!E480, "'.", CHAR(10),
"Target audiens saya adalah: '", 'CONTENT PILLAR MAPPING'!D488, "', dengan segmentasi audiens: '", 'CONTENT PILLAR MAPPING'!D489, "'.", CHAR(10), CHAR(10),
"Mohon buatkan script konten yang **sangat powerful, menarik, inovatif, dan siap pakai** dengan judul ide '", B569, "'.", CHAR(10),
"Konten ini memiliki pilar '", C569, "', nilai tambah utama '", F569, "', dan akan menggunakan storytelling framework '", G569, "'.", CHAR(10),
"Gambaran singkat ide kontennya adalah: '", J569, "'.", CHAR(10),
"Konten ini akan diunggah di platform '", E569, "' dengan format '", D569,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MAPPING'!C475, "'.** Sesuaikan dengan gaya komunikasi saya, dengan fokus pada nilai tambah '", F569,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MAPPING'!D488, ", khusus ", 'CONTENT PILLAR MAPPING'!D489, ") dan membantu mereka menyelesaikan masalah atau mencapai tujuan mereka.", CHAR(10),
"✔ Membantuku membangun personal branding yang kuat dan sustainable, sesuai dengan Positioning saya sebagai '", 'CONTENT PILLAR MAPPING'!C475, "' dan Brand Archetype '", 'CONTENT PILLAR MAPPING'!D480, "'.", CHAR(10),
"✔ Kemas dalam bentuk tabel agar rapi, mudah di baca dan dipahami, dengan kolom 'Judul Konten', 'Pilar', 'Format', 'Draft Script', 'CTA', 'Saran Visual', dan 'Full Caption'. (Kosongkan kolom Link Prompt jika ada)."
),
"")</f>
        <v/>
      </c>
      <c r="L569" s="91" t="n"/>
      <c r="M569" s="91" t="n"/>
      <c r="N569" s="102" t="n"/>
      <c r="O569" s="102" t="n"/>
      <c r="P569" s="102" t="n"/>
      <c r="Q569" s="102" t="n"/>
      <c r="R569" s="102" t="n"/>
      <c r="S569" s="102" t="n"/>
      <c r="T569" s="102" t="n"/>
      <c r="U569" s="102" t="n"/>
      <c r="V569" s="102" t="n"/>
      <c r="W569" s="102" t="n"/>
      <c r="X569" s="102" t="n"/>
      <c r="Y569" s="102" t="n"/>
      <c r="Z569" s="102" t="n"/>
      <c r="AA569" s="102" t="n"/>
      <c r="AB569" s="102" t="n"/>
      <c r="AC569" s="102" t="n"/>
      <c r="AD569" s="102" t="n"/>
    </row>
    <row r="570" ht="15.75" customHeight="1" s="205">
      <c r="A570" s="102" t="n"/>
      <c r="B570" s="147" t="n"/>
      <c r="C570" s="144" t="n"/>
      <c r="D570" s="144" t="n"/>
      <c r="E570" s="144" t="n"/>
      <c r="F570" s="144" t="n"/>
      <c r="G570" s="144" t="n"/>
      <c r="H570" s="141">
        <f>IF(K570&lt;&gt;"", HYPERLINK("https://chatgpt.com/?prompt=" &amp; SUBSTITUTE(SUBSTITUTE(K570, " ", "+"), "&amp;", "dan") &amp; "&amp;force-refresh=true&amp;timestamp=" &amp; TEXT(NOW(), "yyyymmddhhmmss"), "👉 Klik untuk Generate Script! 🔥"), "")</f>
        <v/>
      </c>
      <c r="I570" s="144" t="n"/>
      <c r="J570" s="148" t="n"/>
      <c r="K570" s="140">
        <f>IF(AND(B570&lt;&gt;"", C570&lt;&gt;"", D570&lt;&gt;"", E570&lt;&gt;"", F570&lt;&gt;"", G570&lt;&gt;"", J570&lt;&gt;"", 'CONTENT PILLAR MAPPING'!C472&lt;&gt;"", 'CONTENT PILLAR MAPPING'!E472&lt;&gt;"", 'CONTENT PILLAR MAPPING'!F472&lt;&gt;"", 'CONTENT PILLAR MAPPING'!C475&lt;&gt;"", 'CONTENT PILLAR MAPPING'!C480&lt;&gt;"", 'CONTENT PILLAR MAPPING'!D480&lt;&gt;"", 'CONTENT PILLAR MAPPING'!E480&lt;&gt;"", 'CONTENT PILLAR MAPPING'!D488&lt;&gt;"", 'CONTENT PILLAR MAPPING'!D489&lt;&gt;""),
CONCATENATE(
"Sebagai seorang top konten kreator dengan niche utama '", 'CONTENT PILLAR MAPPING'!C472, "', spesifik kategori '", 'CONTENT PILLAR MAPPING'!E472, "', dan super spesifik '", 'CONTENT PILLAR MAPPING'!F472, "', yang dikenal sebagai '", 'CONTENT PILLAR MAPPING'!C475, "'.", CHAR(10),
"Saya memiliki Tone of Voice: '", 'CONTENT PILLAR MAPPING'!C480, "', Brand Archetype: '", 'CONTENT PILLAR MAPPING'!D480, "', dan Deskripsi Gaya Komunikasi: '", 'CONTENT PILLAR MAPPING'!E480, "'.", CHAR(10),
"Target audiens saya adalah: '", 'CONTENT PILLAR MAPPING'!D488, "', dengan segmentasi audiens: '", 'CONTENT PILLAR MAPPING'!D489, "'.", CHAR(10), CHAR(10),
"Mohon buatkan script konten yang **sangat powerful, menarik, inovatif, dan siap pakai** dengan judul ide '", B570, "'.", CHAR(10),
"Konten ini memiliki pilar '", C570, "', nilai tambah utama '", F570, "', dan akan menggunakan storytelling framework '", G570, "'.", CHAR(10),
"Gambaran singkat ide kontennya adalah: '", J570, "'.", CHAR(10),
"Konten ini akan diunggah di platform '", E570, "' dengan format '", D570,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MAPPING'!C475, "'.** Sesuaikan dengan gaya komunikasi saya, dengan fokus pada nilai tambah '", F570,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MAPPING'!D488, ", khusus ", 'CONTENT PILLAR MAPPING'!D489, ") dan membantu mereka menyelesaikan masalah atau mencapai tujuan mereka.", CHAR(10),
"✔ Membantuku membangun personal branding yang kuat dan sustainable, sesuai dengan Positioning saya sebagai '", 'CONTENT PILLAR MAPPING'!C475, "' dan Brand Archetype '", 'CONTENT PILLAR MAPPING'!D480, "'.", CHAR(10),
"✔ Kemas dalam bentuk tabel agar rapi, mudah di baca dan dipahami, dengan kolom 'Judul Konten', 'Pilar', 'Format', 'Draft Script', 'CTA', 'Saran Visual', dan 'Full Caption'. (Kosongkan kolom Link Prompt jika ada)."
),
"")</f>
        <v/>
      </c>
      <c r="L570" s="199" t="n"/>
      <c r="M570" s="199" t="n"/>
      <c r="N570" s="102" t="n"/>
      <c r="O570" s="102" t="n"/>
      <c r="P570" s="102" t="n"/>
      <c r="Q570" s="102" t="n"/>
      <c r="R570" s="102" t="n"/>
      <c r="S570" s="102" t="n"/>
      <c r="T570" s="102" t="n"/>
      <c r="U570" s="102" t="n"/>
      <c r="V570" s="102" t="n"/>
      <c r="W570" s="102" t="n"/>
      <c r="X570" s="102" t="n"/>
      <c r="Y570" s="102" t="n"/>
      <c r="Z570" s="102" t="n"/>
      <c r="AA570" s="102" t="n"/>
      <c r="AB570" s="102" t="n"/>
      <c r="AC570" s="102" t="n"/>
      <c r="AD570" s="102" t="n"/>
    </row>
    <row r="571" ht="15.75" customHeight="1" s="205">
      <c r="A571" s="102" t="n"/>
      <c r="B571" s="142" t="n"/>
      <c r="C571" s="143" t="n"/>
      <c r="D571" s="143" t="n"/>
      <c r="E571" s="143" t="n"/>
      <c r="F571" s="143" t="n"/>
      <c r="G571" s="144" t="n"/>
      <c r="H571" s="145">
        <f>IF(K571&lt;&gt;"", HYPERLINK("https://chatgpt.com/?prompt=" &amp; SUBSTITUTE(SUBSTITUTE(K571, " ", "+"), "&amp;", "dan") &amp; "&amp;force-refresh=true&amp;timestamp=" &amp; TEXT(NOW(), "yyyymmddhhmmss"), "👉 Klik untuk Generate Script! 🔥"), "")</f>
        <v/>
      </c>
      <c r="I571" s="143" t="n"/>
      <c r="J571" s="146" t="n"/>
      <c r="K571" s="130">
        <f>IF(AND(B571&lt;&gt;"", C571&lt;&gt;"", D571&lt;&gt;"", E571&lt;&gt;"", F571&lt;&gt;"", G571&lt;&gt;"", J571&lt;&gt;"", 'CONTENT PILLAR MAPPING'!C474&lt;&gt;"", 'CONTENT PILLAR MAPPING'!E474&lt;&gt;"", 'CONTENT PILLAR MAPPING'!F474&lt;&gt;"", 'CONTENT PILLAR MAPPING'!C477&lt;&gt;"", 'CONTENT PILLAR MAPPING'!C482&lt;&gt;"", 'CONTENT PILLAR MAPPING'!D482&lt;&gt;"", 'CONTENT PILLAR MAPPING'!E482&lt;&gt;"", 'CONTENT PILLAR MAPPING'!D490&lt;&gt;"", 'CONTENT PILLAR MAPPING'!D491&lt;&gt;""),
CONCATENATE(
"Sebagai seorang top konten kreator dengan niche utama '", 'CONTENT PILLAR MAPPING'!C474, "', spesifik kategori '", 'CONTENT PILLAR MAPPING'!E474, "', dan super spesifik '", 'CONTENT PILLAR MAPPING'!F474, "', yang dikenal sebagai '", 'CONTENT PILLAR MAPPING'!C477, "'.", CHAR(10),
"Saya memiliki Tone of Voice: '", 'CONTENT PILLAR MAPPING'!C482, "', Brand Archetype: '", 'CONTENT PILLAR MAPPING'!D482, "', dan Deskripsi Gaya Komunikasi: '", 'CONTENT PILLAR MAPPING'!E482, "'.", CHAR(10),
"Target audiens saya adalah: '", 'CONTENT PILLAR MAPPING'!D490, "', dengan segmentasi audiens: '", 'CONTENT PILLAR MAPPING'!D491, "'.", CHAR(10), CHAR(10),
"Mohon buatkan script konten yang **sangat powerful, menarik, inovatif, dan siap pakai** dengan judul ide '", B571, "'.", CHAR(10),
"Konten ini memiliki pilar '", C571, "', nilai tambah utama '", F571, "', dan akan menggunakan storytelling framework '", G571, "'.", CHAR(10),
"Gambaran singkat ide kontennya adalah: '", J571, "'.", CHAR(10),
"Konten ini akan diunggah di platform '", E571, "' dengan format '", D571,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MAPPING'!C477, "'.** Sesuaikan dengan gaya komunikasi saya, dengan fokus pada nilai tambah '", F571,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MAPPING'!D490, ", khusus ", 'CONTENT PILLAR MAPPING'!D491, ") dan membantu mereka menyelesaikan masalah atau mencapai tujuan mereka.", CHAR(10),
"✔ Membantuku membangun personal branding yang kuat dan sustainable, sesuai dengan Positioning saya sebagai '", 'CONTENT PILLAR MAPPING'!C477, "' dan Brand Archetype '", 'CONTENT PILLAR MAPPING'!D482, "'.", CHAR(10),
"✔ Kemas dalam bentuk tabel agar rapi, mudah di baca dan dipahami, dengan kolom 'Judul Konten', 'Pilar', 'Format', 'Draft Script', 'CTA', 'Saran Visual', dan 'Full Caption'. (Kosongkan kolom Link Prompt jika ada)."
),
"")</f>
        <v/>
      </c>
      <c r="L571" s="91" t="n"/>
      <c r="M571" s="91" t="n"/>
      <c r="N571" s="102" t="n"/>
      <c r="O571" s="102" t="n"/>
      <c r="P571" s="102" t="n"/>
      <c r="Q571" s="102" t="n"/>
      <c r="R571" s="102" t="n"/>
      <c r="S571" s="102" t="n"/>
      <c r="T571" s="102" t="n"/>
      <c r="U571" s="102" t="n"/>
      <c r="V571" s="102" t="n"/>
      <c r="W571" s="102" t="n"/>
      <c r="X571" s="102" t="n"/>
      <c r="Y571" s="102" t="n"/>
      <c r="Z571" s="102" t="n"/>
      <c r="AA571" s="102" t="n"/>
      <c r="AB571" s="102" t="n"/>
      <c r="AC571" s="102" t="n"/>
      <c r="AD571" s="102" t="n"/>
    </row>
    <row r="572" ht="15.75" customHeight="1" s="205">
      <c r="A572" s="102" t="n"/>
      <c r="B572" s="147" t="n"/>
      <c r="C572" s="144" t="n"/>
      <c r="D572" s="144" t="n"/>
      <c r="E572" s="144" t="n"/>
      <c r="F572" s="144" t="n"/>
      <c r="G572" s="144" t="n"/>
      <c r="H572" s="141">
        <f>IF(K572&lt;&gt;"", HYPERLINK("https://chatgpt.com/?prompt=" &amp; SUBSTITUTE(SUBSTITUTE(K572, " ", "+"), "&amp;", "dan") &amp; "&amp;force-refresh=true&amp;timestamp=" &amp; TEXT(NOW(), "yyyymmddhhmmss"), "👉 Klik untuk Generate Script! 🔥"), "")</f>
        <v/>
      </c>
      <c r="I572" s="144" t="n"/>
      <c r="J572" s="148" t="n"/>
      <c r="K572" s="140">
        <f>IF(AND(B572&lt;&gt;"", C572&lt;&gt;"", D572&lt;&gt;"", E572&lt;&gt;"", F572&lt;&gt;"", G572&lt;&gt;"", J572&lt;&gt;"", 'CONTENT PILLAR MAPPING'!C474&lt;&gt;"", 'CONTENT PILLAR MAPPING'!E474&lt;&gt;"", 'CONTENT PILLAR MAPPING'!F474&lt;&gt;"", 'CONTENT PILLAR MAPPING'!C477&lt;&gt;"", 'CONTENT PILLAR MAPPING'!C482&lt;&gt;"", 'CONTENT PILLAR MAPPING'!D482&lt;&gt;"", 'CONTENT PILLAR MAPPING'!E482&lt;&gt;"", 'CONTENT PILLAR MAPPING'!D490&lt;&gt;"", 'CONTENT PILLAR MAPPING'!D491&lt;&gt;""),
CONCATENATE(
"Sebagai seorang top konten kreator dengan niche utama '", 'CONTENT PILLAR MAPPING'!C474, "', spesifik kategori '", 'CONTENT PILLAR MAPPING'!E474, "', dan super spesifik '", 'CONTENT PILLAR MAPPING'!F474, "', yang dikenal sebagai '", 'CONTENT PILLAR MAPPING'!C477, "'.", CHAR(10),
"Saya memiliki Tone of Voice: '", 'CONTENT PILLAR MAPPING'!C482, "', Brand Archetype: '", 'CONTENT PILLAR MAPPING'!D482, "', dan Deskripsi Gaya Komunikasi: '", 'CONTENT PILLAR MAPPING'!E482, "'.", CHAR(10),
"Target audiens saya adalah: '", 'CONTENT PILLAR MAPPING'!D490, "', dengan segmentasi audiens: '", 'CONTENT PILLAR MAPPING'!D491, "'.", CHAR(10), CHAR(10),
"Mohon buatkan script konten yang **sangat powerful, menarik, inovatif, dan siap pakai** dengan judul ide '", B572, "'.", CHAR(10),
"Konten ini memiliki pilar '", C572, "', nilai tambah utama '", F572, "', dan akan menggunakan storytelling framework '", G572, "'.", CHAR(10),
"Gambaran singkat ide kontennya adalah: '", J572, "'.", CHAR(10),
"Konten ini akan diunggah di platform '", E572, "' dengan format '", D572,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MAPPING'!C477, "'.** Sesuaikan dengan gaya komunikasi saya, dengan fokus pada nilai tambah '", F572,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MAPPING'!D490, ", khusus ", 'CONTENT PILLAR MAPPING'!D491, ") dan membantu mereka menyelesaikan masalah atau mencapai tujuan mereka.", CHAR(10),
"✔ Membantuku membangun personal branding yang kuat dan sustainable, sesuai dengan Positioning saya sebagai '", 'CONTENT PILLAR MAPPING'!C477, "' dan Brand Archetype '", 'CONTENT PILLAR MAPPING'!D482, "'.", CHAR(10),
"✔ Kemas dalam bentuk tabel agar rapi, mudah di baca dan dipahami, dengan kolom 'Judul Konten', 'Pilar', 'Format', 'Draft Script', 'CTA', 'Saran Visual', dan 'Full Caption'. (Kosongkan kolom Link Prompt jika ada)."
),
"")</f>
        <v/>
      </c>
      <c r="L572" s="199" t="n"/>
      <c r="M572" s="199" t="n"/>
      <c r="N572" s="102" t="n"/>
      <c r="O572" s="102" t="n"/>
      <c r="P572" s="102" t="n"/>
      <c r="Q572" s="102" t="n"/>
      <c r="R572" s="102" t="n"/>
      <c r="S572" s="102" t="n"/>
      <c r="T572" s="102" t="n"/>
      <c r="U572" s="102" t="n"/>
      <c r="V572" s="102" t="n"/>
      <c r="W572" s="102" t="n"/>
      <c r="X572" s="102" t="n"/>
      <c r="Y572" s="102" t="n"/>
      <c r="Z572" s="102" t="n"/>
      <c r="AA572" s="102" t="n"/>
      <c r="AB572" s="102" t="n"/>
      <c r="AC572" s="102" t="n"/>
      <c r="AD572" s="102" t="n"/>
    </row>
    <row r="573" ht="15.75" customHeight="1" s="205">
      <c r="A573" s="102" t="n"/>
      <c r="B573" s="142" t="n"/>
      <c r="C573" s="143" t="n"/>
      <c r="D573" s="143" t="n"/>
      <c r="E573" s="143" t="n"/>
      <c r="F573" s="143" t="n"/>
      <c r="G573" s="144" t="n"/>
      <c r="H573" s="145">
        <f>IF(K573&lt;&gt;"", HYPERLINK("https://chatgpt.com/?prompt=" &amp; SUBSTITUTE(SUBSTITUTE(K573, " ", "+"), "&amp;", "dan") &amp; "&amp;force-refresh=true&amp;timestamp=" &amp; TEXT(NOW(), "yyyymmddhhmmss"), "👉 Klik untuk Generate Script! 🔥"), "")</f>
        <v/>
      </c>
      <c r="I573" s="143" t="n"/>
      <c r="J573" s="146" t="n"/>
      <c r="K573" s="130">
        <f>IF(AND(B573&lt;&gt;"", C573&lt;&gt;"", D573&lt;&gt;"", E573&lt;&gt;"", F573&lt;&gt;"", G573&lt;&gt;"", J573&lt;&gt;"", 'CONTENT PILLAR MAPPING'!C476&lt;&gt;"", 'CONTENT PILLAR MAPPING'!E476&lt;&gt;"", 'CONTENT PILLAR MAPPING'!F476&lt;&gt;"", 'CONTENT PILLAR MAPPING'!C479&lt;&gt;"", 'CONTENT PILLAR MAPPING'!C484&lt;&gt;"", 'CONTENT PILLAR MAPPING'!D484&lt;&gt;"", 'CONTENT PILLAR MAPPING'!E484&lt;&gt;"", 'CONTENT PILLAR MAPPING'!D492&lt;&gt;"", 'CONTENT PILLAR MAPPING'!D493&lt;&gt;""),
CONCATENATE(
"Sebagai seorang top konten kreator dengan niche utama '", 'CONTENT PILLAR MAPPING'!C476, "', spesifik kategori '", 'CONTENT PILLAR MAPPING'!E476, "', dan super spesifik '", 'CONTENT PILLAR MAPPING'!F476, "', yang dikenal sebagai '", 'CONTENT PILLAR MAPPING'!C479, "'.", CHAR(10),
"Saya memiliki Tone of Voice: '", 'CONTENT PILLAR MAPPING'!C484, "', Brand Archetype: '", 'CONTENT PILLAR MAPPING'!D484, "', dan Deskripsi Gaya Komunikasi: '", 'CONTENT PILLAR MAPPING'!E484, "'.", CHAR(10),
"Target audiens saya adalah: '", 'CONTENT PILLAR MAPPING'!D492, "', dengan segmentasi audiens: '", 'CONTENT PILLAR MAPPING'!D493, "'.", CHAR(10), CHAR(10),
"Mohon buatkan script konten yang **sangat powerful, menarik, inovatif, dan siap pakai** dengan judul ide '", B573, "'.", CHAR(10),
"Konten ini memiliki pilar '", C573, "', nilai tambah utama '", F573, "', dan akan menggunakan storytelling framework '", G573, "'.", CHAR(10),
"Gambaran singkat ide kontennya adalah: '", J573, "'.", CHAR(10),
"Konten ini akan diunggah di platform '", E573, "' dengan format '", D573,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MAPPING'!C479, "'.** Sesuaikan dengan gaya komunikasi saya, dengan fokus pada nilai tambah '", F573,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MAPPING'!D492, ", khusus ", 'CONTENT PILLAR MAPPING'!D493, ") dan membantu mereka menyelesaikan masalah atau mencapai tujuan mereka.", CHAR(10),
"✔ Membantuku membangun personal branding yang kuat dan sustainable, sesuai dengan Positioning saya sebagai '", 'CONTENT PILLAR MAPPING'!C479, "' dan Brand Archetype '", 'CONTENT PILLAR MAPPING'!D484, "'.", CHAR(10),
"✔ Kemas dalam bentuk tabel agar rapi, mudah di baca dan dipahami, dengan kolom 'Judul Konten', 'Pilar', 'Format', 'Draft Script', 'CTA', 'Saran Visual', dan 'Full Caption'. (Kosongkan kolom Link Prompt jika ada)."
),
"")</f>
        <v/>
      </c>
      <c r="L573" s="91" t="n"/>
      <c r="M573" s="91" t="n"/>
      <c r="N573" s="102" t="n"/>
      <c r="O573" s="102" t="n"/>
      <c r="P573" s="102" t="n"/>
      <c r="Q573" s="102" t="n"/>
      <c r="R573" s="102" t="n"/>
      <c r="S573" s="102" t="n"/>
      <c r="T573" s="102" t="n"/>
      <c r="U573" s="102" t="n"/>
      <c r="V573" s="102" t="n"/>
      <c r="W573" s="102" t="n"/>
      <c r="X573" s="102" t="n"/>
      <c r="Y573" s="102" t="n"/>
      <c r="Z573" s="102" t="n"/>
      <c r="AA573" s="102" t="n"/>
      <c r="AB573" s="102" t="n"/>
      <c r="AC573" s="102" t="n"/>
      <c r="AD573" s="102" t="n"/>
    </row>
    <row r="574" ht="15.75" customHeight="1" s="205">
      <c r="A574" s="102" t="n"/>
      <c r="B574" s="147" t="n"/>
      <c r="C574" s="144" t="n"/>
      <c r="D574" s="144" t="n"/>
      <c r="E574" s="144" t="n"/>
      <c r="F574" s="144" t="n"/>
      <c r="G574" s="144" t="n"/>
      <c r="H574" s="141">
        <f>IF(K574&lt;&gt;"", HYPERLINK("https://chatgpt.com/?prompt=" &amp; SUBSTITUTE(SUBSTITUTE(K574, " ", "+"), "&amp;", "dan") &amp; "&amp;force-refresh=true&amp;timestamp=" &amp; TEXT(NOW(), "yyyymmddhhmmss"), "👉 Klik untuk Generate Script! 🔥"), "")</f>
        <v/>
      </c>
      <c r="I574" s="144" t="n"/>
      <c r="J574" s="148" t="n"/>
      <c r="K574" s="140">
        <f>IF(AND(B574&lt;&gt;"", C574&lt;&gt;"", D574&lt;&gt;"", E574&lt;&gt;"", F574&lt;&gt;"", G574&lt;&gt;"", J574&lt;&gt;"", 'CONTENT PILLAR MAPPING'!C476&lt;&gt;"", 'CONTENT PILLAR MAPPING'!E476&lt;&gt;"", 'CONTENT PILLAR MAPPING'!F476&lt;&gt;"", 'CONTENT PILLAR MAPPING'!C479&lt;&gt;"", 'CONTENT PILLAR MAPPING'!C484&lt;&gt;"", 'CONTENT PILLAR MAPPING'!D484&lt;&gt;"", 'CONTENT PILLAR MAPPING'!E484&lt;&gt;"", 'CONTENT PILLAR MAPPING'!D492&lt;&gt;"", 'CONTENT PILLAR MAPPING'!D493&lt;&gt;""),
CONCATENATE(
"Sebagai seorang top konten kreator dengan niche utama '", 'CONTENT PILLAR MAPPING'!C476, "', spesifik kategori '", 'CONTENT PILLAR MAPPING'!E476, "', dan super spesifik '", 'CONTENT PILLAR MAPPING'!F476, "', yang dikenal sebagai '", 'CONTENT PILLAR MAPPING'!C479, "'.", CHAR(10),
"Saya memiliki Tone of Voice: '", 'CONTENT PILLAR MAPPING'!C484, "', Brand Archetype: '", 'CONTENT PILLAR MAPPING'!D484, "', dan Deskripsi Gaya Komunikasi: '", 'CONTENT PILLAR MAPPING'!E484, "'.", CHAR(10),
"Target audiens saya adalah: '", 'CONTENT PILLAR MAPPING'!D492, "', dengan segmentasi audiens: '", 'CONTENT PILLAR MAPPING'!D493, "'.", CHAR(10), CHAR(10),
"Mohon buatkan script konten yang **sangat powerful, menarik, inovatif, dan siap pakai** dengan judul ide '", B574, "'.", CHAR(10),
"Konten ini memiliki pilar '", C574, "', nilai tambah utama '", F574, "', dan akan menggunakan storytelling framework '", G574, "'.", CHAR(10),
"Gambaran singkat ide kontennya adalah: '", J574, "'.", CHAR(10),
"Konten ini akan diunggah di platform '", E574, "' dengan format '", D574,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MAPPING'!C479, "'.** Sesuaikan dengan gaya komunikasi saya, dengan fokus pada nilai tambah '", F574,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MAPPING'!D492, ", khusus ", 'CONTENT PILLAR MAPPING'!D493, ") dan membantu mereka menyelesaikan masalah atau mencapai tujuan mereka.", CHAR(10),
"✔ Membantuku membangun personal branding yang kuat dan sustainable, sesuai dengan Positioning saya sebagai '", 'CONTENT PILLAR MAPPING'!C479, "' dan Brand Archetype '", 'CONTENT PILLAR MAPPING'!D484, "'.", CHAR(10),
"✔ Kemas dalam bentuk tabel agar rapi, mudah di baca dan dipahami, dengan kolom 'Judul Konten', 'Pilar', 'Format', 'Draft Script', 'CTA', 'Saran Visual', dan 'Full Caption'. (Kosongkan kolom Link Prompt jika ada)."
),
"")</f>
        <v/>
      </c>
      <c r="L574" s="199" t="n"/>
      <c r="M574" s="199" t="n"/>
      <c r="N574" s="102" t="n"/>
      <c r="O574" s="102" t="n"/>
      <c r="P574" s="102" t="n"/>
      <c r="Q574" s="102" t="n"/>
      <c r="R574" s="102" t="n"/>
      <c r="S574" s="102" t="n"/>
      <c r="T574" s="102" t="n"/>
      <c r="U574" s="102" t="n"/>
      <c r="V574" s="102" t="n"/>
      <c r="W574" s="102" t="n"/>
      <c r="X574" s="102" t="n"/>
      <c r="Y574" s="102" t="n"/>
      <c r="Z574" s="102" t="n"/>
      <c r="AA574" s="102" t="n"/>
      <c r="AB574" s="102" t="n"/>
      <c r="AC574" s="102" t="n"/>
      <c r="AD574" s="102" t="n"/>
    </row>
    <row r="575" ht="15.75" customHeight="1" s="205">
      <c r="A575" s="102" t="n"/>
      <c r="B575" s="142" t="n"/>
      <c r="C575" s="143" t="n"/>
      <c r="D575" s="143" t="n"/>
      <c r="E575" s="143" t="n"/>
      <c r="F575" s="143" t="n"/>
      <c r="G575" s="144" t="n"/>
      <c r="H575" s="145">
        <f>IF(K575&lt;&gt;"", HYPERLINK("https://chatgpt.com/?prompt=" &amp; SUBSTITUTE(SUBSTITUTE(K575, " ", "+"), "&amp;", "dan") &amp; "&amp;force-refresh=true&amp;timestamp=" &amp; TEXT(NOW(), "yyyymmddhhmmss"), "👉 Klik untuk Generate Script! 🔥"), "")</f>
        <v/>
      </c>
      <c r="I575" s="143" t="n"/>
      <c r="J575" s="146" t="n"/>
      <c r="K575" s="130">
        <f>IF(AND(B575&lt;&gt;"", C575&lt;&gt;"", D575&lt;&gt;"", E575&lt;&gt;"", F575&lt;&gt;"", G575&lt;&gt;"", J575&lt;&gt;"", 'CONTENT PILLAR MAPPING'!C478&lt;&gt;"", 'CONTENT PILLAR MAPPING'!E478&lt;&gt;"", 'CONTENT PILLAR MAPPING'!F478&lt;&gt;"", 'CONTENT PILLAR MAPPING'!C481&lt;&gt;"", 'CONTENT PILLAR MAPPING'!C486&lt;&gt;"", 'CONTENT PILLAR MAPPING'!D486&lt;&gt;"", 'CONTENT PILLAR MAPPING'!E486&lt;&gt;"", 'CONTENT PILLAR MAPPING'!D494&lt;&gt;"", 'CONTENT PILLAR MAPPING'!D495&lt;&gt;""),
CONCATENATE(
"Sebagai seorang top konten kreator dengan niche utama '", 'CONTENT PILLAR MAPPING'!C478, "', spesifik kategori '", 'CONTENT PILLAR MAPPING'!E478, "', dan super spesifik '", 'CONTENT PILLAR MAPPING'!F478, "', yang dikenal sebagai '", 'CONTENT PILLAR MAPPING'!C481, "'.", CHAR(10),
"Saya memiliki Tone of Voice: '", 'CONTENT PILLAR MAPPING'!C486, "', Brand Archetype: '", 'CONTENT PILLAR MAPPING'!D486, "', dan Deskripsi Gaya Komunikasi: '", 'CONTENT PILLAR MAPPING'!E486, "'.", CHAR(10),
"Target audiens saya adalah: '", 'CONTENT PILLAR MAPPING'!D494, "', dengan segmentasi audiens: '", 'CONTENT PILLAR MAPPING'!D495, "'.", CHAR(10), CHAR(10),
"Mohon buatkan script konten yang **sangat powerful, menarik, inovatif, dan siap pakai** dengan judul ide '", B575, "'.", CHAR(10),
"Konten ini memiliki pilar '", C575, "', nilai tambah utama '", F575, "', dan akan menggunakan storytelling framework '", G575, "'.", CHAR(10),
"Gambaran singkat ide kontennya adalah: '", J575, "'.", CHAR(10),
"Konten ini akan diunggah di platform '", E575, "' dengan format '", D575,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MAPPING'!C481, "'.** Sesuaikan dengan gaya komunikasi saya, dengan fokus pada nilai tambah '", F575,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MAPPING'!D494, ", khusus ", 'CONTENT PILLAR MAPPING'!D495, ") dan membantu mereka menyelesaikan masalah atau mencapai tujuan mereka.", CHAR(10),
"✔ Membantuku membangun personal branding yang kuat dan sustainable, sesuai dengan Positioning saya sebagai '", 'CONTENT PILLAR MAPPING'!C481, "' dan Brand Archetype '", 'CONTENT PILLAR MAPPING'!D486, "'.", CHAR(10),
"✔ Kemas dalam bentuk tabel agar rapi, mudah di baca dan dipahami, dengan kolom 'Judul Konten', 'Pilar', 'Format', 'Draft Script', 'CTA', 'Saran Visual', dan 'Full Caption'. (Kosongkan kolom Link Prompt jika ada)."
),
"")</f>
        <v/>
      </c>
      <c r="L575" s="91" t="n"/>
      <c r="M575" s="91" t="n"/>
      <c r="N575" s="102" t="n"/>
      <c r="O575" s="102" t="n"/>
      <c r="P575" s="102" t="n"/>
      <c r="Q575" s="102" t="n"/>
      <c r="R575" s="102" t="n"/>
      <c r="S575" s="102" t="n"/>
      <c r="T575" s="102" t="n"/>
      <c r="U575" s="102" t="n"/>
      <c r="V575" s="102" t="n"/>
      <c r="W575" s="102" t="n"/>
      <c r="X575" s="102" t="n"/>
      <c r="Y575" s="102" t="n"/>
      <c r="Z575" s="102" t="n"/>
      <c r="AA575" s="102" t="n"/>
      <c r="AB575" s="102" t="n"/>
      <c r="AC575" s="102" t="n"/>
      <c r="AD575" s="102" t="n"/>
    </row>
    <row r="576" ht="15.75" customHeight="1" s="205">
      <c r="A576" s="102" t="n"/>
      <c r="B576" s="147" t="n"/>
      <c r="C576" s="144" t="n"/>
      <c r="D576" s="144" t="n"/>
      <c r="E576" s="144" t="n"/>
      <c r="F576" s="144" t="n"/>
      <c r="G576" s="144" t="n"/>
      <c r="H576" s="141">
        <f>IF(K576&lt;&gt;"", HYPERLINK("https://chatgpt.com/?prompt=" &amp; SUBSTITUTE(SUBSTITUTE(K576, " ", "+"), "&amp;", "dan") &amp; "&amp;force-refresh=true&amp;timestamp=" &amp; TEXT(NOW(), "yyyymmddhhmmss"), "👉 Klik untuk Generate Script! 🔥"), "")</f>
        <v/>
      </c>
      <c r="I576" s="144" t="n"/>
      <c r="J576" s="148" t="n"/>
      <c r="K576" s="140">
        <f>IF(AND(B576&lt;&gt;"", C576&lt;&gt;"", D576&lt;&gt;"", E576&lt;&gt;"", F576&lt;&gt;"", G576&lt;&gt;"", J576&lt;&gt;"", 'CONTENT PILLAR MAPPING'!C478&lt;&gt;"", 'CONTENT PILLAR MAPPING'!E478&lt;&gt;"", 'CONTENT PILLAR MAPPING'!F478&lt;&gt;"", 'CONTENT PILLAR MAPPING'!C481&lt;&gt;"", 'CONTENT PILLAR MAPPING'!C486&lt;&gt;"", 'CONTENT PILLAR MAPPING'!D486&lt;&gt;"", 'CONTENT PILLAR MAPPING'!E486&lt;&gt;"", 'CONTENT PILLAR MAPPING'!D494&lt;&gt;"", 'CONTENT PILLAR MAPPING'!D495&lt;&gt;""),
CONCATENATE(
"Sebagai seorang top konten kreator dengan niche utama '", 'CONTENT PILLAR MAPPING'!C478, "', spesifik kategori '", 'CONTENT PILLAR MAPPING'!E478, "', dan super spesifik '", 'CONTENT PILLAR MAPPING'!F478, "', yang dikenal sebagai '", 'CONTENT PILLAR MAPPING'!C481, "'.", CHAR(10),
"Saya memiliki Tone of Voice: '", 'CONTENT PILLAR MAPPING'!C486, "', Brand Archetype: '", 'CONTENT PILLAR MAPPING'!D486, "', dan Deskripsi Gaya Komunikasi: '", 'CONTENT PILLAR MAPPING'!E486, "'.", CHAR(10),
"Target audiens saya adalah: '", 'CONTENT PILLAR MAPPING'!D494, "', dengan segmentasi audiens: '", 'CONTENT PILLAR MAPPING'!D495, "'.", CHAR(10), CHAR(10),
"Mohon buatkan script konten yang **sangat powerful, menarik, inovatif, dan siap pakai** dengan judul ide '", B576, "'.", CHAR(10),
"Konten ini memiliki pilar '", C576, "', nilai tambah utama '", F576, "', dan akan menggunakan storytelling framework '", G576, "'.", CHAR(10),
"Gambaran singkat ide kontennya adalah: '", J576, "'.", CHAR(10),
"Konten ini akan diunggah di platform '", E576, "' dengan format '", D576,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MAPPING'!C481, "'.** Sesuaikan dengan gaya komunikasi saya, dengan fokus pada nilai tambah '", F576,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MAPPING'!D494, ", khusus ", 'CONTENT PILLAR MAPPING'!D495, ") dan membantu mereka menyelesaikan masalah atau mencapai tujuan mereka.", CHAR(10),
"✔ Membantuku membangun personal branding yang kuat dan sustainable, sesuai dengan Positioning saya sebagai '", 'CONTENT PILLAR MAPPING'!C481, "' dan Brand Archetype '", 'CONTENT PILLAR MAPPING'!D486, "'.", CHAR(10),
"✔ Kemas dalam bentuk tabel agar rapi, mudah di baca dan dipahami, dengan kolom 'Judul Konten', 'Pilar', 'Format', 'Draft Script', 'CTA', 'Saran Visual', dan 'Full Caption'. (Kosongkan kolom Link Prompt jika ada)."
),
"")</f>
        <v/>
      </c>
      <c r="L576" s="199" t="n"/>
      <c r="M576" s="199" t="n"/>
      <c r="N576" s="102" t="n"/>
      <c r="O576" s="102" t="n"/>
      <c r="P576" s="102" t="n"/>
      <c r="Q576" s="102" t="n"/>
      <c r="R576" s="102" t="n"/>
      <c r="S576" s="102" t="n"/>
      <c r="T576" s="102" t="n"/>
      <c r="U576" s="102" t="n"/>
      <c r="V576" s="102" t="n"/>
      <c r="W576" s="102" t="n"/>
      <c r="X576" s="102" t="n"/>
      <c r="Y576" s="102" t="n"/>
      <c r="Z576" s="102" t="n"/>
      <c r="AA576" s="102" t="n"/>
      <c r="AB576" s="102" t="n"/>
      <c r="AC576" s="102" t="n"/>
      <c r="AD576" s="102" t="n"/>
    </row>
    <row r="577" ht="15.75" customHeight="1" s="205">
      <c r="A577" s="102" t="n"/>
      <c r="B577" s="142" t="n"/>
      <c r="C577" s="143" t="n"/>
      <c r="D577" s="143" t="n"/>
      <c r="E577" s="143" t="n"/>
      <c r="F577" s="143" t="n"/>
      <c r="G577" s="144" t="n"/>
      <c r="H577" s="145">
        <f>IF(K577&lt;&gt;"", HYPERLINK("https://chatgpt.com/?prompt=" &amp; SUBSTITUTE(SUBSTITUTE(K577, " ", "+"), "&amp;", "dan") &amp; "&amp;force-refresh=true&amp;timestamp=" &amp; TEXT(NOW(), "yyyymmddhhmmss"), "👉 Klik untuk Generate Script! 🔥"), "")</f>
        <v/>
      </c>
      <c r="I577" s="143" t="n"/>
      <c r="J577" s="146" t="n"/>
      <c r="K577" s="130">
        <f>IF(AND(B577&lt;&gt;"", C577&lt;&gt;"", D577&lt;&gt;"", E577&lt;&gt;"", F577&lt;&gt;"", G577&lt;&gt;"", J577&lt;&gt;"", 'CONTENT PILLAR MAPPING'!C480&lt;&gt;"", 'CONTENT PILLAR MAPPING'!E480&lt;&gt;"", 'CONTENT PILLAR MAPPING'!F480&lt;&gt;"", 'CONTENT PILLAR MAPPING'!C483&lt;&gt;"", 'CONTENT PILLAR MAPPING'!C488&lt;&gt;"", 'CONTENT PILLAR MAPPING'!D488&lt;&gt;"", 'CONTENT PILLAR MAPPING'!E488&lt;&gt;"", 'CONTENT PILLAR MAPPING'!D496&lt;&gt;"", 'CONTENT PILLAR MAPPING'!D497&lt;&gt;""),
CONCATENATE(
"Sebagai seorang top konten kreator dengan niche utama '", 'CONTENT PILLAR MAPPING'!C480, "', spesifik kategori '", 'CONTENT PILLAR MAPPING'!E480, "', dan super spesifik '", 'CONTENT PILLAR MAPPING'!F480, "', yang dikenal sebagai '", 'CONTENT PILLAR MAPPING'!C483, "'.", CHAR(10),
"Saya memiliki Tone of Voice: '", 'CONTENT PILLAR MAPPING'!C488, "', Brand Archetype: '", 'CONTENT PILLAR MAPPING'!D488, "', dan Deskripsi Gaya Komunikasi: '", 'CONTENT PILLAR MAPPING'!E488, "'.", CHAR(10),
"Target audiens saya adalah: '", 'CONTENT PILLAR MAPPING'!D496, "', dengan segmentasi audiens: '", 'CONTENT PILLAR MAPPING'!D497, "'.", CHAR(10), CHAR(10),
"Mohon buatkan script konten yang **sangat powerful, menarik, inovatif, dan siap pakai** dengan judul ide '", B577, "'.", CHAR(10),
"Konten ini memiliki pilar '", C577, "', nilai tambah utama '", F577, "', dan akan menggunakan storytelling framework '", G577, "'.", CHAR(10),
"Gambaran singkat ide kontennya adalah: '", J577, "'.", CHAR(10),
"Konten ini akan diunggah di platform '", E577, "' dengan format '", D577,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MAPPING'!C483, "'.** Sesuaikan dengan gaya komunikasi saya, dengan fokus pada nilai tambah '", F577,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MAPPING'!D496, ", khusus ", 'CONTENT PILLAR MAPPING'!D497, ") dan membantu mereka menyelesaikan masalah atau mencapai tujuan mereka.", CHAR(10),
"✔ Membantuku membangun personal branding yang kuat dan sustainable, sesuai dengan Positioning saya sebagai '", 'CONTENT PILLAR MAPPING'!C483, "' dan Brand Archetype '", 'CONTENT PILLAR MAPPING'!D488, "'.", CHAR(10),
"✔ Kemas dalam bentuk tabel agar rapi, mudah di baca dan dipahami, dengan kolom 'Judul Konten', 'Pilar', 'Format', 'Draft Script', 'CTA', 'Saran Visual', dan 'Full Caption'. (Kosongkan kolom Link Prompt jika ada)."
),
"")</f>
        <v/>
      </c>
      <c r="L577" s="91" t="n"/>
      <c r="M577" s="91" t="n"/>
      <c r="N577" s="102" t="n"/>
      <c r="O577" s="102" t="n"/>
      <c r="P577" s="102" t="n"/>
      <c r="Q577" s="102" t="n"/>
      <c r="R577" s="102" t="n"/>
      <c r="S577" s="102" t="n"/>
      <c r="T577" s="102" t="n"/>
      <c r="U577" s="102" t="n"/>
      <c r="V577" s="102" t="n"/>
      <c r="W577" s="102" t="n"/>
      <c r="X577" s="102" t="n"/>
      <c r="Y577" s="102" t="n"/>
      <c r="Z577" s="102" t="n"/>
      <c r="AA577" s="102" t="n"/>
      <c r="AB577" s="102" t="n"/>
      <c r="AC577" s="102" t="n"/>
      <c r="AD577" s="102" t="n"/>
    </row>
    <row r="578" ht="15.75" customHeight="1" s="205">
      <c r="A578" s="102" t="n"/>
      <c r="B578" s="147" t="n"/>
      <c r="C578" s="144" t="n"/>
      <c r="D578" s="144" t="n"/>
      <c r="E578" s="144" t="n"/>
      <c r="F578" s="144" t="n"/>
      <c r="G578" s="144" t="n"/>
      <c r="H578" s="141">
        <f>IF(K578&lt;&gt;"", HYPERLINK("https://chatgpt.com/?prompt=" &amp; SUBSTITUTE(SUBSTITUTE(K578, " ", "+"), "&amp;", "dan") &amp; "&amp;force-refresh=true&amp;timestamp=" &amp; TEXT(NOW(), "yyyymmddhhmmss"), "👉 Klik untuk Generate Script! 🔥"), "")</f>
        <v/>
      </c>
      <c r="I578" s="144" t="n"/>
      <c r="J578" s="148" t="n"/>
      <c r="K578" s="140">
        <f>IF(AND(B578&lt;&gt;"", C578&lt;&gt;"", D578&lt;&gt;"", E578&lt;&gt;"", F578&lt;&gt;"", G578&lt;&gt;"", J578&lt;&gt;"", 'CONTENT PILLAR MAPPING'!C480&lt;&gt;"", 'CONTENT PILLAR MAPPING'!E480&lt;&gt;"", 'CONTENT PILLAR MAPPING'!F480&lt;&gt;"", 'CONTENT PILLAR MAPPING'!C483&lt;&gt;"", 'CONTENT PILLAR MAPPING'!C488&lt;&gt;"", 'CONTENT PILLAR MAPPING'!D488&lt;&gt;"", 'CONTENT PILLAR MAPPING'!E488&lt;&gt;"", 'CONTENT PILLAR MAPPING'!D496&lt;&gt;"", 'CONTENT PILLAR MAPPING'!D497&lt;&gt;""),
CONCATENATE(
"Sebagai seorang top konten kreator dengan niche utama '", 'CONTENT PILLAR MAPPING'!C480, "', spesifik kategori '", 'CONTENT PILLAR MAPPING'!E480, "', dan super spesifik '", 'CONTENT PILLAR MAPPING'!F480, "', yang dikenal sebagai '", 'CONTENT PILLAR MAPPING'!C483, "'.", CHAR(10),
"Saya memiliki Tone of Voice: '", 'CONTENT PILLAR MAPPING'!C488, "', Brand Archetype: '", 'CONTENT PILLAR MAPPING'!D488, "', dan Deskripsi Gaya Komunikasi: '", 'CONTENT PILLAR MAPPING'!E488, "'.", CHAR(10),
"Target audiens saya adalah: '", 'CONTENT PILLAR MAPPING'!D496, "', dengan segmentasi audiens: '", 'CONTENT PILLAR MAPPING'!D497, "'.", CHAR(10), CHAR(10),
"Mohon buatkan script konten yang **sangat powerful, menarik, inovatif, dan siap pakai** dengan judul ide '", B578, "'.", CHAR(10),
"Konten ini memiliki pilar '", C578, "', nilai tambah utama '", F578, "', dan akan menggunakan storytelling framework '", G578, "'.", CHAR(10),
"Gambaran singkat ide kontennya adalah: '", J578, "'.", CHAR(10),
"Konten ini akan diunggah di platform '", E578, "' dengan format '", D578,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MAPPING'!C483, "'.** Sesuaikan dengan gaya komunikasi saya, dengan fokus pada nilai tambah '", F578,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MAPPING'!D496, ", khusus ", 'CONTENT PILLAR MAPPING'!D497, ") dan membantu mereka menyelesaikan masalah atau mencapai tujuan mereka.", CHAR(10),
"✔ Membantuku membangun personal branding yang kuat dan sustainable, sesuai dengan Positioning saya sebagai '", 'CONTENT PILLAR MAPPING'!C483, "' dan Brand Archetype '", 'CONTENT PILLAR MAPPING'!D488, "'.", CHAR(10),
"✔ Kemas dalam bentuk tabel agar rapi, mudah di baca dan dipahami, dengan kolom 'Judul Konten', 'Pilar', 'Format', 'Draft Script', 'CTA', 'Saran Visual', dan 'Full Caption'. (Kosongkan kolom Link Prompt jika ada)."
),
"")</f>
        <v/>
      </c>
      <c r="L578" s="199" t="n"/>
      <c r="M578" s="199" t="n"/>
      <c r="N578" s="102" t="n"/>
      <c r="O578" s="102" t="n"/>
      <c r="P578" s="102" t="n"/>
      <c r="Q578" s="102" t="n"/>
      <c r="R578" s="102" t="n"/>
      <c r="S578" s="102" t="n"/>
      <c r="T578" s="102" t="n"/>
      <c r="U578" s="102" t="n"/>
      <c r="V578" s="102" t="n"/>
      <c r="W578" s="102" t="n"/>
      <c r="X578" s="102" t="n"/>
      <c r="Y578" s="102" t="n"/>
      <c r="Z578" s="102" t="n"/>
      <c r="AA578" s="102" t="n"/>
      <c r="AB578" s="102" t="n"/>
      <c r="AC578" s="102" t="n"/>
      <c r="AD578" s="102" t="n"/>
    </row>
    <row r="579" ht="15.75" customHeight="1" s="205">
      <c r="A579" s="102" t="n"/>
      <c r="B579" s="142" t="n"/>
      <c r="C579" s="143" t="n"/>
      <c r="D579" s="143" t="n"/>
      <c r="E579" s="143" t="n"/>
      <c r="F579" s="143" t="n"/>
      <c r="G579" s="144" t="n"/>
      <c r="H579" s="145">
        <f>IF(K579&lt;&gt;"", HYPERLINK("https://chatgpt.com/?prompt=" &amp; SUBSTITUTE(SUBSTITUTE(K579, " ", "+"), "&amp;", "dan") &amp; "&amp;force-refresh=true&amp;timestamp=" &amp; TEXT(NOW(), "yyyymmddhhmmss"), "👉 Klik untuk Generate Script! 🔥"), "")</f>
        <v/>
      </c>
      <c r="I579" s="143" t="n"/>
      <c r="J579" s="146" t="n"/>
      <c r="K579" s="130">
        <f>IF(AND(B579&lt;&gt;"", C579&lt;&gt;"", D579&lt;&gt;"", E579&lt;&gt;"", F579&lt;&gt;"", G579&lt;&gt;"", J579&lt;&gt;"", 'CONTENT PILLAR MAPPING'!C482&lt;&gt;"", 'CONTENT PILLAR MAPPING'!E482&lt;&gt;"", 'CONTENT PILLAR MAPPING'!F482&lt;&gt;"", 'CONTENT PILLAR MAPPING'!C485&lt;&gt;"", 'CONTENT PILLAR MAPPING'!C490&lt;&gt;"", 'CONTENT PILLAR MAPPING'!D490&lt;&gt;"", 'CONTENT PILLAR MAPPING'!E490&lt;&gt;"", 'CONTENT PILLAR MAPPING'!D498&lt;&gt;"", 'CONTENT PILLAR MAPPING'!D499&lt;&gt;""),
CONCATENATE(
"Sebagai seorang top konten kreator dengan niche utama '", 'CONTENT PILLAR MAPPING'!C482, "', spesifik kategori '", 'CONTENT PILLAR MAPPING'!E482, "', dan super spesifik '", 'CONTENT PILLAR MAPPING'!F482, "', yang dikenal sebagai '", 'CONTENT PILLAR MAPPING'!C485, "'.", CHAR(10),
"Saya memiliki Tone of Voice: '", 'CONTENT PILLAR MAPPING'!C490, "', Brand Archetype: '", 'CONTENT PILLAR MAPPING'!D490, "', dan Deskripsi Gaya Komunikasi: '", 'CONTENT PILLAR MAPPING'!E490, "'.", CHAR(10),
"Target audiens saya adalah: '", 'CONTENT PILLAR MAPPING'!D498, "', dengan segmentasi audiens: '", 'CONTENT PILLAR MAPPING'!D499, "'.", CHAR(10), CHAR(10),
"Mohon buatkan script konten yang **sangat powerful, menarik, inovatif, dan siap pakai** dengan judul ide '", B579, "'.", CHAR(10),
"Konten ini memiliki pilar '", C579, "', nilai tambah utama '", F579, "', dan akan menggunakan storytelling framework '", G579, "'.", CHAR(10),
"Gambaran singkat ide kontennya adalah: '", J579, "'.", CHAR(10),
"Konten ini akan diunggah di platform '", E579, "' dengan format '", D579,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MAPPING'!C485, "'.** Sesuaikan dengan gaya komunikasi saya, dengan fokus pada nilai tambah '", F579,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MAPPING'!D498, ", khusus ", 'CONTENT PILLAR MAPPING'!D499, ") dan membantu mereka menyelesaikan masalah atau mencapai tujuan mereka.", CHAR(10),
"✔ Membantuku membangun personal branding yang kuat dan sustainable, sesuai dengan Positioning saya sebagai '", 'CONTENT PILLAR MAPPING'!C485, "' dan Brand Archetype '", 'CONTENT PILLAR MAPPING'!D490, "'.", CHAR(10),
"✔ Kemas dalam bentuk tabel agar rapi, mudah di baca dan dipahami, dengan kolom 'Judul Konten', 'Pilar', 'Format', 'Draft Script', 'CTA', 'Saran Visual', dan 'Full Caption'. (Kosongkan kolom Link Prompt jika ada)."
),
"")</f>
        <v/>
      </c>
      <c r="L579" s="91" t="n"/>
      <c r="M579" s="91" t="n"/>
      <c r="N579" s="102" t="n"/>
      <c r="O579" s="102" t="n"/>
      <c r="P579" s="102" t="n"/>
      <c r="Q579" s="102" t="n"/>
      <c r="R579" s="102" t="n"/>
      <c r="S579" s="102" t="n"/>
      <c r="T579" s="102" t="n"/>
      <c r="U579" s="102" t="n"/>
      <c r="V579" s="102" t="n"/>
      <c r="W579" s="102" t="n"/>
      <c r="X579" s="102" t="n"/>
      <c r="Y579" s="102" t="n"/>
      <c r="Z579" s="102" t="n"/>
      <c r="AA579" s="102" t="n"/>
      <c r="AB579" s="102" t="n"/>
      <c r="AC579" s="102" t="n"/>
      <c r="AD579" s="102" t="n"/>
    </row>
    <row r="580" ht="15.75" customHeight="1" s="205">
      <c r="A580" s="102" t="n"/>
      <c r="B580" s="147" t="n"/>
      <c r="C580" s="144" t="n"/>
      <c r="D580" s="144" t="n"/>
      <c r="E580" s="144" t="n"/>
      <c r="F580" s="144" t="n"/>
      <c r="G580" s="144" t="n"/>
      <c r="H580" s="141">
        <f>IF(K580&lt;&gt;"", HYPERLINK("https://chatgpt.com/?prompt=" &amp; SUBSTITUTE(SUBSTITUTE(K580, " ", "+"), "&amp;", "dan") &amp; "&amp;force-refresh=true&amp;timestamp=" &amp; TEXT(NOW(), "yyyymmddhhmmss"), "👉 Klik untuk Generate Script! 🔥"), "")</f>
        <v/>
      </c>
      <c r="I580" s="144" t="n"/>
      <c r="J580" s="148" t="n"/>
      <c r="K580" s="140">
        <f>IF(AND(B580&lt;&gt;"", C580&lt;&gt;"", D580&lt;&gt;"", E580&lt;&gt;"", F580&lt;&gt;"", G580&lt;&gt;"", J580&lt;&gt;"", 'CONTENT PILLAR MAPPING'!C482&lt;&gt;"", 'CONTENT PILLAR MAPPING'!E482&lt;&gt;"", 'CONTENT PILLAR MAPPING'!F482&lt;&gt;"", 'CONTENT PILLAR MAPPING'!C485&lt;&gt;"", 'CONTENT PILLAR MAPPING'!C490&lt;&gt;"", 'CONTENT PILLAR MAPPING'!D490&lt;&gt;"", 'CONTENT PILLAR MAPPING'!E490&lt;&gt;"", 'CONTENT PILLAR MAPPING'!D498&lt;&gt;"", 'CONTENT PILLAR MAPPING'!D499&lt;&gt;""),
CONCATENATE(
"Sebagai seorang top konten kreator dengan niche utama '", 'CONTENT PILLAR MAPPING'!C482, "', spesifik kategori '", 'CONTENT PILLAR MAPPING'!E482, "', dan super spesifik '", 'CONTENT PILLAR MAPPING'!F482, "', yang dikenal sebagai '", 'CONTENT PILLAR MAPPING'!C485, "'.", CHAR(10),
"Saya memiliki Tone of Voice: '", 'CONTENT PILLAR MAPPING'!C490, "', Brand Archetype: '", 'CONTENT PILLAR MAPPING'!D490, "', dan Deskripsi Gaya Komunikasi: '", 'CONTENT PILLAR MAPPING'!E490, "'.", CHAR(10),
"Target audiens saya adalah: '", 'CONTENT PILLAR MAPPING'!D498, "', dengan segmentasi audiens: '", 'CONTENT PILLAR MAPPING'!D499, "'.", CHAR(10), CHAR(10),
"Mohon buatkan script konten yang **sangat powerful, menarik, inovatif, dan siap pakai** dengan judul ide '", B580, "'.", CHAR(10),
"Konten ini memiliki pilar '", C580, "', nilai tambah utama '", F580, "', dan akan menggunakan storytelling framework '", G580, "'.", CHAR(10),
"Gambaran singkat ide kontennya adalah: '", J580, "'.", CHAR(10),
"Konten ini akan diunggah di platform '", E580, "' dengan format '", D580,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MAPPING'!C485, "'.** Sesuaikan dengan gaya komunikasi saya, dengan fokus pada nilai tambah '", F580,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MAPPING'!D498, ", khusus ", 'CONTENT PILLAR MAPPING'!D499, ") dan membantu mereka menyelesaikan masalah atau mencapai tujuan mereka.", CHAR(10),
"✔ Membantuku membangun personal branding yang kuat dan sustainable, sesuai dengan Positioning saya sebagai '", 'CONTENT PILLAR MAPPING'!C485, "' dan Brand Archetype '", 'CONTENT PILLAR MAPPING'!D490, "'.", CHAR(10),
"✔ Kemas dalam bentuk tabel agar rapi, mudah di baca dan dipahami, dengan kolom 'Judul Konten', 'Pilar', 'Format', 'Draft Script', 'CTA', 'Saran Visual', dan 'Full Caption'. (Kosongkan kolom Link Prompt jika ada)."
),
"")</f>
        <v/>
      </c>
      <c r="L580" s="199" t="n"/>
      <c r="M580" s="199" t="n"/>
      <c r="N580" s="102" t="n"/>
      <c r="O580" s="102" t="n"/>
      <c r="P580" s="102" t="n"/>
      <c r="Q580" s="102" t="n"/>
      <c r="R580" s="102" t="n"/>
      <c r="S580" s="102" t="n"/>
      <c r="T580" s="102" t="n"/>
      <c r="U580" s="102" t="n"/>
      <c r="V580" s="102" t="n"/>
      <c r="W580" s="102" t="n"/>
      <c r="X580" s="102" t="n"/>
      <c r="Y580" s="102" t="n"/>
      <c r="Z580" s="102" t="n"/>
      <c r="AA580" s="102" t="n"/>
      <c r="AB580" s="102" t="n"/>
      <c r="AC580" s="102" t="n"/>
      <c r="AD580" s="102" t="n"/>
    </row>
    <row r="581" ht="15.75" customHeight="1" s="205">
      <c r="A581" s="102" t="n"/>
      <c r="B581" s="142" t="n"/>
      <c r="C581" s="143" t="n"/>
      <c r="D581" s="143" t="n"/>
      <c r="E581" s="143" t="n"/>
      <c r="F581" s="143" t="n"/>
      <c r="G581" s="144" t="n"/>
      <c r="H581" s="145">
        <f>IF(K581&lt;&gt;"", HYPERLINK("https://chatgpt.com/?prompt=" &amp; SUBSTITUTE(SUBSTITUTE(K581, " ", "+"), "&amp;", "dan") &amp; "&amp;force-refresh=true&amp;timestamp=" &amp; TEXT(NOW(), "yyyymmddhhmmss"), "👉 Klik untuk Generate Script! 🔥"), "")</f>
        <v/>
      </c>
      <c r="I581" s="143" t="n"/>
      <c r="J581" s="146" t="n"/>
      <c r="K581" s="130">
        <f>IF(AND(B581&lt;&gt;"", C581&lt;&gt;"", D581&lt;&gt;"", E581&lt;&gt;"", F581&lt;&gt;"", G581&lt;&gt;"", J581&lt;&gt;"", 'CONTENT PILLAR MAPPING'!C484&lt;&gt;"", 'CONTENT PILLAR MAPPING'!E484&lt;&gt;"", 'CONTENT PILLAR MAPPING'!F484&lt;&gt;"", 'CONTENT PILLAR MAPPING'!C487&lt;&gt;"", 'CONTENT PILLAR MAPPING'!C492&lt;&gt;"", 'CONTENT PILLAR MAPPING'!D492&lt;&gt;"", 'CONTENT PILLAR MAPPING'!E492&lt;&gt;"", 'CONTENT PILLAR MAPPING'!D500&lt;&gt;"", 'CONTENT PILLAR MAPPING'!D501&lt;&gt;""),
CONCATENATE(
"Sebagai seorang top konten kreator dengan niche utama '", 'CONTENT PILLAR MAPPING'!C484, "', spesifik kategori '", 'CONTENT PILLAR MAPPING'!E484, "', dan super spesifik '", 'CONTENT PILLAR MAPPING'!F484, "', yang dikenal sebagai '", 'CONTENT PILLAR MAPPING'!C487, "'.", CHAR(10),
"Saya memiliki Tone of Voice: '", 'CONTENT PILLAR MAPPING'!C492, "', Brand Archetype: '", 'CONTENT PILLAR MAPPING'!D492, "', dan Deskripsi Gaya Komunikasi: '", 'CONTENT PILLAR MAPPING'!E492, "'.", CHAR(10),
"Target audiens saya adalah: '", 'CONTENT PILLAR MAPPING'!D500, "', dengan segmentasi audiens: '", 'CONTENT PILLAR MAPPING'!D501, "'.", CHAR(10), CHAR(10),
"Mohon buatkan script konten yang **sangat powerful, menarik, inovatif, dan siap pakai** dengan judul ide '", B581, "'.", CHAR(10),
"Konten ini memiliki pilar '", C581, "', nilai tambah utama '", F581, "', dan akan menggunakan storytelling framework '", G581, "'.", CHAR(10),
"Gambaran singkat ide kontennya adalah: '", J581, "'.", CHAR(10),
"Konten ini akan diunggah di platform '", E581, "' dengan format '", D581,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MAPPING'!C487, "'.** Sesuaikan dengan gaya komunikasi saya, dengan fokus pada nilai tambah '", F581,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MAPPING'!D500, ", khusus ", 'CONTENT PILLAR MAPPING'!D501, ") dan membantu mereka menyelesaikan masalah atau mencapai tujuan mereka.", CHAR(10),
"✔ Membantuku membangun personal branding yang kuat dan sustainable, sesuai dengan Positioning saya sebagai '", 'CONTENT PILLAR MAPPING'!C487, "' dan Brand Archetype '", 'CONTENT PILLAR MAPPING'!D492, "'.", CHAR(10),
"✔ Kemas dalam bentuk tabel agar rapi, mudah di baca dan dipahami, dengan kolom 'Judul Konten', 'Pilar', 'Format', 'Draft Script', 'CTA', 'Saran Visual', dan 'Full Caption'. (Kosongkan kolom Link Prompt jika ada)."
),
"")</f>
        <v/>
      </c>
      <c r="L581" s="91" t="n"/>
      <c r="M581" s="91" t="n"/>
      <c r="N581" s="102" t="n"/>
      <c r="O581" s="102" t="n"/>
      <c r="P581" s="102" t="n"/>
      <c r="Q581" s="102" t="n"/>
      <c r="R581" s="102" t="n"/>
      <c r="S581" s="102" t="n"/>
      <c r="T581" s="102" t="n"/>
      <c r="U581" s="102" t="n"/>
      <c r="V581" s="102" t="n"/>
      <c r="W581" s="102" t="n"/>
      <c r="X581" s="102" t="n"/>
      <c r="Y581" s="102" t="n"/>
      <c r="Z581" s="102" t="n"/>
      <c r="AA581" s="102" t="n"/>
      <c r="AB581" s="102" t="n"/>
      <c r="AC581" s="102" t="n"/>
      <c r="AD581" s="102" t="n"/>
    </row>
    <row r="582" ht="15.75" customHeight="1" s="205">
      <c r="A582" s="102" t="n"/>
      <c r="B582" s="147" t="n"/>
      <c r="C582" s="144" t="n"/>
      <c r="D582" s="144" t="n"/>
      <c r="E582" s="144" t="n"/>
      <c r="F582" s="144" t="n"/>
      <c r="G582" s="144" t="n"/>
      <c r="H582" s="141">
        <f>IF(K582&lt;&gt;"", HYPERLINK("https://chatgpt.com/?prompt=" &amp; SUBSTITUTE(SUBSTITUTE(K582, " ", "+"), "&amp;", "dan") &amp; "&amp;force-refresh=true&amp;timestamp=" &amp; TEXT(NOW(), "yyyymmddhhmmss"), "👉 Klik untuk Generate Script! 🔥"), "")</f>
        <v/>
      </c>
      <c r="I582" s="144" t="n"/>
      <c r="J582" s="148" t="n"/>
      <c r="K582" s="140">
        <f>IF(AND(B582&lt;&gt;"", C582&lt;&gt;"", D582&lt;&gt;"", E582&lt;&gt;"", F582&lt;&gt;"", G582&lt;&gt;"", J582&lt;&gt;"", 'CONTENT PILLAR MAPPING'!C484&lt;&gt;"", 'CONTENT PILLAR MAPPING'!E484&lt;&gt;"", 'CONTENT PILLAR MAPPING'!F484&lt;&gt;"", 'CONTENT PILLAR MAPPING'!C487&lt;&gt;"", 'CONTENT PILLAR MAPPING'!C492&lt;&gt;"", 'CONTENT PILLAR MAPPING'!D492&lt;&gt;"", 'CONTENT PILLAR MAPPING'!E492&lt;&gt;"", 'CONTENT PILLAR MAPPING'!D500&lt;&gt;"", 'CONTENT PILLAR MAPPING'!D501&lt;&gt;""),
CONCATENATE(
"Sebagai seorang top konten kreator dengan niche utama '", 'CONTENT PILLAR MAPPING'!C484, "', spesifik kategori '", 'CONTENT PILLAR MAPPING'!E484, "', dan super spesifik '", 'CONTENT PILLAR MAPPING'!F484, "', yang dikenal sebagai '", 'CONTENT PILLAR MAPPING'!C487, "'.", CHAR(10),
"Saya memiliki Tone of Voice: '", 'CONTENT PILLAR MAPPING'!C492, "', Brand Archetype: '", 'CONTENT PILLAR MAPPING'!D492, "', dan Deskripsi Gaya Komunikasi: '", 'CONTENT PILLAR MAPPING'!E492, "'.", CHAR(10),
"Target audiens saya adalah: '", 'CONTENT PILLAR MAPPING'!D500, "', dengan segmentasi audiens: '", 'CONTENT PILLAR MAPPING'!D501, "'.", CHAR(10), CHAR(10),
"Mohon buatkan script konten yang **sangat powerful, menarik, inovatif, dan siap pakai** dengan judul ide '", B582, "'.", CHAR(10),
"Konten ini memiliki pilar '", C582, "', nilai tambah utama '", F582, "', dan akan menggunakan storytelling framework '", G582, "'.", CHAR(10),
"Gambaran singkat ide kontennya adalah: '", J582, "'.", CHAR(10),
"Konten ini akan diunggah di platform '", E582, "' dengan format '", D582,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MAPPING'!C487, "'.** Sesuaikan dengan gaya komunikasi saya, dengan fokus pada nilai tambah '", F582,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MAPPING'!D500, ", khusus ", 'CONTENT PILLAR MAPPING'!D501, ") dan membantu mereka menyelesaikan masalah atau mencapai tujuan mereka.", CHAR(10),
"✔ Membantuku membangun personal branding yang kuat dan sustainable, sesuai dengan Positioning saya sebagai '", 'CONTENT PILLAR MAPPING'!C487, "' dan Brand Archetype '", 'CONTENT PILLAR MAPPING'!D492, "'.", CHAR(10),
"✔ Kemas dalam bentuk tabel agar rapi, mudah di baca dan dipahami, dengan kolom 'Judul Konten', 'Pilar', 'Format', 'Draft Script', 'CTA', 'Saran Visual', dan 'Full Caption'. (Kosongkan kolom Link Prompt jika ada)."
),
"")</f>
        <v/>
      </c>
      <c r="L582" s="199" t="n"/>
      <c r="M582" s="199" t="n"/>
      <c r="N582" s="102" t="n"/>
      <c r="O582" s="102" t="n"/>
      <c r="P582" s="102" t="n"/>
      <c r="Q582" s="102" t="n"/>
      <c r="R582" s="102" t="n"/>
      <c r="S582" s="102" t="n"/>
      <c r="T582" s="102" t="n"/>
      <c r="U582" s="102" t="n"/>
      <c r="V582" s="102" t="n"/>
      <c r="W582" s="102" t="n"/>
      <c r="X582" s="102" t="n"/>
      <c r="Y582" s="102" t="n"/>
      <c r="Z582" s="102" t="n"/>
      <c r="AA582" s="102" t="n"/>
      <c r="AB582" s="102" t="n"/>
      <c r="AC582" s="102" t="n"/>
      <c r="AD582" s="102" t="n"/>
    </row>
    <row r="583" ht="15.75" customHeight="1" s="205">
      <c r="A583" s="102" t="n"/>
      <c r="B583" s="142" t="n"/>
      <c r="C583" s="143" t="n"/>
      <c r="D583" s="143" t="n"/>
      <c r="E583" s="143" t="n"/>
      <c r="F583" s="143" t="n"/>
      <c r="G583" s="144" t="n"/>
      <c r="H583" s="145">
        <f>IF(K583&lt;&gt;"", HYPERLINK("https://chatgpt.com/?prompt=" &amp; SUBSTITUTE(SUBSTITUTE(K583, " ", "+"), "&amp;", "dan") &amp; "&amp;force-refresh=true&amp;timestamp=" &amp; TEXT(NOW(), "yyyymmddhhmmss"), "👉 Klik untuk Generate Script! 🔥"), "")</f>
        <v/>
      </c>
      <c r="I583" s="143" t="n"/>
      <c r="J583" s="146" t="n"/>
      <c r="K583" s="130">
        <f>IF(AND(B583&lt;&gt;"", C583&lt;&gt;"", D583&lt;&gt;"", E583&lt;&gt;"", F583&lt;&gt;"", G583&lt;&gt;"", J583&lt;&gt;"", 'CONTENT PILLAR MAPPING'!C486&lt;&gt;"", 'CONTENT PILLAR MAPPING'!E486&lt;&gt;"", 'CONTENT PILLAR MAPPING'!F486&lt;&gt;"", 'CONTENT PILLAR MAPPING'!C489&lt;&gt;"", 'CONTENT PILLAR MAPPING'!C494&lt;&gt;"", 'CONTENT PILLAR MAPPING'!D494&lt;&gt;"", 'CONTENT PILLAR MAPPING'!E494&lt;&gt;"", 'CONTENT PILLAR MAPPING'!D502&lt;&gt;"", 'CONTENT PILLAR MAPPING'!D503&lt;&gt;""),
CONCATENATE(
"Sebagai seorang top konten kreator dengan niche utama '", 'CONTENT PILLAR MAPPING'!C486, "', spesifik kategori '", 'CONTENT PILLAR MAPPING'!E486, "', dan super spesifik '", 'CONTENT PILLAR MAPPING'!F486, "', yang dikenal sebagai '", 'CONTENT PILLAR MAPPING'!C489, "'.", CHAR(10),
"Saya memiliki Tone of Voice: '", 'CONTENT PILLAR MAPPING'!C494, "', Brand Archetype: '", 'CONTENT PILLAR MAPPING'!D494, "', dan Deskripsi Gaya Komunikasi: '", 'CONTENT PILLAR MAPPING'!E494, "'.", CHAR(10),
"Target audiens saya adalah: '", 'CONTENT PILLAR MAPPING'!D502, "', dengan segmentasi audiens: '", 'CONTENT PILLAR MAPPING'!D503, "'.", CHAR(10), CHAR(10),
"Mohon buatkan script konten yang **sangat powerful, menarik, inovatif, dan siap pakai** dengan judul ide '", B583, "'.", CHAR(10),
"Konten ini memiliki pilar '", C583, "', nilai tambah utama '", F583, "', dan akan menggunakan storytelling framework '", G583, "'.", CHAR(10),
"Gambaran singkat ide kontennya adalah: '", J583, "'.", CHAR(10),
"Konten ini akan diunggah di platform '", E583, "' dengan format '", D583,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MAPPING'!C489, "'.** Sesuaikan dengan gaya komunikasi saya, dengan fokus pada nilai tambah '", F583,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MAPPING'!D502, ", khusus ", 'CONTENT PILLAR MAPPING'!D503, ") dan membantu mereka menyelesaikan masalah atau mencapai tujuan mereka.", CHAR(10),
"✔ Membantuku membangun personal branding yang kuat dan sustainable, sesuai dengan Positioning saya sebagai '", 'CONTENT PILLAR MAPPING'!C489, "' dan Brand Archetype '", 'CONTENT PILLAR MAPPING'!D494, "'.", CHAR(10),
"✔ Kemas dalam bentuk tabel agar rapi, mudah di baca dan dipahami, dengan kolom 'Judul Konten', 'Pilar', 'Format', 'Draft Script', 'CTA', 'Saran Visual', dan 'Full Caption'. (Kosongkan kolom Link Prompt jika ada)."
),
"")</f>
        <v/>
      </c>
      <c r="L583" s="91" t="n"/>
      <c r="M583" s="91" t="n"/>
      <c r="N583" s="102" t="n"/>
      <c r="O583" s="102" t="n"/>
      <c r="P583" s="102" t="n"/>
      <c r="Q583" s="102" t="n"/>
      <c r="R583" s="102" t="n"/>
      <c r="S583" s="102" t="n"/>
      <c r="T583" s="102" t="n"/>
      <c r="U583" s="102" t="n"/>
      <c r="V583" s="102" t="n"/>
      <c r="W583" s="102" t="n"/>
      <c r="X583" s="102" t="n"/>
      <c r="Y583" s="102" t="n"/>
      <c r="Z583" s="102" t="n"/>
      <c r="AA583" s="102" t="n"/>
      <c r="AB583" s="102" t="n"/>
      <c r="AC583" s="102" t="n"/>
      <c r="AD583" s="102" t="n"/>
    </row>
    <row r="584" ht="15.75" customHeight="1" s="205">
      <c r="A584" s="102" t="n"/>
      <c r="B584" s="147" t="n"/>
      <c r="C584" s="144" t="n"/>
      <c r="D584" s="144" t="n"/>
      <c r="E584" s="144" t="n"/>
      <c r="F584" s="144" t="n"/>
      <c r="G584" s="144" t="n"/>
      <c r="H584" s="141">
        <f>IF(K584&lt;&gt;"", HYPERLINK("https://chatgpt.com/?prompt=" &amp; SUBSTITUTE(SUBSTITUTE(K584, " ", "+"), "&amp;", "dan") &amp; "&amp;force-refresh=true&amp;timestamp=" &amp; TEXT(NOW(), "yyyymmddhhmmss"), "👉 Klik untuk Generate Script! 🔥"), "")</f>
        <v/>
      </c>
      <c r="I584" s="144" t="n"/>
      <c r="J584" s="148" t="n"/>
      <c r="K584" s="140">
        <f>IF(AND(B584&lt;&gt;"", C584&lt;&gt;"", D584&lt;&gt;"", E584&lt;&gt;"", F584&lt;&gt;"", G584&lt;&gt;"", J584&lt;&gt;"", 'CONTENT PILLAR MAPPING'!C486&lt;&gt;"", 'CONTENT PILLAR MAPPING'!E486&lt;&gt;"", 'CONTENT PILLAR MAPPING'!F486&lt;&gt;"", 'CONTENT PILLAR MAPPING'!C489&lt;&gt;"", 'CONTENT PILLAR MAPPING'!C494&lt;&gt;"", 'CONTENT PILLAR MAPPING'!D494&lt;&gt;"", 'CONTENT PILLAR MAPPING'!E494&lt;&gt;"", 'CONTENT PILLAR MAPPING'!D502&lt;&gt;"", 'CONTENT PILLAR MAPPING'!D503&lt;&gt;""),
CONCATENATE(
"Sebagai seorang top konten kreator dengan niche utama '", 'CONTENT PILLAR MAPPING'!C486, "', spesifik kategori '", 'CONTENT PILLAR MAPPING'!E486, "', dan super spesifik '", 'CONTENT PILLAR MAPPING'!F486, "', yang dikenal sebagai '", 'CONTENT PILLAR MAPPING'!C489, "'.", CHAR(10),
"Saya memiliki Tone of Voice: '", 'CONTENT PILLAR MAPPING'!C494, "', Brand Archetype: '", 'CONTENT PILLAR MAPPING'!D494, "', dan Deskripsi Gaya Komunikasi: '", 'CONTENT PILLAR MAPPING'!E494, "'.", CHAR(10),
"Target audiens saya adalah: '", 'CONTENT PILLAR MAPPING'!D502, "', dengan segmentasi audiens: '", 'CONTENT PILLAR MAPPING'!D503, "'.", CHAR(10), CHAR(10),
"Mohon buatkan script konten yang **sangat powerful, menarik, inovatif, dan siap pakai** dengan judul ide '", B584, "'.", CHAR(10),
"Konten ini memiliki pilar '", C584, "', nilai tambah utama '", F584, "', dan akan menggunakan storytelling framework '", G584, "'.", CHAR(10),
"Gambaran singkat ide kontennya adalah: '", J584, "'.", CHAR(10),
"Konten ini akan diunggah di platform '", E584, "' dengan format '", D584,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MAPPING'!C489, "'.** Sesuaikan dengan gaya komunikasi saya, dengan fokus pada nilai tambah '", F584,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MAPPING'!D502, ", khusus ", 'CONTENT PILLAR MAPPING'!D503, ") dan membantu mereka menyelesaikan masalah atau mencapai tujuan mereka.", CHAR(10),
"✔ Membantuku membangun personal branding yang kuat dan sustainable, sesuai dengan Positioning saya sebagai '", 'CONTENT PILLAR MAPPING'!C489, "' dan Brand Archetype '", 'CONTENT PILLAR MAPPING'!D494, "'.", CHAR(10),
"✔ Kemas dalam bentuk tabel agar rapi, mudah di baca dan dipahami, dengan kolom 'Judul Konten', 'Pilar', 'Format', 'Draft Script', 'CTA', 'Saran Visual', dan 'Full Caption'. (Kosongkan kolom Link Prompt jika ada)."
),
"")</f>
        <v/>
      </c>
      <c r="L584" s="199" t="n"/>
      <c r="M584" s="199" t="n"/>
      <c r="N584" s="102" t="n"/>
      <c r="O584" s="102" t="n"/>
      <c r="P584" s="102" t="n"/>
      <c r="Q584" s="102" t="n"/>
      <c r="R584" s="102" t="n"/>
      <c r="S584" s="102" t="n"/>
      <c r="T584" s="102" t="n"/>
      <c r="U584" s="102" t="n"/>
      <c r="V584" s="102" t="n"/>
      <c r="W584" s="102" t="n"/>
      <c r="X584" s="102" t="n"/>
      <c r="Y584" s="102" t="n"/>
      <c r="Z584" s="102" t="n"/>
      <c r="AA584" s="102" t="n"/>
      <c r="AB584" s="102" t="n"/>
      <c r="AC584" s="102" t="n"/>
      <c r="AD584" s="102" t="n"/>
    </row>
    <row r="585" ht="15.75" customHeight="1" s="205">
      <c r="A585" s="102" t="n"/>
      <c r="B585" s="142" t="n"/>
      <c r="C585" s="143" t="n"/>
      <c r="D585" s="143" t="n"/>
      <c r="E585" s="143" t="n"/>
      <c r="F585" s="143" t="n"/>
      <c r="G585" s="144" t="n"/>
      <c r="H585" s="145">
        <f>IF(K585&lt;&gt;"", HYPERLINK("https://chatgpt.com/?prompt=" &amp; SUBSTITUTE(SUBSTITUTE(K585, " ", "+"), "&amp;", "dan") &amp; "&amp;force-refresh=true&amp;timestamp=" &amp; TEXT(NOW(), "yyyymmddhhmmss"), "👉 Klik untuk Generate Script! 🔥"), "")</f>
        <v/>
      </c>
      <c r="I585" s="143" t="n"/>
      <c r="J585" s="146" t="n"/>
      <c r="K585" s="130">
        <f>IF(AND(B585&lt;&gt;"", C585&lt;&gt;"", D585&lt;&gt;"", E585&lt;&gt;"", F585&lt;&gt;"", G585&lt;&gt;"", J585&lt;&gt;"", 'CONTENT PILLAR MAPPING'!C488&lt;&gt;"", 'CONTENT PILLAR MAPPING'!E488&lt;&gt;"", 'CONTENT PILLAR MAPPING'!F488&lt;&gt;"", 'CONTENT PILLAR MAPPING'!C491&lt;&gt;"", 'CONTENT PILLAR MAPPING'!C496&lt;&gt;"", 'CONTENT PILLAR MAPPING'!D496&lt;&gt;"", 'CONTENT PILLAR MAPPING'!E496&lt;&gt;"", 'CONTENT PILLAR MAPPING'!D504&lt;&gt;"", 'CONTENT PILLAR MAPPING'!D505&lt;&gt;""),
CONCATENATE(
"Sebagai seorang top konten kreator dengan niche utama '", 'CONTENT PILLAR MAPPING'!C488, "', spesifik kategori '", 'CONTENT PILLAR MAPPING'!E488, "', dan super spesifik '", 'CONTENT PILLAR MAPPING'!F488, "', yang dikenal sebagai '", 'CONTENT PILLAR MAPPING'!C491, "'.", CHAR(10),
"Saya memiliki Tone of Voice: '", 'CONTENT PILLAR MAPPING'!C496, "', Brand Archetype: '", 'CONTENT PILLAR MAPPING'!D496, "', dan Deskripsi Gaya Komunikasi: '", 'CONTENT PILLAR MAPPING'!E496, "'.", CHAR(10),
"Target audiens saya adalah: '", 'CONTENT PILLAR MAPPING'!D504, "', dengan segmentasi audiens: '", 'CONTENT PILLAR MAPPING'!D505, "'.", CHAR(10), CHAR(10),
"Mohon buatkan script konten yang **sangat powerful, menarik, inovatif, dan siap pakai** dengan judul ide '", B585, "'.", CHAR(10),
"Konten ini memiliki pilar '", C585, "', nilai tambah utama '", F585, "', dan akan menggunakan storytelling framework '", G585, "'.", CHAR(10),
"Gambaran singkat ide kontennya adalah: '", J585, "'.", CHAR(10),
"Konten ini akan diunggah di platform '", E585, "' dengan format '", D585,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MAPPING'!C491, "'.** Sesuaikan dengan gaya komunikasi saya, dengan fokus pada nilai tambah '", F585,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MAPPING'!D504, ", khusus ", 'CONTENT PILLAR MAPPING'!D505, ") dan membantu mereka menyelesaikan masalah atau mencapai tujuan mereka.", CHAR(10),
"✔ Membantuku membangun personal branding yang kuat dan sustainable, sesuai dengan Positioning saya sebagai '", 'CONTENT PILLAR MAPPING'!C491, "' dan Brand Archetype '", 'CONTENT PILLAR MAPPING'!D496, "'.", CHAR(10),
"✔ Kemas dalam bentuk tabel agar rapi, mudah di baca dan dipahami, dengan kolom 'Judul Konten', 'Pilar', 'Format', 'Draft Script', 'CTA', 'Saran Visual', dan 'Full Caption'. (Kosongkan kolom Link Prompt jika ada)."
),
"")</f>
        <v/>
      </c>
      <c r="L585" s="91" t="n"/>
      <c r="M585" s="91" t="n"/>
      <c r="N585" s="102" t="n"/>
      <c r="O585" s="102" t="n"/>
      <c r="P585" s="102" t="n"/>
      <c r="Q585" s="102" t="n"/>
      <c r="R585" s="102" t="n"/>
      <c r="S585" s="102" t="n"/>
      <c r="T585" s="102" t="n"/>
      <c r="U585" s="102" t="n"/>
      <c r="V585" s="102" t="n"/>
      <c r="W585" s="102" t="n"/>
      <c r="X585" s="102" t="n"/>
      <c r="Y585" s="102" t="n"/>
      <c r="Z585" s="102" t="n"/>
      <c r="AA585" s="102" t="n"/>
      <c r="AB585" s="102" t="n"/>
      <c r="AC585" s="102" t="n"/>
      <c r="AD585" s="102" t="n"/>
    </row>
    <row r="586" ht="15.75" customHeight="1" s="205">
      <c r="A586" s="102" t="n"/>
      <c r="B586" s="147" t="n"/>
      <c r="C586" s="144" t="n"/>
      <c r="D586" s="144" t="n"/>
      <c r="E586" s="144" t="n"/>
      <c r="F586" s="144" t="n"/>
      <c r="G586" s="144" t="n"/>
      <c r="H586" s="141">
        <f>IF(K586&lt;&gt;"", HYPERLINK("https://chatgpt.com/?prompt=" &amp; SUBSTITUTE(SUBSTITUTE(K586, " ", "+"), "&amp;", "dan") &amp; "&amp;force-refresh=true&amp;timestamp=" &amp; TEXT(NOW(), "yyyymmddhhmmss"), "👉 Klik untuk Generate Script! 🔥"), "")</f>
        <v/>
      </c>
      <c r="I586" s="144" t="n"/>
      <c r="J586" s="148" t="n"/>
      <c r="K586" s="140">
        <f>IF(AND(B586&lt;&gt;"", C586&lt;&gt;"", D586&lt;&gt;"", E586&lt;&gt;"", F586&lt;&gt;"", G586&lt;&gt;"", J586&lt;&gt;"", 'CONTENT PILLAR MAPPING'!C488&lt;&gt;"", 'CONTENT PILLAR MAPPING'!E488&lt;&gt;"", 'CONTENT PILLAR MAPPING'!F488&lt;&gt;"", 'CONTENT PILLAR MAPPING'!C491&lt;&gt;"", 'CONTENT PILLAR MAPPING'!C496&lt;&gt;"", 'CONTENT PILLAR MAPPING'!D496&lt;&gt;"", 'CONTENT PILLAR MAPPING'!E496&lt;&gt;"", 'CONTENT PILLAR MAPPING'!D504&lt;&gt;"", 'CONTENT PILLAR MAPPING'!D505&lt;&gt;""),
CONCATENATE(
"Sebagai seorang top konten kreator dengan niche utama '", 'CONTENT PILLAR MAPPING'!C488, "', spesifik kategori '", 'CONTENT PILLAR MAPPING'!E488, "', dan super spesifik '", 'CONTENT PILLAR MAPPING'!F488, "', yang dikenal sebagai '", 'CONTENT PILLAR MAPPING'!C491, "'.", CHAR(10),
"Saya memiliki Tone of Voice: '", 'CONTENT PILLAR MAPPING'!C496, "', Brand Archetype: '", 'CONTENT PILLAR MAPPING'!D496, "', dan Deskripsi Gaya Komunikasi: '", 'CONTENT PILLAR MAPPING'!E496, "'.", CHAR(10),
"Target audiens saya adalah: '", 'CONTENT PILLAR MAPPING'!D504, "', dengan segmentasi audiens: '", 'CONTENT PILLAR MAPPING'!D505, "'.", CHAR(10), CHAR(10),
"Mohon buatkan script konten yang **sangat powerful, menarik, inovatif, dan siap pakai** dengan judul ide '", B586, "'.", CHAR(10),
"Konten ini memiliki pilar '", C586, "', nilai tambah utama '", F586, "', dan akan menggunakan storytelling framework '", G586, "'.", CHAR(10),
"Gambaran singkat ide kontennya adalah: '", J586, "'.", CHAR(10),
"Konten ini akan diunggah di platform '", E586, "' dengan format '", D586,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MAPPING'!C491, "'.** Sesuaikan dengan gaya komunikasi saya, dengan fokus pada nilai tambah '", F586,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MAPPING'!D504, ", khusus ", 'CONTENT PILLAR MAPPING'!D505, ") dan membantu mereka menyelesaikan masalah atau mencapai tujuan mereka.", CHAR(10),
"✔ Membantuku membangun personal branding yang kuat dan sustainable, sesuai dengan Positioning saya sebagai '", 'CONTENT PILLAR MAPPING'!C491, "' dan Brand Archetype '", 'CONTENT PILLAR MAPPING'!D496, "'.", CHAR(10),
"✔ Kemas dalam bentuk tabel agar rapi, mudah di baca dan dipahami, dengan kolom 'Judul Konten', 'Pilar', 'Format', 'Draft Script', 'CTA', 'Saran Visual', dan 'Full Caption'. (Kosongkan kolom Link Prompt jika ada)."
),
"")</f>
        <v/>
      </c>
      <c r="L586" s="199" t="n"/>
      <c r="M586" s="199" t="n"/>
      <c r="N586" s="102" t="n"/>
      <c r="O586" s="102" t="n"/>
      <c r="P586" s="102" t="n"/>
      <c r="Q586" s="102" t="n"/>
      <c r="R586" s="102" t="n"/>
      <c r="S586" s="102" t="n"/>
      <c r="T586" s="102" t="n"/>
      <c r="U586" s="102" t="n"/>
      <c r="V586" s="102" t="n"/>
      <c r="W586" s="102" t="n"/>
      <c r="X586" s="102" t="n"/>
      <c r="Y586" s="102" t="n"/>
      <c r="Z586" s="102" t="n"/>
      <c r="AA586" s="102" t="n"/>
      <c r="AB586" s="102" t="n"/>
      <c r="AC586" s="102" t="n"/>
      <c r="AD586" s="102" t="n"/>
    </row>
    <row r="587" ht="15.75" customHeight="1" s="205">
      <c r="A587" s="102" t="n"/>
      <c r="B587" s="142" t="n"/>
      <c r="C587" s="143" t="n"/>
      <c r="D587" s="143" t="n"/>
      <c r="E587" s="143" t="n"/>
      <c r="F587" s="143" t="n"/>
      <c r="G587" s="144" t="n"/>
      <c r="H587" s="145">
        <f>IF(K587&lt;&gt;"", HYPERLINK("https://chatgpt.com/?prompt=" &amp; SUBSTITUTE(SUBSTITUTE(K587, " ", "+"), "&amp;", "dan") &amp; "&amp;force-refresh=true&amp;timestamp=" &amp; TEXT(NOW(), "yyyymmddhhmmss"), "👉 Klik untuk Generate Script! 🔥"), "")</f>
        <v/>
      </c>
      <c r="I587" s="143" t="n"/>
      <c r="J587" s="146" t="n"/>
      <c r="K587" s="130">
        <f>IF(AND(B587&lt;&gt;"", C587&lt;&gt;"", D587&lt;&gt;"", E587&lt;&gt;"", F587&lt;&gt;"", G587&lt;&gt;"", J587&lt;&gt;"", 'CONTENT PILLAR MAPPING'!C490&lt;&gt;"", 'CONTENT PILLAR MAPPING'!E490&lt;&gt;"", 'CONTENT PILLAR MAPPING'!F490&lt;&gt;"", 'CONTENT PILLAR MAPPING'!C493&lt;&gt;"", 'CONTENT PILLAR MAPPING'!C498&lt;&gt;"", 'CONTENT PILLAR MAPPING'!D498&lt;&gt;"", 'CONTENT PILLAR MAPPING'!E498&lt;&gt;"", 'CONTENT PILLAR MAPPING'!D506&lt;&gt;"", 'CONTENT PILLAR MAPPING'!D507&lt;&gt;""),
CONCATENATE(
"Sebagai seorang top konten kreator dengan niche utama '", 'CONTENT PILLAR MAPPING'!C490, "', spesifik kategori '", 'CONTENT PILLAR MAPPING'!E490, "', dan super spesifik '", 'CONTENT PILLAR MAPPING'!F490, "', yang dikenal sebagai '", 'CONTENT PILLAR MAPPING'!C493, "'.", CHAR(10),
"Saya memiliki Tone of Voice: '", 'CONTENT PILLAR MAPPING'!C498, "', Brand Archetype: '", 'CONTENT PILLAR MAPPING'!D498, "', dan Deskripsi Gaya Komunikasi: '", 'CONTENT PILLAR MAPPING'!E498, "'.", CHAR(10),
"Target audiens saya adalah: '", 'CONTENT PILLAR MAPPING'!D506, "', dengan segmentasi audiens: '", 'CONTENT PILLAR MAPPING'!D507, "'.", CHAR(10), CHAR(10),
"Mohon buatkan script konten yang **sangat powerful, menarik, inovatif, dan siap pakai** dengan judul ide '", B587, "'.", CHAR(10),
"Konten ini memiliki pilar '", C587, "', nilai tambah utama '", F587, "', dan akan menggunakan storytelling framework '", G587, "'.", CHAR(10),
"Gambaran singkat ide kontennya adalah: '", J587, "'.", CHAR(10),
"Konten ini akan diunggah di platform '", E587, "' dengan format '", D587,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MAPPING'!C493, "'.** Sesuaikan dengan gaya komunikasi saya, dengan fokus pada nilai tambah '", F587,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MAPPING'!D506, ", khusus ", 'CONTENT PILLAR MAPPING'!D507, ") dan membantu mereka menyelesaikan masalah atau mencapai tujuan mereka.", CHAR(10),
"✔ Membantuku membangun personal branding yang kuat dan sustainable, sesuai dengan Positioning saya sebagai '", 'CONTENT PILLAR MAPPING'!C493, "' dan Brand Archetype '", 'CONTENT PILLAR MAPPING'!D498, "'.", CHAR(10),
"✔ Kemas dalam bentuk tabel agar rapi, mudah di baca dan dipahami, dengan kolom 'Judul Konten', 'Pilar', 'Format', 'Draft Script', 'CTA', 'Saran Visual', dan 'Full Caption'. (Kosongkan kolom Link Prompt jika ada)."
),
"")</f>
        <v/>
      </c>
      <c r="L587" s="91" t="n"/>
      <c r="M587" s="91" t="n"/>
      <c r="N587" s="102" t="n"/>
      <c r="O587" s="102" t="n"/>
      <c r="P587" s="102" t="n"/>
      <c r="Q587" s="102" t="n"/>
      <c r="R587" s="102" t="n"/>
      <c r="S587" s="102" t="n"/>
      <c r="T587" s="102" t="n"/>
      <c r="U587" s="102" t="n"/>
      <c r="V587" s="102" t="n"/>
      <c r="W587" s="102" t="n"/>
      <c r="X587" s="102" t="n"/>
      <c r="Y587" s="102" t="n"/>
      <c r="Z587" s="102" t="n"/>
      <c r="AA587" s="102" t="n"/>
      <c r="AB587" s="102" t="n"/>
      <c r="AC587" s="102" t="n"/>
      <c r="AD587" s="102" t="n"/>
    </row>
    <row r="588" ht="15.75" customHeight="1" s="205">
      <c r="A588" s="102" t="n"/>
      <c r="B588" s="147" t="n"/>
      <c r="C588" s="144" t="n"/>
      <c r="D588" s="144" t="n"/>
      <c r="E588" s="144" t="n"/>
      <c r="F588" s="144" t="n"/>
      <c r="G588" s="144" t="n"/>
      <c r="H588" s="141">
        <f>IF(K588&lt;&gt;"", HYPERLINK("https://chatgpt.com/?prompt=" &amp; SUBSTITUTE(SUBSTITUTE(K588, " ", "+"), "&amp;", "dan") &amp; "&amp;force-refresh=true&amp;timestamp=" &amp; TEXT(NOW(), "yyyymmddhhmmss"), "👉 Klik untuk Generate Script! 🔥"), "")</f>
        <v/>
      </c>
      <c r="I588" s="144" t="n"/>
      <c r="J588" s="148" t="n"/>
      <c r="K588" s="140">
        <f>IF(AND(B588&lt;&gt;"", C588&lt;&gt;"", D588&lt;&gt;"", E588&lt;&gt;"", F588&lt;&gt;"", G588&lt;&gt;"", J588&lt;&gt;"", 'CONTENT PILLAR MAPPING'!C490&lt;&gt;"", 'CONTENT PILLAR MAPPING'!E490&lt;&gt;"", 'CONTENT PILLAR MAPPING'!F490&lt;&gt;"", 'CONTENT PILLAR MAPPING'!C493&lt;&gt;"", 'CONTENT PILLAR MAPPING'!C498&lt;&gt;"", 'CONTENT PILLAR MAPPING'!D498&lt;&gt;"", 'CONTENT PILLAR MAPPING'!E498&lt;&gt;"", 'CONTENT PILLAR MAPPING'!D506&lt;&gt;"", 'CONTENT PILLAR MAPPING'!D507&lt;&gt;""),
CONCATENATE(
"Sebagai seorang top konten kreator dengan niche utama '", 'CONTENT PILLAR MAPPING'!C490, "', spesifik kategori '", 'CONTENT PILLAR MAPPING'!E490, "', dan super spesifik '", 'CONTENT PILLAR MAPPING'!F490, "', yang dikenal sebagai '", 'CONTENT PILLAR MAPPING'!C493, "'.", CHAR(10),
"Saya memiliki Tone of Voice: '", 'CONTENT PILLAR MAPPING'!C498, "', Brand Archetype: '", 'CONTENT PILLAR MAPPING'!D498, "', dan Deskripsi Gaya Komunikasi: '", 'CONTENT PILLAR MAPPING'!E498, "'.", CHAR(10),
"Target audiens saya adalah: '", 'CONTENT PILLAR MAPPING'!D506, "', dengan segmentasi audiens: '", 'CONTENT PILLAR MAPPING'!D507, "'.", CHAR(10), CHAR(10),
"Mohon buatkan script konten yang **sangat powerful, menarik, inovatif, dan siap pakai** dengan judul ide '", B588, "'.", CHAR(10),
"Konten ini memiliki pilar '", C588, "', nilai tambah utama '", F588, "', dan akan menggunakan storytelling framework '", G588, "'.", CHAR(10),
"Gambaran singkat ide kontennya adalah: '", J588, "'.", CHAR(10),
"Konten ini akan diunggah di platform '", E588, "' dengan format '", D588,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MAPPING'!C493, "'.** Sesuaikan dengan gaya komunikasi saya, dengan fokus pada nilai tambah '", F588,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MAPPING'!D506, ", khusus ", 'CONTENT PILLAR MAPPING'!D507, ") dan membantu mereka menyelesaikan masalah atau mencapai tujuan mereka.", CHAR(10),
"✔ Membantuku membangun personal branding yang kuat dan sustainable, sesuai dengan Positioning saya sebagai '", 'CONTENT PILLAR MAPPING'!C493, "' dan Brand Archetype '", 'CONTENT PILLAR MAPPING'!D498, "'.", CHAR(10),
"✔ Kemas dalam bentuk tabel agar rapi, mudah di baca dan dipahami, dengan kolom 'Judul Konten', 'Pilar', 'Format', 'Draft Script', 'CTA', 'Saran Visual', dan 'Full Caption'. (Kosongkan kolom Link Prompt jika ada)."
),
"")</f>
        <v/>
      </c>
      <c r="L588" s="199" t="n"/>
      <c r="M588" s="199" t="n"/>
      <c r="N588" s="102" t="n"/>
      <c r="O588" s="102" t="n"/>
      <c r="P588" s="102" t="n"/>
      <c r="Q588" s="102" t="n"/>
      <c r="R588" s="102" t="n"/>
      <c r="S588" s="102" t="n"/>
      <c r="T588" s="102" t="n"/>
      <c r="U588" s="102" t="n"/>
      <c r="V588" s="102" t="n"/>
      <c r="W588" s="102" t="n"/>
      <c r="X588" s="102" t="n"/>
      <c r="Y588" s="102" t="n"/>
      <c r="Z588" s="102" t="n"/>
      <c r="AA588" s="102" t="n"/>
      <c r="AB588" s="102" t="n"/>
      <c r="AC588" s="102" t="n"/>
      <c r="AD588" s="102" t="n"/>
    </row>
    <row r="589" ht="15.75" customHeight="1" s="205">
      <c r="A589" s="102" t="n"/>
      <c r="B589" s="142" t="n"/>
      <c r="C589" s="143" t="n"/>
      <c r="D589" s="143" t="n"/>
      <c r="E589" s="143" t="n"/>
      <c r="F589" s="143" t="n"/>
      <c r="G589" s="144" t="n"/>
      <c r="H589" s="145">
        <f>IF(K589&lt;&gt;"", HYPERLINK("https://chatgpt.com/?prompt=" &amp; SUBSTITUTE(SUBSTITUTE(K589, " ", "+"), "&amp;", "dan") &amp; "&amp;force-refresh=true&amp;timestamp=" &amp; TEXT(NOW(), "yyyymmddhhmmss"), "👉 Klik untuk Generate Script! 🔥"), "")</f>
        <v/>
      </c>
      <c r="I589" s="143" t="n"/>
      <c r="J589" s="146" t="n"/>
      <c r="K589" s="130">
        <f>IF(AND(B589&lt;&gt;"", C589&lt;&gt;"", D589&lt;&gt;"", E589&lt;&gt;"", F589&lt;&gt;"", G589&lt;&gt;"", J589&lt;&gt;"", 'CONTENT PILLAR MAPPING'!C492&lt;&gt;"", 'CONTENT PILLAR MAPPING'!E492&lt;&gt;"", 'CONTENT PILLAR MAPPING'!F492&lt;&gt;"", 'CONTENT PILLAR MAPPING'!C495&lt;&gt;"", 'CONTENT PILLAR MAPPING'!C500&lt;&gt;"", 'CONTENT PILLAR MAPPING'!D500&lt;&gt;"", 'CONTENT PILLAR MAPPING'!E500&lt;&gt;"", 'CONTENT PILLAR MAPPING'!D508&lt;&gt;"", 'CONTENT PILLAR MAPPING'!D509&lt;&gt;""),
CONCATENATE(
"Sebagai seorang top konten kreator dengan niche utama '", 'CONTENT PILLAR MAPPING'!C492, "', spesifik kategori '", 'CONTENT PILLAR MAPPING'!E492, "', dan super spesifik '", 'CONTENT PILLAR MAPPING'!F492, "', yang dikenal sebagai '", 'CONTENT PILLAR MAPPING'!C495, "'.", CHAR(10),
"Saya memiliki Tone of Voice: '", 'CONTENT PILLAR MAPPING'!C500, "', Brand Archetype: '", 'CONTENT PILLAR MAPPING'!D500, "', dan Deskripsi Gaya Komunikasi: '", 'CONTENT PILLAR MAPPING'!E500, "'.", CHAR(10),
"Target audiens saya adalah: '", 'CONTENT PILLAR MAPPING'!D508, "', dengan segmentasi audiens: '", 'CONTENT PILLAR MAPPING'!D509, "'.", CHAR(10), CHAR(10),
"Mohon buatkan script konten yang **sangat powerful, menarik, inovatif, dan siap pakai** dengan judul ide '", B589, "'.", CHAR(10),
"Konten ini memiliki pilar '", C589, "', nilai tambah utama '", F589, "', dan akan menggunakan storytelling framework '", G589, "'.", CHAR(10),
"Gambaran singkat ide kontennya adalah: '", J589, "'.", CHAR(10),
"Konten ini akan diunggah di platform '", E589, "' dengan format '", D589,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MAPPING'!C495, "'.** Sesuaikan dengan gaya komunikasi saya, dengan fokus pada nilai tambah '", F589,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MAPPING'!D508, ", khusus ", 'CONTENT PILLAR MAPPING'!D509, ") dan membantu mereka menyelesaikan masalah atau mencapai tujuan mereka.", CHAR(10),
"✔ Membantuku membangun personal branding yang kuat dan sustainable, sesuai dengan Positioning saya sebagai '", 'CONTENT PILLAR MAPPING'!C495, "' dan Brand Archetype '", 'CONTENT PILLAR MAPPING'!D500, "'.", CHAR(10),
"✔ Kemas dalam bentuk tabel agar rapi, mudah di baca dan dipahami, dengan kolom 'Judul Konten', 'Pilar', 'Format', 'Draft Script', 'CTA', 'Saran Visual', dan 'Full Caption'. (Kosongkan kolom Link Prompt jika ada)."
),
"")</f>
        <v/>
      </c>
      <c r="L589" s="91" t="n"/>
      <c r="M589" s="91" t="n"/>
      <c r="N589" s="102" t="n"/>
      <c r="O589" s="102" t="n"/>
      <c r="P589" s="102" t="n"/>
      <c r="Q589" s="102" t="n"/>
      <c r="R589" s="102" t="n"/>
      <c r="S589" s="102" t="n"/>
      <c r="T589" s="102" t="n"/>
      <c r="U589" s="102" t="n"/>
      <c r="V589" s="102" t="n"/>
      <c r="W589" s="102" t="n"/>
      <c r="X589" s="102" t="n"/>
      <c r="Y589" s="102" t="n"/>
      <c r="Z589" s="102" t="n"/>
      <c r="AA589" s="102" t="n"/>
      <c r="AB589" s="102" t="n"/>
      <c r="AC589" s="102" t="n"/>
      <c r="AD589" s="102" t="n"/>
    </row>
    <row r="590" ht="15.75" customHeight="1" s="205">
      <c r="A590" s="102" t="n"/>
      <c r="B590" s="147" t="n"/>
      <c r="C590" s="144" t="n"/>
      <c r="D590" s="144" t="n"/>
      <c r="E590" s="144" t="n"/>
      <c r="F590" s="144" t="n"/>
      <c r="G590" s="144" t="n"/>
      <c r="H590" s="141">
        <f>IF(K590&lt;&gt;"", HYPERLINK("https://chatgpt.com/?prompt=" &amp; SUBSTITUTE(SUBSTITUTE(K590, " ", "+"), "&amp;", "dan") &amp; "&amp;force-refresh=true&amp;timestamp=" &amp; TEXT(NOW(), "yyyymmddhhmmss"), "👉 Klik untuk Generate Script! 🔥"), "")</f>
        <v/>
      </c>
      <c r="I590" s="144" t="n"/>
      <c r="J590" s="148" t="n"/>
      <c r="K590" s="140">
        <f>IF(AND(B590&lt;&gt;"", C590&lt;&gt;"", D590&lt;&gt;"", E590&lt;&gt;"", F590&lt;&gt;"", G590&lt;&gt;"", J590&lt;&gt;"", 'CONTENT PILLAR MAPPING'!C492&lt;&gt;"", 'CONTENT PILLAR MAPPING'!E492&lt;&gt;"", 'CONTENT PILLAR MAPPING'!F492&lt;&gt;"", 'CONTENT PILLAR MAPPING'!C495&lt;&gt;"", 'CONTENT PILLAR MAPPING'!C500&lt;&gt;"", 'CONTENT PILLAR MAPPING'!D500&lt;&gt;"", 'CONTENT PILLAR MAPPING'!E500&lt;&gt;"", 'CONTENT PILLAR MAPPING'!D508&lt;&gt;"", 'CONTENT PILLAR MAPPING'!D509&lt;&gt;""),
CONCATENATE(
"Sebagai seorang top konten kreator dengan niche utama '", 'CONTENT PILLAR MAPPING'!C492, "', spesifik kategori '", 'CONTENT PILLAR MAPPING'!E492, "', dan super spesifik '", 'CONTENT PILLAR MAPPING'!F492, "', yang dikenal sebagai '", 'CONTENT PILLAR MAPPING'!C495, "'.", CHAR(10),
"Saya memiliki Tone of Voice: '", 'CONTENT PILLAR MAPPING'!C500, "', Brand Archetype: '", 'CONTENT PILLAR MAPPING'!D500, "', dan Deskripsi Gaya Komunikasi: '", 'CONTENT PILLAR MAPPING'!E500, "'.", CHAR(10),
"Target audiens saya adalah: '", 'CONTENT PILLAR MAPPING'!D508, "', dengan segmentasi audiens: '", 'CONTENT PILLAR MAPPING'!D509, "'.", CHAR(10), CHAR(10),
"Mohon buatkan script konten yang **sangat powerful, menarik, inovatif, dan siap pakai** dengan judul ide '", B590, "'.", CHAR(10),
"Konten ini memiliki pilar '", C590, "', nilai tambah utama '", F590, "', dan akan menggunakan storytelling framework '", G590, "'.", CHAR(10),
"Gambaran singkat ide kontennya adalah: '", J590, "'.", CHAR(10),
"Konten ini akan diunggah di platform '", E590, "' dengan format '", D590,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MAPPING'!C495, "'.** Sesuaikan dengan gaya komunikasi saya, dengan fokus pada nilai tambah '", F590,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MAPPING'!D508, ", khusus ", 'CONTENT PILLAR MAPPING'!D509, ") dan membantu mereka menyelesaikan masalah atau mencapai tujuan mereka.", CHAR(10),
"✔ Membantuku membangun personal branding yang kuat dan sustainable, sesuai dengan Positioning saya sebagai '", 'CONTENT PILLAR MAPPING'!C495, "' dan Brand Archetype '", 'CONTENT PILLAR MAPPING'!D500, "'.", CHAR(10),
"✔ Kemas dalam bentuk tabel agar rapi, mudah di baca dan dipahami, dengan kolom 'Judul Konten', 'Pilar', 'Format', 'Draft Script', 'CTA', 'Saran Visual', dan 'Full Caption'. (Kosongkan kolom Link Prompt jika ada)."
),
"")</f>
        <v/>
      </c>
      <c r="L590" s="199" t="n"/>
      <c r="M590" s="199" t="n"/>
      <c r="N590" s="102" t="n"/>
      <c r="O590" s="102" t="n"/>
      <c r="P590" s="102" t="n"/>
      <c r="Q590" s="102" t="n"/>
      <c r="R590" s="102" t="n"/>
      <c r="S590" s="102" t="n"/>
      <c r="T590" s="102" t="n"/>
      <c r="U590" s="102" t="n"/>
      <c r="V590" s="102" t="n"/>
      <c r="W590" s="102" t="n"/>
      <c r="X590" s="102" t="n"/>
      <c r="Y590" s="102" t="n"/>
      <c r="Z590" s="102" t="n"/>
      <c r="AA590" s="102" t="n"/>
      <c r="AB590" s="102" t="n"/>
      <c r="AC590" s="102" t="n"/>
      <c r="AD590" s="102" t="n"/>
    </row>
    <row r="591" ht="15.75" customHeight="1" s="205">
      <c r="A591" s="102" t="n"/>
      <c r="B591" s="142" t="n"/>
      <c r="C591" s="143" t="n"/>
      <c r="D591" s="143" t="n"/>
      <c r="E591" s="143" t="n"/>
      <c r="F591" s="143" t="n"/>
      <c r="G591" s="144" t="n"/>
      <c r="H591" s="145">
        <f>IF(K591&lt;&gt;"", HYPERLINK("https://chatgpt.com/?prompt=" &amp; SUBSTITUTE(SUBSTITUTE(K591, " ", "+"), "&amp;", "dan") &amp; "&amp;force-refresh=true&amp;timestamp=" &amp; TEXT(NOW(), "yyyymmddhhmmss"), "👉 Klik untuk Generate Script! 🔥"), "")</f>
        <v/>
      </c>
      <c r="I591" s="143" t="n"/>
      <c r="J591" s="146" t="n"/>
      <c r="K591" s="130">
        <f>IF(AND(B591&lt;&gt;"", C591&lt;&gt;"", D591&lt;&gt;"", E591&lt;&gt;"", F591&lt;&gt;"", G591&lt;&gt;"", J591&lt;&gt;"", 'CONTENT PILLAR MAPPING'!C494&lt;&gt;"", 'CONTENT PILLAR MAPPING'!E494&lt;&gt;"", 'CONTENT PILLAR MAPPING'!F494&lt;&gt;"", 'CONTENT PILLAR MAPPING'!C497&lt;&gt;"", 'CONTENT PILLAR MAPPING'!C502&lt;&gt;"", 'CONTENT PILLAR MAPPING'!D502&lt;&gt;"", 'CONTENT PILLAR MAPPING'!E502&lt;&gt;"", 'CONTENT PILLAR MAPPING'!D510&lt;&gt;"", 'CONTENT PILLAR MAPPING'!D511&lt;&gt;""),
CONCATENATE(
"Sebagai seorang top konten kreator dengan niche utama '", 'CONTENT PILLAR MAPPING'!C494, "', spesifik kategori '", 'CONTENT PILLAR MAPPING'!E494, "', dan super spesifik '", 'CONTENT PILLAR MAPPING'!F494, "', yang dikenal sebagai '", 'CONTENT PILLAR MAPPING'!C497, "'.", CHAR(10),
"Saya memiliki Tone of Voice: '", 'CONTENT PILLAR MAPPING'!C502, "', Brand Archetype: '", 'CONTENT PILLAR MAPPING'!D502, "', dan Deskripsi Gaya Komunikasi: '", 'CONTENT PILLAR MAPPING'!E502, "'.", CHAR(10),
"Target audiens saya adalah: '", 'CONTENT PILLAR MAPPING'!D510, "', dengan segmentasi audiens: '", 'CONTENT PILLAR MAPPING'!D511, "'.", CHAR(10), CHAR(10),
"Mohon buatkan script konten yang **sangat powerful, menarik, inovatif, dan siap pakai** dengan judul ide '", B591, "'.", CHAR(10),
"Konten ini memiliki pilar '", C591, "', nilai tambah utama '", F591, "', dan akan menggunakan storytelling framework '", G591, "'.", CHAR(10),
"Gambaran singkat ide kontennya adalah: '", J591, "'.", CHAR(10),
"Konten ini akan diunggah di platform '", E591, "' dengan format '", D591,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MAPPING'!C497, "'.** Sesuaikan dengan gaya komunikasi saya, dengan fokus pada nilai tambah '", F591,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MAPPING'!D510, ", khusus ", 'CONTENT PILLAR MAPPING'!D511, ") dan membantu mereka menyelesaikan masalah atau mencapai tujuan mereka.", CHAR(10),
"✔ Membantuku membangun personal branding yang kuat dan sustainable, sesuai dengan Positioning saya sebagai '", 'CONTENT PILLAR MAPPING'!C497, "' dan Brand Archetype '", 'CONTENT PILLAR MAPPING'!D502, "'.", CHAR(10),
"✔ Kemas dalam bentuk tabel agar rapi, mudah di baca dan dipahami, dengan kolom 'Judul Konten', 'Pilar', 'Format', 'Draft Script', 'CTA', 'Saran Visual', dan 'Full Caption'. (Kosongkan kolom Link Prompt jika ada)."
),
"")</f>
        <v/>
      </c>
      <c r="L591" s="91" t="n"/>
      <c r="M591" s="91" t="n"/>
      <c r="N591" s="102" t="n"/>
      <c r="O591" s="102" t="n"/>
      <c r="P591" s="102" t="n"/>
      <c r="Q591" s="102" t="n"/>
      <c r="R591" s="102" t="n"/>
      <c r="S591" s="102" t="n"/>
      <c r="T591" s="102" t="n"/>
      <c r="U591" s="102" t="n"/>
      <c r="V591" s="102" t="n"/>
      <c r="W591" s="102" t="n"/>
      <c r="X591" s="102" t="n"/>
      <c r="Y591" s="102" t="n"/>
      <c r="Z591" s="102" t="n"/>
      <c r="AA591" s="102" t="n"/>
      <c r="AB591" s="102" t="n"/>
      <c r="AC591" s="102" t="n"/>
      <c r="AD591" s="102" t="n"/>
    </row>
    <row r="592" ht="15.75" customHeight="1" s="205">
      <c r="A592" s="102" t="n"/>
      <c r="B592" s="147" t="n"/>
      <c r="C592" s="144" t="n"/>
      <c r="D592" s="144" t="n"/>
      <c r="E592" s="144" t="n"/>
      <c r="F592" s="144" t="n"/>
      <c r="G592" s="144" t="n"/>
      <c r="H592" s="141">
        <f>IF(K592&lt;&gt;"", HYPERLINK("https://chatgpt.com/?prompt=" &amp; SUBSTITUTE(SUBSTITUTE(K592, " ", "+"), "&amp;", "dan") &amp; "&amp;force-refresh=true&amp;timestamp=" &amp; TEXT(NOW(), "yyyymmddhhmmss"), "👉 Klik untuk Generate Script! 🔥"), "")</f>
        <v/>
      </c>
      <c r="I592" s="144" t="n"/>
      <c r="J592" s="148" t="n"/>
      <c r="K592" s="140">
        <f>IF(AND(B592&lt;&gt;"", C592&lt;&gt;"", D592&lt;&gt;"", E592&lt;&gt;"", F592&lt;&gt;"", G592&lt;&gt;"", J592&lt;&gt;"", 'CONTENT PILLAR MAPPING'!C494&lt;&gt;"", 'CONTENT PILLAR MAPPING'!E494&lt;&gt;"", 'CONTENT PILLAR MAPPING'!F494&lt;&gt;"", 'CONTENT PILLAR MAPPING'!C497&lt;&gt;"", 'CONTENT PILLAR MAPPING'!C502&lt;&gt;"", 'CONTENT PILLAR MAPPING'!D502&lt;&gt;"", 'CONTENT PILLAR MAPPING'!E502&lt;&gt;"", 'CONTENT PILLAR MAPPING'!D510&lt;&gt;"", 'CONTENT PILLAR MAPPING'!D511&lt;&gt;""),
CONCATENATE(
"Sebagai seorang top konten kreator dengan niche utama '", 'CONTENT PILLAR MAPPING'!C494, "', spesifik kategori '", 'CONTENT PILLAR MAPPING'!E494, "', dan super spesifik '", 'CONTENT PILLAR MAPPING'!F494, "', yang dikenal sebagai '", 'CONTENT PILLAR MAPPING'!C497, "'.", CHAR(10),
"Saya memiliki Tone of Voice: '", 'CONTENT PILLAR MAPPING'!C502, "', Brand Archetype: '", 'CONTENT PILLAR MAPPING'!D502, "', dan Deskripsi Gaya Komunikasi: '", 'CONTENT PILLAR MAPPING'!E502, "'.", CHAR(10),
"Target audiens saya adalah: '", 'CONTENT PILLAR MAPPING'!D510, "', dengan segmentasi audiens: '", 'CONTENT PILLAR MAPPING'!D511, "'.", CHAR(10), CHAR(10),
"Mohon buatkan script konten yang **sangat powerful, menarik, inovatif, dan siap pakai** dengan judul ide '", B592, "'.", CHAR(10),
"Konten ini memiliki pilar '", C592, "', nilai tambah utama '", F592, "', dan akan menggunakan storytelling framework '", G592, "'.", CHAR(10),
"Gambaran singkat ide kontennya adalah: '", J592, "'.", CHAR(10),
"Konten ini akan diunggah di platform '", E592, "' dengan format '", D592,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MAPPING'!C497, "'.** Sesuaikan dengan gaya komunikasi saya, dengan fokus pada nilai tambah '", F592,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MAPPING'!D510, ", khusus ", 'CONTENT PILLAR MAPPING'!D511, ") dan membantu mereka menyelesaikan masalah atau mencapai tujuan mereka.", CHAR(10),
"✔ Membantuku membangun personal branding yang kuat dan sustainable, sesuai dengan Positioning saya sebagai '", 'CONTENT PILLAR MAPPING'!C497, "' dan Brand Archetype '", 'CONTENT PILLAR MAPPING'!D502, "'.", CHAR(10),
"✔ Kemas dalam bentuk tabel agar rapi, mudah di baca dan dipahami, dengan kolom 'Judul Konten', 'Pilar', 'Format', 'Draft Script', 'CTA', 'Saran Visual', dan 'Full Caption'. (Kosongkan kolom Link Prompt jika ada)."
),
"")</f>
        <v/>
      </c>
      <c r="L592" s="199" t="n"/>
      <c r="M592" s="199" t="n"/>
      <c r="N592" s="102" t="n"/>
      <c r="O592" s="102" t="n"/>
      <c r="P592" s="102" t="n"/>
      <c r="Q592" s="102" t="n"/>
      <c r="R592" s="102" t="n"/>
      <c r="S592" s="102" t="n"/>
      <c r="T592" s="102" t="n"/>
      <c r="U592" s="102" t="n"/>
      <c r="V592" s="102" t="n"/>
      <c r="W592" s="102" t="n"/>
      <c r="X592" s="102" t="n"/>
      <c r="Y592" s="102" t="n"/>
      <c r="Z592" s="102" t="n"/>
      <c r="AA592" s="102" t="n"/>
      <c r="AB592" s="102" t="n"/>
      <c r="AC592" s="102" t="n"/>
      <c r="AD592" s="102" t="n"/>
    </row>
    <row r="593" ht="15.75" customHeight="1" s="205">
      <c r="A593" s="102" t="n"/>
      <c r="B593" s="142" t="n"/>
      <c r="C593" s="143" t="n"/>
      <c r="D593" s="143" t="n"/>
      <c r="E593" s="143" t="n"/>
      <c r="F593" s="143" t="n"/>
      <c r="G593" s="144" t="n"/>
      <c r="H593" s="145">
        <f>IF(K593&lt;&gt;"", HYPERLINK("https://chatgpt.com/?prompt=" &amp; SUBSTITUTE(SUBSTITUTE(K593, " ", "+"), "&amp;", "dan") &amp; "&amp;force-refresh=true&amp;timestamp=" &amp; TEXT(NOW(), "yyyymmddhhmmss"), "👉 Klik untuk Generate Script! 🔥"), "")</f>
        <v/>
      </c>
      <c r="I593" s="143" t="n"/>
      <c r="J593" s="146" t="n"/>
      <c r="K593" s="130">
        <f>IF(AND(B593&lt;&gt;"", C593&lt;&gt;"", D593&lt;&gt;"", E593&lt;&gt;"", F593&lt;&gt;"", G593&lt;&gt;"", J593&lt;&gt;"", 'CONTENT PILLAR MAPPING'!C496&lt;&gt;"", 'CONTENT PILLAR MAPPING'!E496&lt;&gt;"", 'CONTENT PILLAR MAPPING'!F496&lt;&gt;"", 'CONTENT PILLAR MAPPING'!C499&lt;&gt;"", 'CONTENT PILLAR MAPPING'!C504&lt;&gt;"", 'CONTENT PILLAR MAPPING'!D504&lt;&gt;"", 'CONTENT PILLAR MAPPING'!E504&lt;&gt;"", 'CONTENT PILLAR MAPPING'!D512&lt;&gt;"", 'CONTENT PILLAR MAPPING'!D513&lt;&gt;""),
CONCATENATE(
"Sebagai seorang top konten kreator dengan niche utama '", 'CONTENT PILLAR MAPPING'!C496, "', spesifik kategori '", 'CONTENT PILLAR MAPPING'!E496, "', dan super spesifik '", 'CONTENT PILLAR MAPPING'!F496, "', yang dikenal sebagai '", 'CONTENT PILLAR MAPPING'!C499, "'.", CHAR(10),
"Saya memiliki Tone of Voice: '", 'CONTENT PILLAR MAPPING'!C504, "', Brand Archetype: '", 'CONTENT PILLAR MAPPING'!D504, "', dan Deskripsi Gaya Komunikasi: '", 'CONTENT PILLAR MAPPING'!E504, "'.", CHAR(10),
"Target audiens saya adalah: '", 'CONTENT PILLAR MAPPING'!D512, "', dengan segmentasi audiens: '", 'CONTENT PILLAR MAPPING'!D513, "'.", CHAR(10), CHAR(10),
"Mohon buatkan script konten yang **sangat powerful, menarik, inovatif, dan siap pakai** dengan judul ide '", B593, "'.", CHAR(10),
"Konten ini memiliki pilar '", C593, "', nilai tambah utama '", F593, "', dan akan menggunakan storytelling framework '", G593, "'.", CHAR(10),
"Gambaran singkat ide kontennya adalah: '", J593, "'.", CHAR(10),
"Konten ini akan diunggah di platform '", E593, "' dengan format '", D593,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MAPPING'!C499, "'.** Sesuaikan dengan gaya komunikasi saya, dengan fokus pada nilai tambah '", F593,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MAPPING'!D512, ", khusus ", 'CONTENT PILLAR MAPPING'!D513, ") dan membantu mereka menyelesaikan masalah atau mencapai tujuan mereka.", CHAR(10),
"✔ Membantuku membangun personal branding yang kuat dan sustainable, sesuai dengan Positioning saya sebagai '", 'CONTENT PILLAR MAPPING'!C499, "' dan Brand Archetype '", 'CONTENT PILLAR MAPPING'!D504, "'.", CHAR(10),
"✔ Kemas dalam bentuk tabel agar rapi, mudah di baca dan dipahami, dengan kolom 'Judul Konten', 'Pilar', 'Format', 'Draft Script', 'CTA', 'Saran Visual', dan 'Full Caption'. (Kosongkan kolom Link Prompt jika ada)."
),
"")</f>
        <v/>
      </c>
      <c r="L593" s="91" t="n"/>
      <c r="M593" s="91" t="n"/>
      <c r="N593" s="102" t="n"/>
      <c r="O593" s="102" t="n"/>
      <c r="P593" s="102" t="n"/>
      <c r="Q593" s="102" t="n"/>
      <c r="R593" s="102" t="n"/>
      <c r="S593" s="102" t="n"/>
      <c r="T593" s="102" t="n"/>
      <c r="U593" s="102" t="n"/>
      <c r="V593" s="102" t="n"/>
      <c r="W593" s="102" t="n"/>
      <c r="X593" s="102" t="n"/>
      <c r="Y593" s="102" t="n"/>
      <c r="Z593" s="102" t="n"/>
      <c r="AA593" s="102" t="n"/>
      <c r="AB593" s="102" t="n"/>
      <c r="AC593" s="102" t="n"/>
      <c r="AD593" s="102" t="n"/>
    </row>
    <row r="594" ht="15.75" customHeight="1" s="205">
      <c r="A594" s="102" t="n"/>
      <c r="B594" s="147" t="n"/>
      <c r="C594" s="144" t="n"/>
      <c r="D594" s="144" t="n"/>
      <c r="E594" s="144" t="n"/>
      <c r="F594" s="144" t="n"/>
      <c r="G594" s="144" t="n"/>
      <c r="H594" s="141">
        <f>IF(K594&lt;&gt;"", HYPERLINK("https://chatgpt.com/?prompt=" &amp; SUBSTITUTE(SUBSTITUTE(K594, " ", "+"), "&amp;", "dan") &amp; "&amp;force-refresh=true&amp;timestamp=" &amp; TEXT(NOW(), "yyyymmddhhmmss"), "👉 Klik untuk Generate Script! 🔥"), "")</f>
        <v/>
      </c>
      <c r="I594" s="144" t="n"/>
      <c r="J594" s="148" t="n"/>
      <c r="K594" s="140">
        <f>IF(AND(B594&lt;&gt;"", C594&lt;&gt;"", D594&lt;&gt;"", E594&lt;&gt;"", F594&lt;&gt;"", G594&lt;&gt;"", J594&lt;&gt;"", 'CONTENT PILLAR MAPPING'!C496&lt;&gt;"", 'CONTENT PILLAR MAPPING'!E496&lt;&gt;"", 'CONTENT PILLAR MAPPING'!F496&lt;&gt;"", 'CONTENT PILLAR MAPPING'!C499&lt;&gt;"", 'CONTENT PILLAR MAPPING'!C504&lt;&gt;"", 'CONTENT PILLAR MAPPING'!D504&lt;&gt;"", 'CONTENT PILLAR MAPPING'!E504&lt;&gt;"", 'CONTENT PILLAR MAPPING'!D512&lt;&gt;"", 'CONTENT PILLAR MAPPING'!D513&lt;&gt;""),
CONCATENATE(
"Sebagai seorang top konten kreator dengan niche utama '", 'CONTENT PILLAR MAPPING'!C496, "', spesifik kategori '", 'CONTENT PILLAR MAPPING'!E496, "', dan super spesifik '", 'CONTENT PILLAR MAPPING'!F496, "', yang dikenal sebagai '", 'CONTENT PILLAR MAPPING'!C499, "'.", CHAR(10),
"Saya memiliki Tone of Voice: '", 'CONTENT PILLAR MAPPING'!C504, "', Brand Archetype: '", 'CONTENT PILLAR MAPPING'!D504, "', dan Deskripsi Gaya Komunikasi: '", 'CONTENT PILLAR MAPPING'!E504, "'.", CHAR(10),
"Target audiens saya adalah: '", 'CONTENT PILLAR MAPPING'!D512, "', dengan segmentasi audiens: '", 'CONTENT PILLAR MAPPING'!D513, "'.", CHAR(10), CHAR(10),
"Mohon buatkan script konten yang **sangat powerful, menarik, inovatif, dan siap pakai** dengan judul ide '", B594, "'.", CHAR(10),
"Konten ini memiliki pilar '", C594, "', nilai tambah utama '", F594, "', dan akan menggunakan storytelling framework '", G594, "'.", CHAR(10),
"Gambaran singkat ide kontennya adalah: '", J594, "'.", CHAR(10),
"Konten ini akan diunggah di platform '", E594, "' dengan format '", D594,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MAPPING'!C499, "'.** Sesuaikan dengan gaya komunikasi saya, dengan fokus pada nilai tambah '", F594,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MAPPING'!D512, ", khusus ", 'CONTENT PILLAR MAPPING'!D513, ") dan membantu mereka menyelesaikan masalah atau mencapai tujuan mereka.", CHAR(10),
"✔ Membantuku membangun personal branding yang kuat dan sustainable, sesuai dengan Positioning saya sebagai '", 'CONTENT PILLAR MAPPING'!C499, "' dan Brand Archetype '", 'CONTENT PILLAR MAPPING'!D504, "'.", CHAR(10),
"✔ Kemas dalam bentuk tabel agar rapi, mudah di baca dan dipahami, dengan kolom 'Judul Konten', 'Pilar', 'Format', 'Draft Script', 'CTA', 'Saran Visual', dan 'Full Caption'. (Kosongkan kolom Link Prompt jika ada)."
),
"")</f>
        <v/>
      </c>
      <c r="L594" s="199" t="n"/>
      <c r="M594" s="199" t="n"/>
      <c r="N594" s="102" t="n"/>
      <c r="O594" s="102" t="n"/>
      <c r="P594" s="102" t="n"/>
      <c r="Q594" s="102" t="n"/>
      <c r="R594" s="102" t="n"/>
      <c r="S594" s="102" t="n"/>
      <c r="T594" s="102" t="n"/>
      <c r="U594" s="102" t="n"/>
      <c r="V594" s="102" t="n"/>
      <c r="W594" s="102" t="n"/>
      <c r="X594" s="102" t="n"/>
      <c r="Y594" s="102" t="n"/>
      <c r="Z594" s="102" t="n"/>
      <c r="AA594" s="102" t="n"/>
      <c r="AB594" s="102" t="n"/>
      <c r="AC594" s="102" t="n"/>
      <c r="AD594" s="102" t="n"/>
    </row>
    <row r="595" ht="15.75" customHeight="1" s="205">
      <c r="A595" s="102" t="n"/>
      <c r="B595" s="142" t="n"/>
      <c r="C595" s="143" t="n"/>
      <c r="D595" s="143" t="n"/>
      <c r="E595" s="143" t="n"/>
      <c r="F595" s="143" t="n"/>
      <c r="G595" s="144" t="n"/>
      <c r="H595" s="145">
        <f>IF(K595&lt;&gt;"", HYPERLINK("https://chatgpt.com/?prompt=" &amp; SUBSTITUTE(SUBSTITUTE(K595, " ", "+"), "&amp;", "dan") &amp; "&amp;force-refresh=true&amp;timestamp=" &amp; TEXT(NOW(), "yyyymmddhhmmss"), "👉 Klik untuk Generate Script! 🔥"), "")</f>
        <v/>
      </c>
      <c r="I595" s="143" t="n"/>
      <c r="J595" s="146" t="n"/>
      <c r="K595" s="130">
        <f>IF(AND(B595&lt;&gt;"", C595&lt;&gt;"", D595&lt;&gt;"", E595&lt;&gt;"", F595&lt;&gt;"", G595&lt;&gt;"", J595&lt;&gt;"", 'CONTENT PILLAR MAPPING'!C498&lt;&gt;"", 'CONTENT PILLAR MAPPING'!E498&lt;&gt;"", 'CONTENT PILLAR MAPPING'!F498&lt;&gt;"", 'CONTENT PILLAR MAPPING'!C501&lt;&gt;"", 'CONTENT PILLAR MAPPING'!C506&lt;&gt;"", 'CONTENT PILLAR MAPPING'!D506&lt;&gt;"", 'CONTENT PILLAR MAPPING'!E506&lt;&gt;"", 'CONTENT PILLAR MAPPING'!D514&lt;&gt;"", 'CONTENT PILLAR MAPPING'!D515&lt;&gt;""),
CONCATENATE(
"Sebagai seorang top konten kreator dengan niche utama '", 'CONTENT PILLAR MAPPING'!C498, "', spesifik kategori '", 'CONTENT PILLAR MAPPING'!E498, "', dan super spesifik '", 'CONTENT PILLAR MAPPING'!F498, "', yang dikenal sebagai '", 'CONTENT PILLAR MAPPING'!C501, "'.", CHAR(10),
"Saya memiliki Tone of Voice: '", 'CONTENT PILLAR MAPPING'!C506, "', Brand Archetype: '", 'CONTENT PILLAR MAPPING'!D506, "', dan Deskripsi Gaya Komunikasi: '", 'CONTENT PILLAR MAPPING'!E506, "'.", CHAR(10),
"Target audiens saya adalah: '", 'CONTENT PILLAR MAPPING'!D514, "', dengan segmentasi audiens: '", 'CONTENT PILLAR MAPPING'!D515, "'.", CHAR(10), CHAR(10),
"Mohon buatkan script konten yang **sangat powerful, menarik, inovatif, dan siap pakai** dengan judul ide '", B595, "'.", CHAR(10),
"Konten ini memiliki pilar '", C595, "', nilai tambah utama '", F595, "', dan akan menggunakan storytelling framework '", G595, "'.", CHAR(10),
"Gambaran singkat ide kontennya adalah: '", J595, "'.", CHAR(10),
"Konten ini akan diunggah di platform '", E595, "' dengan format '", D595,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MAPPING'!C501, "'.** Sesuaikan dengan gaya komunikasi saya, dengan fokus pada nilai tambah '", F595,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MAPPING'!D514, ", khusus ", 'CONTENT PILLAR MAPPING'!D515, ") dan membantu mereka menyelesaikan masalah atau mencapai tujuan mereka.", CHAR(10),
"✔ Membantuku membangun personal branding yang kuat dan sustainable, sesuai dengan Positioning saya sebagai '", 'CONTENT PILLAR MAPPING'!C501, "' dan Brand Archetype '", 'CONTENT PILLAR MAPPING'!D506, "'.", CHAR(10),
"✔ Kemas dalam bentuk tabel agar rapi, mudah di baca dan dipahami, dengan kolom 'Judul Konten', 'Pilar', 'Format', 'Draft Script', 'CTA', 'Saran Visual', dan 'Full Caption'. (Kosongkan kolom Link Prompt jika ada)."
),
"")</f>
        <v/>
      </c>
      <c r="L595" s="91" t="n"/>
      <c r="M595" s="91" t="n"/>
      <c r="N595" s="102" t="n"/>
      <c r="O595" s="102" t="n"/>
      <c r="P595" s="102" t="n"/>
      <c r="Q595" s="102" t="n"/>
      <c r="R595" s="102" t="n"/>
      <c r="S595" s="102" t="n"/>
      <c r="T595" s="102" t="n"/>
      <c r="U595" s="102" t="n"/>
      <c r="V595" s="102" t="n"/>
      <c r="W595" s="102" t="n"/>
      <c r="X595" s="102" t="n"/>
      <c r="Y595" s="102" t="n"/>
      <c r="Z595" s="102" t="n"/>
      <c r="AA595" s="102" t="n"/>
      <c r="AB595" s="102" t="n"/>
      <c r="AC595" s="102" t="n"/>
      <c r="AD595" s="102" t="n"/>
    </row>
    <row r="596" ht="15.75" customHeight="1" s="205">
      <c r="A596" s="102" t="n"/>
      <c r="B596" s="147" t="n"/>
      <c r="C596" s="144" t="n"/>
      <c r="D596" s="144" t="n"/>
      <c r="E596" s="144" t="n"/>
      <c r="F596" s="144" t="n"/>
      <c r="G596" s="144" t="n"/>
      <c r="H596" s="141">
        <f>IF(K596&lt;&gt;"", HYPERLINK("https://chatgpt.com/?prompt=" &amp; SUBSTITUTE(SUBSTITUTE(K596, " ", "+"), "&amp;", "dan") &amp; "&amp;force-refresh=true&amp;timestamp=" &amp; TEXT(NOW(), "yyyymmddhhmmss"), "👉 Klik untuk Generate Script! 🔥"), "")</f>
        <v/>
      </c>
      <c r="I596" s="144" t="n"/>
      <c r="J596" s="148" t="n"/>
      <c r="K596" s="140">
        <f>IF(AND(B596&lt;&gt;"", C596&lt;&gt;"", D596&lt;&gt;"", E596&lt;&gt;"", F596&lt;&gt;"", G596&lt;&gt;"", J596&lt;&gt;"", 'CONTENT PILLAR MAPPING'!C498&lt;&gt;"", 'CONTENT PILLAR MAPPING'!E498&lt;&gt;"", 'CONTENT PILLAR MAPPING'!F498&lt;&gt;"", 'CONTENT PILLAR MAPPING'!C501&lt;&gt;"", 'CONTENT PILLAR MAPPING'!C506&lt;&gt;"", 'CONTENT PILLAR MAPPING'!D506&lt;&gt;"", 'CONTENT PILLAR MAPPING'!E506&lt;&gt;"", 'CONTENT PILLAR MAPPING'!D514&lt;&gt;"", 'CONTENT PILLAR MAPPING'!D515&lt;&gt;""),
CONCATENATE(
"Sebagai seorang top konten kreator dengan niche utama '", 'CONTENT PILLAR MAPPING'!C498, "', spesifik kategori '", 'CONTENT PILLAR MAPPING'!E498, "', dan super spesifik '", 'CONTENT PILLAR MAPPING'!F498, "', yang dikenal sebagai '", 'CONTENT PILLAR MAPPING'!C501, "'.", CHAR(10),
"Saya memiliki Tone of Voice: '", 'CONTENT PILLAR MAPPING'!C506, "', Brand Archetype: '", 'CONTENT PILLAR MAPPING'!D506, "', dan Deskripsi Gaya Komunikasi: '", 'CONTENT PILLAR MAPPING'!E506, "'.", CHAR(10),
"Target audiens saya adalah: '", 'CONTENT PILLAR MAPPING'!D514, "', dengan segmentasi audiens: '", 'CONTENT PILLAR MAPPING'!D515, "'.", CHAR(10), CHAR(10),
"Mohon buatkan script konten yang **sangat powerful, menarik, inovatif, dan siap pakai** dengan judul ide '", B596, "'.", CHAR(10),
"Konten ini memiliki pilar '", C596, "', nilai tambah utama '", F596, "', dan akan menggunakan storytelling framework '", G596, "'.", CHAR(10),
"Gambaran singkat ide kontennya adalah: '", J596, "'.", CHAR(10),
"Konten ini akan diunggah di platform '", E596, "' dengan format '", D596,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MAPPING'!C501, "'.** Sesuaikan dengan gaya komunikasi saya, dengan fokus pada nilai tambah '", F596,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MAPPING'!D514, ", khusus ", 'CONTENT PILLAR MAPPING'!D515, ") dan membantu mereka menyelesaikan masalah atau mencapai tujuan mereka.", CHAR(10),
"✔ Membantuku membangun personal branding yang kuat dan sustainable, sesuai dengan Positioning saya sebagai '", 'CONTENT PILLAR MAPPING'!C501, "' dan Brand Archetype '", 'CONTENT PILLAR MAPPING'!D506, "'.", CHAR(10),
"✔ Kemas dalam bentuk tabel agar rapi, mudah di baca dan dipahami, dengan kolom 'Judul Konten', 'Pilar', 'Format', 'Draft Script', 'CTA', 'Saran Visual', dan 'Full Caption'. (Kosongkan kolom Link Prompt jika ada)."
),
"")</f>
        <v/>
      </c>
      <c r="L596" s="199" t="n"/>
      <c r="M596" s="199" t="n"/>
      <c r="N596" s="102" t="n"/>
      <c r="O596" s="102" t="n"/>
      <c r="P596" s="102" t="n"/>
      <c r="Q596" s="102" t="n"/>
      <c r="R596" s="102" t="n"/>
      <c r="S596" s="102" t="n"/>
      <c r="T596" s="102" t="n"/>
      <c r="U596" s="102" t="n"/>
      <c r="V596" s="102" t="n"/>
      <c r="W596" s="102" t="n"/>
      <c r="X596" s="102" t="n"/>
      <c r="Y596" s="102" t="n"/>
      <c r="Z596" s="102" t="n"/>
      <c r="AA596" s="102" t="n"/>
      <c r="AB596" s="102" t="n"/>
      <c r="AC596" s="102" t="n"/>
      <c r="AD596" s="102" t="n"/>
    </row>
    <row r="597" ht="15.75" customHeight="1" s="205">
      <c r="A597" s="102" t="n"/>
      <c r="B597" s="142" t="n"/>
      <c r="C597" s="143" t="n"/>
      <c r="D597" s="143" t="n"/>
      <c r="E597" s="143" t="n"/>
      <c r="F597" s="143" t="n"/>
      <c r="G597" s="144" t="n"/>
      <c r="H597" s="145">
        <f>IF(K597&lt;&gt;"", HYPERLINK("https://chatgpt.com/?prompt=" &amp; SUBSTITUTE(SUBSTITUTE(K597, " ", "+"), "&amp;", "dan") &amp; "&amp;force-refresh=true&amp;timestamp=" &amp; TEXT(NOW(), "yyyymmddhhmmss"), "👉 Klik untuk Generate Script! 🔥"), "")</f>
        <v/>
      </c>
      <c r="I597" s="143" t="n"/>
      <c r="J597" s="146" t="n"/>
      <c r="K597" s="130">
        <f>IF(AND(B597&lt;&gt;"", C597&lt;&gt;"", D597&lt;&gt;"", E597&lt;&gt;"", F597&lt;&gt;"", G597&lt;&gt;"", J597&lt;&gt;"", 'CONTENT PILLAR MAPPING'!C500&lt;&gt;"", 'CONTENT PILLAR MAPPING'!E500&lt;&gt;"", 'CONTENT PILLAR MAPPING'!F500&lt;&gt;"", 'CONTENT PILLAR MAPPING'!C503&lt;&gt;"", 'CONTENT PILLAR MAPPING'!C508&lt;&gt;"", 'CONTENT PILLAR MAPPING'!D508&lt;&gt;"", 'CONTENT PILLAR MAPPING'!E508&lt;&gt;"", 'CONTENT PILLAR MAPPING'!D516&lt;&gt;"", 'CONTENT PILLAR MAPPING'!D517&lt;&gt;""),
CONCATENATE(
"Sebagai seorang top konten kreator dengan niche utama '", 'CONTENT PILLAR MAPPING'!C500, "', spesifik kategori '", 'CONTENT PILLAR MAPPING'!E500, "', dan super spesifik '", 'CONTENT PILLAR MAPPING'!F500, "', yang dikenal sebagai '", 'CONTENT PILLAR MAPPING'!C503, "'.", CHAR(10),
"Saya memiliki Tone of Voice: '", 'CONTENT PILLAR MAPPING'!C508, "', Brand Archetype: '", 'CONTENT PILLAR MAPPING'!D508, "', dan Deskripsi Gaya Komunikasi: '", 'CONTENT PILLAR MAPPING'!E508, "'.", CHAR(10),
"Target audiens saya adalah: '", 'CONTENT PILLAR MAPPING'!D516, "', dengan segmentasi audiens: '", 'CONTENT PILLAR MAPPING'!D517, "'.", CHAR(10), CHAR(10),
"Mohon buatkan script konten yang **sangat powerful, menarik, inovatif, dan siap pakai** dengan judul ide '", B597, "'.", CHAR(10),
"Konten ini memiliki pilar '", C597, "', nilai tambah utama '", F597, "', dan akan menggunakan storytelling framework '", G597, "'.", CHAR(10),
"Gambaran singkat ide kontennya adalah: '", J597, "'.", CHAR(10),
"Konten ini akan diunggah di platform '", E597, "' dengan format '", D597,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MAPPING'!C503, "'.** Sesuaikan dengan gaya komunikasi saya, dengan fokus pada nilai tambah '", F597,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MAPPING'!D516, ", khusus ", 'CONTENT PILLAR MAPPING'!D517, ") dan membantu mereka menyelesaikan masalah atau mencapai tujuan mereka.", CHAR(10),
"✔ Membantuku membangun personal branding yang kuat dan sustainable, sesuai dengan Positioning saya sebagai '", 'CONTENT PILLAR MAPPING'!C503, "' dan Brand Archetype '", 'CONTENT PILLAR MAPPING'!D508, "'.", CHAR(10),
"✔ Kemas dalam bentuk tabel agar rapi, mudah di baca dan dipahami, dengan kolom 'Judul Konten', 'Pilar', 'Format', 'Draft Script', 'CTA', 'Saran Visual', dan 'Full Caption'. (Kosongkan kolom Link Prompt jika ada)."
),
"")</f>
        <v/>
      </c>
      <c r="L597" s="91" t="n"/>
      <c r="M597" s="91" t="n"/>
      <c r="N597" s="102" t="n"/>
      <c r="O597" s="102" t="n"/>
      <c r="P597" s="102" t="n"/>
      <c r="Q597" s="102" t="n"/>
      <c r="R597" s="102" t="n"/>
      <c r="S597" s="102" t="n"/>
      <c r="T597" s="102" t="n"/>
      <c r="U597" s="102" t="n"/>
      <c r="V597" s="102" t="n"/>
      <c r="W597" s="102" t="n"/>
      <c r="X597" s="102" t="n"/>
      <c r="Y597" s="102" t="n"/>
      <c r="Z597" s="102" t="n"/>
      <c r="AA597" s="102" t="n"/>
      <c r="AB597" s="102" t="n"/>
      <c r="AC597" s="102" t="n"/>
      <c r="AD597" s="102" t="n"/>
    </row>
    <row r="598" ht="15.75" customHeight="1" s="205">
      <c r="A598" s="102" t="n"/>
      <c r="B598" s="147" t="n"/>
      <c r="C598" s="144" t="n"/>
      <c r="D598" s="144" t="n"/>
      <c r="E598" s="144" t="n"/>
      <c r="F598" s="144" t="n"/>
      <c r="G598" s="144" t="n"/>
      <c r="H598" s="141">
        <f>IF(K598&lt;&gt;"", HYPERLINK("https://chatgpt.com/?prompt=" &amp; SUBSTITUTE(SUBSTITUTE(K598, " ", "+"), "&amp;", "dan") &amp; "&amp;force-refresh=true&amp;timestamp=" &amp; TEXT(NOW(), "yyyymmddhhmmss"), "👉 Klik untuk Generate Script! 🔥"), "")</f>
        <v/>
      </c>
      <c r="I598" s="144" t="n"/>
      <c r="J598" s="148" t="n"/>
      <c r="K598" s="140">
        <f>IF(AND(B598&lt;&gt;"", C598&lt;&gt;"", D598&lt;&gt;"", E598&lt;&gt;"", F598&lt;&gt;"", G598&lt;&gt;"", J598&lt;&gt;"", 'CONTENT PILLAR MAPPING'!C500&lt;&gt;"", 'CONTENT PILLAR MAPPING'!E500&lt;&gt;"", 'CONTENT PILLAR MAPPING'!F500&lt;&gt;"", 'CONTENT PILLAR MAPPING'!C503&lt;&gt;"", 'CONTENT PILLAR MAPPING'!C508&lt;&gt;"", 'CONTENT PILLAR MAPPING'!D508&lt;&gt;"", 'CONTENT PILLAR MAPPING'!E508&lt;&gt;"", 'CONTENT PILLAR MAPPING'!D516&lt;&gt;"", 'CONTENT PILLAR MAPPING'!D517&lt;&gt;""),
CONCATENATE(
"Sebagai seorang top konten kreator dengan niche utama '", 'CONTENT PILLAR MAPPING'!C500, "', spesifik kategori '", 'CONTENT PILLAR MAPPING'!E500, "', dan super spesifik '", 'CONTENT PILLAR MAPPING'!F500, "', yang dikenal sebagai '", 'CONTENT PILLAR MAPPING'!C503, "'.", CHAR(10),
"Saya memiliki Tone of Voice: '", 'CONTENT PILLAR MAPPING'!C508, "', Brand Archetype: '", 'CONTENT PILLAR MAPPING'!D508, "', dan Deskripsi Gaya Komunikasi: '", 'CONTENT PILLAR MAPPING'!E508, "'.", CHAR(10),
"Target audiens saya adalah: '", 'CONTENT PILLAR MAPPING'!D516, "', dengan segmentasi audiens: '", 'CONTENT PILLAR MAPPING'!D517, "'.", CHAR(10), CHAR(10),
"Mohon buatkan script konten yang **sangat powerful, menarik, inovatif, dan siap pakai** dengan judul ide '", B598, "'.", CHAR(10),
"Konten ini memiliki pilar '", C598, "', nilai tambah utama '", F598, "', dan akan menggunakan storytelling framework '", G598, "'.", CHAR(10),
"Gambaran singkat ide kontennya adalah: '", J598, "'.", CHAR(10),
"Konten ini akan diunggah di platform '", E598, "' dengan format '", D598,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MAPPING'!C503, "'.** Sesuaikan dengan gaya komunikasi saya, dengan fokus pada nilai tambah '", F598,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MAPPING'!D516, ", khusus ", 'CONTENT PILLAR MAPPING'!D517, ") dan membantu mereka menyelesaikan masalah atau mencapai tujuan mereka.", CHAR(10),
"✔ Membantuku membangun personal branding yang kuat dan sustainable, sesuai dengan Positioning saya sebagai '", 'CONTENT PILLAR MAPPING'!C503, "' dan Brand Archetype '", 'CONTENT PILLAR MAPPING'!D508, "'.", CHAR(10),
"✔ Kemas dalam bentuk tabel agar rapi, mudah di baca dan dipahami, dengan kolom 'Judul Konten', 'Pilar', 'Format', 'Draft Script', 'CTA', 'Saran Visual', dan 'Full Caption'. (Kosongkan kolom Link Prompt jika ada)."
),
"")</f>
        <v/>
      </c>
      <c r="L598" s="199" t="n"/>
      <c r="M598" s="199" t="n"/>
      <c r="N598" s="102" t="n"/>
      <c r="O598" s="102" t="n"/>
      <c r="P598" s="102" t="n"/>
      <c r="Q598" s="102" t="n"/>
      <c r="R598" s="102" t="n"/>
      <c r="S598" s="102" t="n"/>
      <c r="T598" s="102" t="n"/>
      <c r="U598" s="102" t="n"/>
      <c r="V598" s="102" t="n"/>
      <c r="W598" s="102" t="n"/>
      <c r="X598" s="102" t="n"/>
      <c r="Y598" s="102" t="n"/>
      <c r="Z598" s="102" t="n"/>
      <c r="AA598" s="102" t="n"/>
      <c r="AB598" s="102" t="n"/>
      <c r="AC598" s="102" t="n"/>
      <c r="AD598" s="102" t="n"/>
    </row>
    <row r="599" ht="15.75" customHeight="1" s="205">
      <c r="A599" s="102" t="n"/>
      <c r="B599" s="142" t="n"/>
      <c r="C599" s="143" t="n"/>
      <c r="D599" s="143" t="n"/>
      <c r="E599" s="143" t="n"/>
      <c r="F599" s="143" t="n"/>
      <c r="G599" s="144" t="n"/>
      <c r="H599" s="145">
        <f>IF(K599&lt;&gt;"", HYPERLINK("https://chatgpt.com/?prompt=" &amp; SUBSTITUTE(SUBSTITUTE(K599, " ", "+"), "&amp;", "dan") &amp; "&amp;force-refresh=true&amp;timestamp=" &amp; TEXT(NOW(), "yyyymmddhhmmss"), "👉 Klik untuk Generate Script! 🔥"), "")</f>
        <v/>
      </c>
      <c r="I599" s="143" t="n"/>
      <c r="J599" s="146" t="n"/>
      <c r="K599" s="130">
        <f>IF(AND(B599&lt;&gt;"", C599&lt;&gt;"", D599&lt;&gt;"", E599&lt;&gt;"", F599&lt;&gt;"", G599&lt;&gt;"", J599&lt;&gt;"", 'CONTENT PILLAR MAPPING'!C502&lt;&gt;"", 'CONTENT PILLAR MAPPING'!E502&lt;&gt;"", 'CONTENT PILLAR MAPPING'!F502&lt;&gt;"", 'CONTENT PILLAR MAPPING'!C505&lt;&gt;"", 'CONTENT PILLAR MAPPING'!C510&lt;&gt;"", 'CONTENT PILLAR MAPPING'!D510&lt;&gt;"", 'CONTENT PILLAR MAPPING'!E510&lt;&gt;"", 'CONTENT PILLAR MAPPING'!D518&lt;&gt;"", 'CONTENT PILLAR MAPPING'!D519&lt;&gt;""),
CONCATENATE(
"Sebagai seorang top konten kreator dengan niche utama '", 'CONTENT PILLAR MAPPING'!C502, "', spesifik kategori '", 'CONTENT PILLAR MAPPING'!E502, "', dan super spesifik '", 'CONTENT PILLAR MAPPING'!F502, "', yang dikenal sebagai '", 'CONTENT PILLAR MAPPING'!C505, "'.", CHAR(10),
"Saya memiliki Tone of Voice: '", 'CONTENT PILLAR MAPPING'!C510, "', Brand Archetype: '", 'CONTENT PILLAR MAPPING'!D510, "', dan Deskripsi Gaya Komunikasi: '", 'CONTENT PILLAR MAPPING'!E510, "'.", CHAR(10),
"Target audiens saya adalah: '", 'CONTENT PILLAR MAPPING'!D518, "', dengan segmentasi audiens: '", 'CONTENT PILLAR MAPPING'!D519, "'.", CHAR(10), CHAR(10),
"Mohon buatkan script konten yang **sangat powerful, menarik, inovatif, dan siap pakai** dengan judul ide '", B599, "'.", CHAR(10),
"Konten ini memiliki pilar '", C599, "', nilai tambah utama '", F599, "', dan akan menggunakan storytelling framework '", G599, "'.", CHAR(10),
"Gambaran singkat ide kontennya adalah: '", J599, "'.", CHAR(10),
"Konten ini akan diunggah di platform '", E599, "' dengan format '", D599,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MAPPING'!C505, "'.** Sesuaikan dengan gaya komunikasi saya, dengan fokus pada nilai tambah '", F599,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MAPPING'!D518, ", khusus ", 'CONTENT PILLAR MAPPING'!D519, ") dan membantu mereka menyelesaikan masalah atau mencapai tujuan mereka.", CHAR(10),
"✔ Membantuku membangun personal branding yang kuat dan sustainable, sesuai dengan Positioning saya sebagai '", 'CONTENT PILLAR MAPPING'!C505, "' dan Brand Archetype '", 'CONTENT PILLAR MAPPING'!D510, "'.", CHAR(10),
"✔ Kemas dalam bentuk tabel agar rapi, mudah di baca dan dipahami, dengan kolom 'Judul Konten', 'Pilar', 'Format', 'Draft Script', 'CTA', 'Saran Visual', dan 'Full Caption'. (Kosongkan kolom Link Prompt jika ada)."
),
"")</f>
        <v/>
      </c>
      <c r="L599" s="91" t="n"/>
      <c r="M599" s="91" t="n"/>
      <c r="N599" s="102" t="n"/>
      <c r="O599" s="102" t="n"/>
      <c r="P599" s="102" t="n"/>
      <c r="Q599" s="102" t="n"/>
      <c r="R599" s="102" t="n"/>
      <c r="S599" s="102" t="n"/>
      <c r="T599" s="102" t="n"/>
      <c r="U599" s="102" t="n"/>
      <c r="V599" s="102" t="n"/>
      <c r="W599" s="102" t="n"/>
      <c r="X599" s="102" t="n"/>
      <c r="Y599" s="102" t="n"/>
      <c r="Z599" s="102" t="n"/>
      <c r="AA599" s="102" t="n"/>
      <c r="AB599" s="102" t="n"/>
      <c r="AC599" s="102" t="n"/>
      <c r="AD599" s="102" t="n"/>
    </row>
    <row r="600" ht="15.75" customHeight="1" s="205">
      <c r="A600" s="102" t="n"/>
      <c r="B600" s="147" t="n"/>
      <c r="C600" s="144" t="n"/>
      <c r="D600" s="144" t="n"/>
      <c r="E600" s="144" t="n"/>
      <c r="F600" s="144" t="n"/>
      <c r="G600" s="144" t="n"/>
      <c r="H600" s="141">
        <f>IF(K600&lt;&gt;"", HYPERLINK("https://chatgpt.com/?prompt=" &amp; SUBSTITUTE(SUBSTITUTE(K600, " ", "+"), "&amp;", "dan") &amp; "&amp;force-refresh=true&amp;timestamp=" &amp; TEXT(NOW(), "yyyymmddhhmmss"), "👉 Klik untuk Generate Script! 🔥"), "")</f>
        <v/>
      </c>
      <c r="I600" s="144" t="n"/>
      <c r="J600" s="148" t="n"/>
      <c r="K600" s="140">
        <f>IF(AND(B600&lt;&gt;"", C600&lt;&gt;"", D600&lt;&gt;"", E600&lt;&gt;"", F600&lt;&gt;"", G600&lt;&gt;"", J600&lt;&gt;"", 'CONTENT PILLAR MAPPING'!C502&lt;&gt;"", 'CONTENT PILLAR MAPPING'!E502&lt;&gt;"", 'CONTENT PILLAR MAPPING'!F502&lt;&gt;"", 'CONTENT PILLAR MAPPING'!C505&lt;&gt;"", 'CONTENT PILLAR MAPPING'!C510&lt;&gt;"", 'CONTENT PILLAR MAPPING'!D510&lt;&gt;"", 'CONTENT PILLAR MAPPING'!E510&lt;&gt;"", 'CONTENT PILLAR MAPPING'!D518&lt;&gt;"", 'CONTENT PILLAR MAPPING'!D519&lt;&gt;""),
CONCATENATE(
"Sebagai seorang top konten kreator dengan niche utama '", 'CONTENT PILLAR MAPPING'!C502, "', spesifik kategori '", 'CONTENT PILLAR MAPPING'!E502, "', dan super spesifik '", 'CONTENT PILLAR MAPPING'!F502, "', yang dikenal sebagai '", 'CONTENT PILLAR MAPPING'!C505, "'.", CHAR(10),
"Saya memiliki Tone of Voice: '", 'CONTENT PILLAR MAPPING'!C510, "', Brand Archetype: '", 'CONTENT PILLAR MAPPING'!D510, "', dan Deskripsi Gaya Komunikasi: '", 'CONTENT PILLAR MAPPING'!E510, "'.", CHAR(10),
"Target audiens saya adalah: '", 'CONTENT PILLAR MAPPING'!D518, "', dengan segmentasi audiens: '", 'CONTENT PILLAR MAPPING'!D519, "'.", CHAR(10), CHAR(10),
"Mohon buatkan script konten yang **sangat powerful, menarik, inovatif, dan siap pakai** dengan judul ide '", B600, "'.", CHAR(10),
"Konten ini memiliki pilar '", C600, "', nilai tambah utama '", F600, "', dan akan menggunakan storytelling framework '", G600, "'.", CHAR(10),
"Gambaran singkat ide kontennya adalah: '", J600, "'.", CHAR(10),
"Konten ini akan diunggah di platform '", E600, "' dengan format '", D600,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MAPPING'!C505, "'.** Sesuaikan dengan gaya komunikasi saya, dengan fokus pada nilai tambah '", F600,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MAPPING'!D518, ", khusus ", 'CONTENT PILLAR MAPPING'!D519, ") dan membantu mereka menyelesaikan masalah atau mencapai tujuan mereka.", CHAR(10),
"✔ Membantuku membangun personal branding yang kuat dan sustainable, sesuai dengan Positioning saya sebagai '", 'CONTENT PILLAR MAPPING'!C505, "' dan Brand Archetype '", 'CONTENT PILLAR MAPPING'!D510, "'.", CHAR(10),
"✔ Kemas dalam bentuk tabel agar rapi, mudah di baca dan dipahami, dengan kolom 'Judul Konten', 'Pilar', 'Format', 'Draft Script', 'CTA', 'Saran Visual', dan 'Full Caption'. (Kosongkan kolom Link Prompt jika ada)."
),
"")</f>
        <v/>
      </c>
      <c r="L600" s="199" t="n"/>
      <c r="M600" s="199" t="n"/>
      <c r="N600" s="102" t="n"/>
      <c r="O600" s="102" t="n"/>
      <c r="P600" s="102" t="n"/>
      <c r="Q600" s="102" t="n"/>
      <c r="R600" s="102" t="n"/>
      <c r="S600" s="102" t="n"/>
      <c r="T600" s="102" t="n"/>
      <c r="U600" s="102" t="n"/>
      <c r="V600" s="102" t="n"/>
      <c r="W600" s="102" t="n"/>
      <c r="X600" s="102" t="n"/>
      <c r="Y600" s="102" t="n"/>
      <c r="Z600" s="102" t="n"/>
      <c r="AA600" s="102" t="n"/>
      <c r="AB600" s="102" t="n"/>
      <c r="AC600" s="102" t="n"/>
      <c r="AD600" s="102" t="n"/>
    </row>
    <row r="601" ht="15.75" customHeight="1" s="205">
      <c r="A601" s="102" t="n"/>
      <c r="B601" s="142" t="n"/>
      <c r="C601" s="143" t="n"/>
      <c r="D601" s="143" t="n"/>
      <c r="E601" s="143" t="n"/>
      <c r="F601" s="143" t="n"/>
      <c r="G601" s="144" t="n"/>
      <c r="H601" s="145">
        <f>IF(K601&lt;&gt;"", HYPERLINK("https://chatgpt.com/?prompt=" &amp; SUBSTITUTE(SUBSTITUTE(K601, " ", "+"), "&amp;", "dan") &amp; "&amp;force-refresh=true&amp;timestamp=" &amp; TEXT(NOW(), "yyyymmddhhmmss"), "👉 Klik untuk Generate Script! 🔥"), "")</f>
        <v/>
      </c>
      <c r="I601" s="143" t="n"/>
      <c r="J601" s="146" t="n"/>
      <c r="K601" s="130">
        <f>IF(AND(B601&lt;&gt;"", C601&lt;&gt;"", D601&lt;&gt;"", E601&lt;&gt;"", F601&lt;&gt;"", G601&lt;&gt;"", J601&lt;&gt;"", 'CONTENT PILLAR MAPPING'!C504&lt;&gt;"", 'CONTENT PILLAR MAPPING'!E504&lt;&gt;"", 'CONTENT PILLAR MAPPING'!F504&lt;&gt;"", 'CONTENT PILLAR MAPPING'!C507&lt;&gt;"", 'CONTENT PILLAR MAPPING'!C512&lt;&gt;"", 'CONTENT PILLAR MAPPING'!D512&lt;&gt;"", 'CONTENT PILLAR MAPPING'!E512&lt;&gt;"", 'CONTENT PILLAR MAPPING'!D520&lt;&gt;"", 'CONTENT PILLAR MAPPING'!D521&lt;&gt;""),
CONCATENATE(
"Sebagai seorang top konten kreator dengan niche utama '", 'CONTENT PILLAR MAPPING'!C504, "', spesifik kategori '", 'CONTENT PILLAR MAPPING'!E504, "', dan super spesifik '", 'CONTENT PILLAR MAPPING'!F504, "', yang dikenal sebagai '", 'CONTENT PILLAR MAPPING'!C507, "'.", CHAR(10),
"Saya memiliki Tone of Voice: '", 'CONTENT PILLAR MAPPING'!C512, "', Brand Archetype: '", 'CONTENT PILLAR MAPPING'!D512, "', dan Deskripsi Gaya Komunikasi: '", 'CONTENT PILLAR MAPPING'!E512, "'.", CHAR(10),
"Target audiens saya adalah: '", 'CONTENT PILLAR MAPPING'!D520, "', dengan segmentasi audiens: '", 'CONTENT PILLAR MAPPING'!D521, "'.", CHAR(10), CHAR(10),
"Mohon buatkan script konten yang **sangat powerful, menarik, inovatif, dan siap pakai** dengan judul ide '", B601, "'.", CHAR(10),
"Konten ini memiliki pilar '", C601, "', nilai tambah utama '", F601, "', dan akan menggunakan storytelling framework '", G601, "'.", CHAR(10),
"Gambaran singkat ide kontennya adalah: '", J601, "'.", CHAR(10),
"Konten ini akan diunggah di platform '", E601, "' dengan format '", D601,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MAPPING'!C507, "'.** Sesuaikan dengan gaya komunikasi saya, dengan fokus pada nilai tambah '", F601,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MAPPING'!D520, ", khusus ", 'CONTENT PILLAR MAPPING'!D521, ") dan membantu mereka menyelesaikan masalah atau mencapai tujuan mereka.", CHAR(10),
"✔ Membantuku membangun personal branding yang kuat dan sustainable, sesuai dengan Positioning saya sebagai '", 'CONTENT PILLAR MAPPING'!C507, "' dan Brand Archetype '", 'CONTENT PILLAR MAPPING'!D512, "'.", CHAR(10),
"✔ Kemas dalam bentuk tabel agar rapi, mudah di baca dan dipahami, dengan kolom 'Judul Konten', 'Pilar', 'Format', 'Draft Script', 'CTA', 'Saran Visual', dan 'Full Caption'. (Kosongkan kolom Link Prompt jika ada)."
),
"")</f>
        <v/>
      </c>
      <c r="L601" s="91" t="n"/>
      <c r="M601" s="91" t="n"/>
      <c r="N601" s="102" t="n"/>
      <c r="O601" s="102" t="n"/>
      <c r="P601" s="102" t="n"/>
      <c r="Q601" s="102" t="n"/>
      <c r="R601" s="102" t="n"/>
      <c r="S601" s="102" t="n"/>
      <c r="T601" s="102" t="n"/>
      <c r="U601" s="102" t="n"/>
      <c r="V601" s="102" t="n"/>
      <c r="W601" s="102" t="n"/>
      <c r="X601" s="102" t="n"/>
      <c r="Y601" s="102" t="n"/>
      <c r="Z601" s="102" t="n"/>
      <c r="AA601" s="102" t="n"/>
      <c r="AB601" s="102" t="n"/>
      <c r="AC601" s="102" t="n"/>
      <c r="AD601" s="102" t="n"/>
    </row>
    <row r="602" ht="15.75" customHeight="1" s="205">
      <c r="A602" s="102" t="n"/>
      <c r="B602" s="147" t="n"/>
      <c r="C602" s="144" t="n"/>
      <c r="D602" s="144" t="n"/>
      <c r="E602" s="144" t="n"/>
      <c r="F602" s="144" t="n"/>
      <c r="G602" s="144" t="n"/>
      <c r="H602" s="141">
        <f>IF(K602&lt;&gt;"", HYPERLINK("https://chatgpt.com/?prompt=" &amp; SUBSTITUTE(SUBSTITUTE(K602, " ", "+"), "&amp;", "dan") &amp; "&amp;force-refresh=true&amp;timestamp=" &amp; TEXT(NOW(), "yyyymmddhhmmss"), "👉 Klik untuk Generate Script! 🔥"), "")</f>
        <v/>
      </c>
      <c r="I602" s="144" t="n"/>
      <c r="J602" s="148" t="n"/>
      <c r="K602" s="140">
        <f>IF(AND(B602&lt;&gt;"", C602&lt;&gt;"", D602&lt;&gt;"", E602&lt;&gt;"", F602&lt;&gt;"", G602&lt;&gt;"", J602&lt;&gt;"", 'CONTENT PILLAR MAPPING'!C504&lt;&gt;"", 'CONTENT PILLAR MAPPING'!E504&lt;&gt;"", 'CONTENT PILLAR MAPPING'!F504&lt;&gt;"", 'CONTENT PILLAR MAPPING'!C507&lt;&gt;"", 'CONTENT PILLAR MAPPING'!C512&lt;&gt;"", 'CONTENT PILLAR MAPPING'!D512&lt;&gt;"", 'CONTENT PILLAR MAPPING'!E512&lt;&gt;"", 'CONTENT PILLAR MAPPING'!D520&lt;&gt;"", 'CONTENT PILLAR MAPPING'!D521&lt;&gt;""),
CONCATENATE(
"Sebagai seorang top konten kreator dengan niche utama '", 'CONTENT PILLAR MAPPING'!C504, "', spesifik kategori '", 'CONTENT PILLAR MAPPING'!E504, "', dan super spesifik '", 'CONTENT PILLAR MAPPING'!F504, "', yang dikenal sebagai '", 'CONTENT PILLAR MAPPING'!C507, "'.", CHAR(10),
"Saya memiliki Tone of Voice: '", 'CONTENT PILLAR MAPPING'!C512, "', Brand Archetype: '", 'CONTENT PILLAR MAPPING'!D512, "', dan Deskripsi Gaya Komunikasi: '", 'CONTENT PILLAR MAPPING'!E512, "'.", CHAR(10),
"Target audiens saya adalah: '", 'CONTENT PILLAR MAPPING'!D520, "', dengan segmentasi audiens: '", 'CONTENT PILLAR MAPPING'!D521, "'.", CHAR(10), CHAR(10),
"Mohon buatkan script konten yang **sangat powerful, menarik, inovatif, dan siap pakai** dengan judul ide '", B602, "'.", CHAR(10),
"Konten ini memiliki pilar '", C602, "', nilai tambah utama '", F602, "', dan akan menggunakan storytelling framework '", G602, "'.", CHAR(10),
"Gambaran singkat ide kontennya adalah: '", J602, "'.", CHAR(10),
"Konten ini akan diunggah di platform '", E602, "' dengan format '", D602,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MAPPING'!C507, "'.** Sesuaikan dengan gaya komunikasi saya, dengan fokus pada nilai tambah '", F602,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MAPPING'!D520, ", khusus ", 'CONTENT PILLAR MAPPING'!D521, ") dan membantu mereka menyelesaikan masalah atau mencapai tujuan mereka.", CHAR(10),
"✔ Membantuku membangun personal branding yang kuat dan sustainable, sesuai dengan Positioning saya sebagai '", 'CONTENT PILLAR MAPPING'!C507, "' dan Brand Archetype '", 'CONTENT PILLAR MAPPING'!D512, "'.", CHAR(10),
"✔ Kemas dalam bentuk tabel agar rapi, mudah di baca dan dipahami, dengan kolom 'Judul Konten', 'Pilar', 'Format', 'Draft Script', 'CTA', 'Saran Visual', dan 'Full Caption'. (Kosongkan kolom Link Prompt jika ada)."
),
"")</f>
        <v/>
      </c>
      <c r="L602" s="199" t="n"/>
      <c r="M602" s="199" t="n"/>
      <c r="N602" s="102" t="n"/>
      <c r="O602" s="102" t="n"/>
      <c r="P602" s="102" t="n"/>
      <c r="Q602" s="102" t="n"/>
      <c r="R602" s="102" t="n"/>
      <c r="S602" s="102" t="n"/>
      <c r="T602" s="102" t="n"/>
      <c r="U602" s="102" t="n"/>
      <c r="V602" s="102" t="n"/>
      <c r="W602" s="102" t="n"/>
      <c r="X602" s="102" t="n"/>
      <c r="Y602" s="102" t="n"/>
      <c r="Z602" s="102" t="n"/>
      <c r="AA602" s="102" t="n"/>
      <c r="AB602" s="102" t="n"/>
      <c r="AC602" s="102" t="n"/>
      <c r="AD602" s="102" t="n"/>
    </row>
    <row r="603" ht="15.75" customHeight="1" s="205">
      <c r="A603" s="102" t="n"/>
      <c r="B603" s="142" t="n"/>
      <c r="C603" s="143" t="n"/>
      <c r="D603" s="143" t="n"/>
      <c r="E603" s="143" t="n"/>
      <c r="F603" s="143" t="n"/>
      <c r="G603" s="144" t="n"/>
      <c r="H603" s="145">
        <f>IF(K603&lt;&gt;"", HYPERLINK("https://chatgpt.com/?prompt=" &amp; SUBSTITUTE(SUBSTITUTE(K603, " ", "+"), "&amp;", "dan") &amp; "&amp;force-refresh=true&amp;timestamp=" &amp; TEXT(NOW(), "yyyymmddhhmmss"), "👉 Klik untuk Generate Script! 🔥"), "")</f>
        <v/>
      </c>
      <c r="I603" s="143" t="n"/>
      <c r="J603" s="146" t="n"/>
      <c r="K603" s="130">
        <f>IF(AND(B603&lt;&gt;"", C603&lt;&gt;"", D603&lt;&gt;"", E603&lt;&gt;"", F603&lt;&gt;"", G603&lt;&gt;"", J603&lt;&gt;"", 'CONTENT PILLAR MAPPING'!C506&lt;&gt;"", 'CONTENT PILLAR MAPPING'!E506&lt;&gt;"", 'CONTENT PILLAR MAPPING'!F506&lt;&gt;"", 'CONTENT PILLAR MAPPING'!C509&lt;&gt;"", 'CONTENT PILLAR MAPPING'!C514&lt;&gt;"", 'CONTENT PILLAR MAPPING'!D514&lt;&gt;"", 'CONTENT PILLAR MAPPING'!E514&lt;&gt;"", 'CONTENT PILLAR MAPPING'!D522&lt;&gt;"", 'CONTENT PILLAR MAPPING'!D523&lt;&gt;""),
CONCATENATE(
"Sebagai seorang top konten kreator dengan niche utama '", 'CONTENT PILLAR MAPPING'!C506, "', spesifik kategori '", 'CONTENT PILLAR MAPPING'!E506, "', dan super spesifik '", 'CONTENT PILLAR MAPPING'!F506, "', yang dikenal sebagai '", 'CONTENT PILLAR MAPPING'!C509, "'.", CHAR(10),
"Saya memiliki Tone of Voice: '", 'CONTENT PILLAR MAPPING'!C514, "', Brand Archetype: '", 'CONTENT PILLAR MAPPING'!D514, "', dan Deskripsi Gaya Komunikasi: '", 'CONTENT PILLAR MAPPING'!E514, "'.", CHAR(10),
"Target audiens saya adalah: '", 'CONTENT PILLAR MAPPING'!D522, "', dengan segmentasi audiens: '", 'CONTENT PILLAR MAPPING'!D523, "'.", CHAR(10), CHAR(10),
"Mohon buatkan script konten yang **sangat powerful, menarik, inovatif, dan siap pakai** dengan judul ide '", B603, "'.", CHAR(10),
"Konten ini memiliki pilar '", C603, "', nilai tambah utama '", F603, "', dan akan menggunakan storytelling framework '", G603, "'.", CHAR(10),
"Gambaran singkat ide kontennya adalah: '", J603, "'.", CHAR(10),
"Konten ini akan diunggah di platform '", E603, "' dengan format '", D603,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MAPPING'!C509, "'.** Sesuaikan dengan gaya komunikasi saya, dengan fokus pada nilai tambah '", F603,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MAPPING'!D522, ", khusus ", 'CONTENT PILLAR MAPPING'!D523, ") dan membantu mereka menyelesaikan masalah atau mencapai tujuan mereka.", CHAR(10),
"✔ Membantuku membangun personal branding yang kuat dan sustainable, sesuai dengan Positioning saya sebagai '", 'CONTENT PILLAR MAPPING'!C509, "' dan Brand Archetype '", 'CONTENT PILLAR MAPPING'!D514, "'.", CHAR(10),
"✔ Kemas dalam bentuk tabel agar rapi, mudah di baca dan dipahami, dengan kolom 'Judul Konten', 'Pilar', 'Format', 'Draft Script', 'CTA', 'Saran Visual', dan 'Full Caption'. (Kosongkan kolom Link Prompt jika ada)."
),
"")</f>
        <v/>
      </c>
      <c r="L603" s="91" t="n"/>
      <c r="M603" s="91" t="n"/>
      <c r="N603" s="102" t="n"/>
      <c r="O603" s="102" t="n"/>
      <c r="P603" s="102" t="n"/>
      <c r="Q603" s="102" t="n"/>
      <c r="R603" s="102" t="n"/>
      <c r="S603" s="102" t="n"/>
      <c r="T603" s="102" t="n"/>
      <c r="U603" s="102" t="n"/>
      <c r="V603" s="102" t="n"/>
      <c r="W603" s="102" t="n"/>
      <c r="X603" s="102" t="n"/>
      <c r="Y603" s="102" t="n"/>
      <c r="Z603" s="102" t="n"/>
      <c r="AA603" s="102" t="n"/>
      <c r="AB603" s="102" t="n"/>
      <c r="AC603" s="102" t="n"/>
      <c r="AD603" s="102" t="n"/>
    </row>
    <row r="604" ht="15.75" customHeight="1" s="205">
      <c r="A604" s="102" t="n"/>
      <c r="B604" s="147" t="n"/>
      <c r="C604" s="144" t="n"/>
      <c r="D604" s="144" t="n"/>
      <c r="E604" s="144" t="n"/>
      <c r="F604" s="144" t="n"/>
      <c r="G604" s="144" t="n"/>
      <c r="H604" s="141">
        <f>IF(K604&lt;&gt;"", HYPERLINK("https://chatgpt.com/?prompt=" &amp; SUBSTITUTE(SUBSTITUTE(K604, " ", "+"), "&amp;", "dan") &amp; "&amp;force-refresh=true&amp;timestamp=" &amp; TEXT(NOW(), "yyyymmddhhmmss"), "👉 Klik untuk Generate Script! 🔥"), "")</f>
        <v/>
      </c>
      <c r="I604" s="144" t="n"/>
      <c r="J604" s="148" t="n"/>
      <c r="K604" s="140">
        <f>IF(AND(B604&lt;&gt;"", C604&lt;&gt;"", D604&lt;&gt;"", E604&lt;&gt;"", F604&lt;&gt;"", G604&lt;&gt;"", J604&lt;&gt;"", 'CONTENT PILLAR MAPPING'!C506&lt;&gt;"", 'CONTENT PILLAR MAPPING'!E506&lt;&gt;"", 'CONTENT PILLAR MAPPING'!F506&lt;&gt;"", 'CONTENT PILLAR MAPPING'!C509&lt;&gt;"", 'CONTENT PILLAR MAPPING'!C514&lt;&gt;"", 'CONTENT PILLAR MAPPING'!D514&lt;&gt;"", 'CONTENT PILLAR MAPPING'!E514&lt;&gt;"", 'CONTENT PILLAR MAPPING'!D522&lt;&gt;"", 'CONTENT PILLAR MAPPING'!D523&lt;&gt;""),
CONCATENATE(
"Sebagai seorang top konten kreator dengan niche utama '", 'CONTENT PILLAR MAPPING'!C506, "', spesifik kategori '", 'CONTENT PILLAR MAPPING'!E506, "', dan super spesifik '", 'CONTENT PILLAR MAPPING'!F506, "', yang dikenal sebagai '", 'CONTENT PILLAR MAPPING'!C509, "'.", CHAR(10),
"Saya memiliki Tone of Voice: '", 'CONTENT PILLAR MAPPING'!C514, "', Brand Archetype: '", 'CONTENT PILLAR MAPPING'!D514, "', dan Deskripsi Gaya Komunikasi: '", 'CONTENT PILLAR MAPPING'!E514, "'.", CHAR(10),
"Target audiens saya adalah: '", 'CONTENT PILLAR MAPPING'!D522, "', dengan segmentasi audiens: '", 'CONTENT PILLAR MAPPING'!D523, "'.", CHAR(10), CHAR(10),
"Mohon buatkan script konten yang **sangat powerful, menarik, inovatif, dan siap pakai** dengan judul ide '", B604, "'.", CHAR(10),
"Konten ini memiliki pilar '", C604, "', nilai tambah utama '", F604, "', dan akan menggunakan storytelling framework '", G604, "'.", CHAR(10),
"Gambaran singkat ide kontennya adalah: '", J604, "'.", CHAR(10),
"Konten ini akan diunggah di platform '", E604, "' dengan format '", D604,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MAPPING'!C509, "'.** Sesuaikan dengan gaya komunikasi saya, dengan fokus pada nilai tambah '", F604,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MAPPING'!D522, ", khusus ", 'CONTENT PILLAR MAPPING'!D523, ") dan membantu mereka menyelesaikan masalah atau mencapai tujuan mereka.", CHAR(10),
"✔ Membantuku membangun personal branding yang kuat dan sustainable, sesuai dengan Positioning saya sebagai '", 'CONTENT PILLAR MAPPING'!C509, "' dan Brand Archetype '", 'CONTENT PILLAR MAPPING'!D514, "'.", CHAR(10),
"✔ Kemas dalam bentuk tabel agar rapi, mudah di baca dan dipahami, dengan kolom 'Judul Konten', 'Pilar', 'Format', 'Draft Script', 'CTA', 'Saran Visual', dan 'Full Caption'. (Kosongkan kolom Link Prompt jika ada)."
),
"")</f>
        <v/>
      </c>
      <c r="L604" s="199" t="n"/>
      <c r="M604" s="199" t="n"/>
      <c r="N604" s="102" t="n"/>
      <c r="O604" s="102" t="n"/>
      <c r="P604" s="102" t="n"/>
      <c r="Q604" s="102" t="n"/>
      <c r="R604" s="102" t="n"/>
      <c r="S604" s="102" t="n"/>
      <c r="T604" s="102" t="n"/>
      <c r="U604" s="102" t="n"/>
      <c r="V604" s="102" t="n"/>
      <c r="W604" s="102" t="n"/>
      <c r="X604" s="102" t="n"/>
      <c r="Y604" s="102" t="n"/>
      <c r="Z604" s="102" t="n"/>
      <c r="AA604" s="102" t="n"/>
      <c r="AB604" s="102" t="n"/>
      <c r="AC604" s="102" t="n"/>
      <c r="AD604" s="102" t="n"/>
    </row>
    <row r="605" ht="15.75" customHeight="1" s="205">
      <c r="A605" s="102" t="n"/>
      <c r="B605" s="142" t="n"/>
      <c r="C605" s="143" t="n"/>
      <c r="D605" s="143" t="n"/>
      <c r="E605" s="143" t="n"/>
      <c r="F605" s="143" t="n"/>
      <c r="G605" s="144" t="n"/>
      <c r="H605" s="145">
        <f>IF(K605&lt;&gt;"", HYPERLINK("https://chatgpt.com/?prompt=" &amp; SUBSTITUTE(SUBSTITUTE(K605, " ", "+"), "&amp;", "dan") &amp; "&amp;force-refresh=true&amp;timestamp=" &amp; TEXT(NOW(), "yyyymmddhhmmss"), "👉 Klik untuk Generate Script! 🔥"), "")</f>
        <v/>
      </c>
      <c r="I605" s="143" t="n"/>
      <c r="J605" s="146" t="n"/>
      <c r="K605" s="130">
        <f>IF(AND(B605&lt;&gt;"", C605&lt;&gt;"", D605&lt;&gt;"", E605&lt;&gt;"", F605&lt;&gt;"", G605&lt;&gt;"", J605&lt;&gt;"", 'CONTENT PILLAR MAPPING'!C508&lt;&gt;"", 'CONTENT PILLAR MAPPING'!E508&lt;&gt;"", 'CONTENT PILLAR MAPPING'!F508&lt;&gt;"", 'CONTENT PILLAR MAPPING'!C511&lt;&gt;"", 'CONTENT PILLAR MAPPING'!C516&lt;&gt;"", 'CONTENT PILLAR MAPPING'!D516&lt;&gt;"", 'CONTENT PILLAR MAPPING'!E516&lt;&gt;"", 'CONTENT PILLAR MAPPING'!D524&lt;&gt;"", 'CONTENT PILLAR MAPPING'!D525&lt;&gt;""),
CONCATENATE(
"Sebagai seorang top konten kreator dengan niche utama '", 'CONTENT PILLAR MAPPING'!C508, "', spesifik kategori '", 'CONTENT PILLAR MAPPING'!E508, "', dan super spesifik '", 'CONTENT PILLAR MAPPING'!F508, "', yang dikenal sebagai '", 'CONTENT PILLAR MAPPING'!C511, "'.", CHAR(10),
"Saya memiliki Tone of Voice: '", 'CONTENT PILLAR MAPPING'!C516, "', Brand Archetype: '", 'CONTENT PILLAR MAPPING'!D516, "', dan Deskripsi Gaya Komunikasi: '", 'CONTENT PILLAR MAPPING'!E516, "'.", CHAR(10),
"Target audiens saya adalah: '", 'CONTENT PILLAR MAPPING'!D524, "', dengan segmentasi audiens: '", 'CONTENT PILLAR MAPPING'!D525, "'.", CHAR(10), CHAR(10),
"Mohon buatkan script konten yang **sangat powerful, menarik, inovatif, dan siap pakai** dengan judul ide '", B605, "'.", CHAR(10),
"Konten ini memiliki pilar '", C605, "', nilai tambah utama '", F605, "', dan akan menggunakan storytelling framework '", G605, "'.", CHAR(10),
"Gambaran singkat ide kontennya adalah: '", J605, "'.", CHAR(10),
"Konten ini akan diunggah di platform '", E605, "' dengan format '", D605,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MAPPING'!C511, "'.** Sesuaikan dengan gaya komunikasi saya, dengan fokus pada nilai tambah '", F605,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MAPPING'!D524, ", khusus ", 'CONTENT PILLAR MAPPING'!D525, ") dan membantu mereka menyelesaikan masalah atau mencapai tujuan mereka.", CHAR(10),
"✔ Membantuku membangun personal branding yang kuat dan sustainable, sesuai dengan Positioning saya sebagai '", 'CONTENT PILLAR MAPPING'!C511, "' dan Brand Archetype '", 'CONTENT PILLAR MAPPING'!D516, "'.", CHAR(10),
"✔ Kemas dalam bentuk tabel agar rapi, mudah di baca dan dipahami, dengan kolom 'Judul Konten', 'Pilar', 'Format', 'Draft Script', 'CTA', 'Saran Visual', dan 'Full Caption'. (Kosongkan kolom Link Prompt jika ada)."
),
"")</f>
        <v/>
      </c>
      <c r="L605" s="91" t="n"/>
      <c r="M605" s="91" t="n"/>
      <c r="N605" s="102" t="n"/>
      <c r="O605" s="102" t="n"/>
      <c r="P605" s="102" t="n"/>
      <c r="Q605" s="102" t="n"/>
      <c r="R605" s="102" t="n"/>
      <c r="S605" s="102" t="n"/>
      <c r="T605" s="102" t="n"/>
      <c r="U605" s="102" t="n"/>
      <c r="V605" s="102" t="n"/>
      <c r="W605" s="102" t="n"/>
      <c r="X605" s="102" t="n"/>
      <c r="Y605" s="102" t="n"/>
      <c r="Z605" s="102" t="n"/>
      <c r="AA605" s="102" t="n"/>
      <c r="AB605" s="102" t="n"/>
      <c r="AC605" s="102" t="n"/>
      <c r="AD605" s="102" t="n"/>
    </row>
    <row r="606" ht="15.75" customHeight="1" s="205">
      <c r="A606" s="102" t="n"/>
      <c r="B606" s="147" t="n"/>
      <c r="C606" s="144" t="n"/>
      <c r="D606" s="144" t="n"/>
      <c r="E606" s="144" t="n"/>
      <c r="F606" s="144" t="n"/>
      <c r="G606" s="144" t="n"/>
      <c r="H606" s="141">
        <f>IF(K606&lt;&gt;"", HYPERLINK("https://chatgpt.com/?prompt=" &amp; SUBSTITUTE(SUBSTITUTE(K606, " ", "+"), "&amp;", "dan") &amp; "&amp;force-refresh=true&amp;timestamp=" &amp; TEXT(NOW(), "yyyymmddhhmmss"), "👉 Klik untuk Generate Script! 🔥"), "")</f>
        <v/>
      </c>
      <c r="I606" s="144" t="n"/>
      <c r="J606" s="148" t="n"/>
      <c r="K606" s="140">
        <f>IF(AND(B606&lt;&gt;"", C606&lt;&gt;"", D606&lt;&gt;"", E606&lt;&gt;"", F606&lt;&gt;"", G606&lt;&gt;"", J606&lt;&gt;"", 'CONTENT PILLAR MAPPING'!C508&lt;&gt;"", 'CONTENT PILLAR MAPPING'!E508&lt;&gt;"", 'CONTENT PILLAR MAPPING'!F508&lt;&gt;"", 'CONTENT PILLAR MAPPING'!C511&lt;&gt;"", 'CONTENT PILLAR MAPPING'!C516&lt;&gt;"", 'CONTENT PILLAR MAPPING'!D516&lt;&gt;"", 'CONTENT PILLAR MAPPING'!E516&lt;&gt;"", 'CONTENT PILLAR MAPPING'!D524&lt;&gt;"", 'CONTENT PILLAR MAPPING'!D525&lt;&gt;""),
CONCATENATE(
"Sebagai seorang top konten kreator dengan niche utama '", 'CONTENT PILLAR MAPPING'!C508, "', spesifik kategori '", 'CONTENT PILLAR MAPPING'!E508, "', dan super spesifik '", 'CONTENT PILLAR MAPPING'!F508, "', yang dikenal sebagai '", 'CONTENT PILLAR MAPPING'!C511, "'.", CHAR(10),
"Saya memiliki Tone of Voice: '", 'CONTENT PILLAR MAPPING'!C516, "', Brand Archetype: '", 'CONTENT PILLAR MAPPING'!D516, "', dan Deskripsi Gaya Komunikasi: '", 'CONTENT PILLAR MAPPING'!E516, "'.", CHAR(10),
"Target audiens saya adalah: '", 'CONTENT PILLAR MAPPING'!D524, "', dengan segmentasi audiens: '", 'CONTENT PILLAR MAPPING'!D525, "'.", CHAR(10), CHAR(10),
"Mohon buatkan script konten yang **sangat powerful, menarik, inovatif, dan siap pakai** dengan judul ide '", B606, "'.", CHAR(10),
"Konten ini memiliki pilar '", C606, "', nilai tambah utama '", F606, "', dan akan menggunakan storytelling framework '", G606, "'.", CHAR(10),
"Gambaran singkat ide kontennya adalah: '", J606, "'.", CHAR(10),
"Konten ini akan diunggah di platform '", E606, "' dengan format '", D606,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MAPPING'!C511, "'.** Sesuaikan dengan gaya komunikasi saya, dengan fokus pada nilai tambah '", F606,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MAPPING'!D524, ", khusus ", 'CONTENT PILLAR MAPPING'!D525, ") dan membantu mereka menyelesaikan masalah atau mencapai tujuan mereka.", CHAR(10),
"✔ Membantuku membangun personal branding yang kuat dan sustainable, sesuai dengan Positioning saya sebagai '", 'CONTENT PILLAR MAPPING'!C511, "' dan Brand Archetype '", 'CONTENT PILLAR MAPPING'!D516, "'.", CHAR(10),
"✔ Kemas dalam bentuk tabel agar rapi, mudah di baca dan dipahami, dengan kolom 'Judul Konten', 'Pilar', 'Format', 'Draft Script', 'CTA', 'Saran Visual', dan 'Full Caption'. (Kosongkan kolom Link Prompt jika ada)."
),
"")</f>
        <v/>
      </c>
      <c r="L606" s="199" t="n"/>
      <c r="M606" s="199" t="n"/>
      <c r="N606" s="102" t="n"/>
      <c r="O606" s="102" t="n"/>
      <c r="P606" s="102" t="n"/>
      <c r="Q606" s="102" t="n"/>
      <c r="R606" s="102" t="n"/>
      <c r="S606" s="102" t="n"/>
      <c r="T606" s="102" t="n"/>
      <c r="U606" s="102" t="n"/>
      <c r="V606" s="102" t="n"/>
      <c r="W606" s="102" t="n"/>
      <c r="X606" s="102" t="n"/>
      <c r="Y606" s="102" t="n"/>
      <c r="Z606" s="102" t="n"/>
      <c r="AA606" s="102" t="n"/>
      <c r="AB606" s="102" t="n"/>
      <c r="AC606" s="102" t="n"/>
      <c r="AD606" s="102" t="n"/>
    </row>
    <row r="607" ht="15.75" customHeight="1" s="205">
      <c r="A607" s="102" t="n"/>
      <c r="B607" s="142" t="n"/>
      <c r="C607" s="143" t="n"/>
      <c r="D607" s="143" t="n"/>
      <c r="E607" s="143" t="n"/>
      <c r="F607" s="143" t="n"/>
      <c r="G607" s="144" t="n"/>
      <c r="H607" s="145">
        <f>IF(K607&lt;&gt;"", HYPERLINK("https://chatgpt.com/?prompt=" &amp; SUBSTITUTE(SUBSTITUTE(K607, " ", "+"), "&amp;", "dan") &amp; "&amp;force-refresh=true&amp;timestamp=" &amp; TEXT(NOW(), "yyyymmddhhmmss"), "👉 Klik untuk Generate Script! 🔥"), "")</f>
        <v/>
      </c>
      <c r="I607" s="143" t="n"/>
      <c r="J607" s="146" t="n"/>
      <c r="K607" s="130">
        <f>IF(AND(B607&lt;&gt;"", C607&lt;&gt;"", D607&lt;&gt;"", E607&lt;&gt;"", F607&lt;&gt;"", G607&lt;&gt;"", J607&lt;&gt;"", 'CONTENT PILLAR MAPPING'!C510&lt;&gt;"", 'CONTENT PILLAR MAPPING'!E510&lt;&gt;"", 'CONTENT PILLAR MAPPING'!F510&lt;&gt;"", 'CONTENT PILLAR MAPPING'!C513&lt;&gt;"", 'CONTENT PILLAR MAPPING'!C518&lt;&gt;"", 'CONTENT PILLAR MAPPING'!D518&lt;&gt;"", 'CONTENT PILLAR MAPPING'!E518&lt;&gt;"", 'CONTENT PILLAR MAPPING'!D526&lt;&gt;"", 'CONTENT PILLAR MAPPING'!D527&lt;&gt;""),
CONCATENATE(
"Sebagai seorang top konten kreator dengan niche utama '", 'CONTENT PILLAR MAPPING'!C510, "', spesifik kategori '", 'CONTENT PILLAR MAPPING'!E510, "', dan super spesifik '", 'CONTENT PILLAR MAPPING'!F510, "', yang dikenal sebagai '", 'CONTENT PILLAR MAPPING'!C513, "'.", CHAR(10),
"Saya memiliki Tone of Voice: '", 'CONTENT PILLAR MAPPING'!C518, "', Brand Archetype: '", 'CONTENT PILLAR MAPPING'!D518, "', dan Deskripsi Gaya Komunikasi: '", 'CONTENT PILLAR MAPPING'!E518, "'.", CHAR(10),
"Target audiens saya adalah: '", 'CONTENT PILLAR MAPPING'!D526, "', dengan segmentasi audiens: '", 'CONTENT PILLAR MAPPING'!D527, "'.", CHAR(10), CHAR(10),
"Mohon buatkan script konten yang **sangat powerful, menarik, inovatif, dan siap pakai** dengan judul ide '", B607, "'.", CHAR(10),
"Konten ini memiliki pilar '", C607, "', nilai tambah utama '", F607, "', dan akan menggunakan storytelling framework '", G607, "'.", CHAR(10),
"Gambaran singkat ide kontennya adalah: '", J607, "'.", CHAR(10),
"Konten ini akan diunggah di platform '", E607, "' dengan format '", D607,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MAPPING'!C513, "'.** Sesuaikan dengan gaya komunikasi saya, dengan fokus pada nilai tambah '", F607,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MAPPING'!D526, ", khusus ", 'CONTENT PILLAR MAPPING'!D527, ") dan membantu mereka menyelesaikan masalah atau mencapai tujuan mereka.", CHAR(10),
"✔ Membantuku membangun personal branding yang kuat dan sustainable, sesuai dengan Positioning saya sebagai '", 'CONTENT PILLAR MAPPING'!C513, "' dan Brand Archetype '", 'CONTENT PILLAR MAPPING'!D518, "'.", CHAR(10),
"✔ Kemas dalam bentuk tabel agar rapi, mudah di baca dan dipahami, dengan kolom 'Judul Konten', 'Pilar', 'Format', 'Draft Script', 'CTA', 'Saran Visual', dan 'Full Caption'. (Kosongkan kolom Link Prompt jika ada)."
),
"")</f>
        <v/>
      </c>
      <c r="L607" s="91" t="n"/>
      <c r="M607" s="91" t="n"/>
      <c r="N607" s="102" t="n"/>
      <c r="O607" s="102" t="n"/>
      <c r="P607" s="102" t="n"/>
      <c r="Q607" s="102" t="n"/>
      <c r="R607" s="102" t="n"/>
      <c r="S607" s="102" t="n"/>
      <c r="T607" s="102" t="n"/>
      <c r="U607" s="102" t="n"/>
      <c r="V607" s="102" t="n"/>
      <c r="W607" s="102" t="n"/>
      <c r="X607" s="102" t="n"/>
      <c r="Y607" s="102" t="n"/>
      <c r="Z607" s="102" t="n"/>
      <c r="AA607" s="102" t="n"/>
      <c r="AB607" s="102" t="n"/>
      <c r="AC607" s="102" t="n"/>
      <c r="AD607" s="102" t="n"/>
    </row>
    <row r="608" ht="15.75" customHeight="1" s="205">
      <c r="A608" s="102" t="n"/>
      <c r="B608" s="147" t="n"/>
      <c r="C608" s="144" t="n"/>
      <c r="D608" s="144" t="n"/>
      <c r="E608" s="144" t="n"/>
      <c r="F608" s="144" t="n"/>
      <c r="G608" s="144" t="n"/>
      <c r="H608" s="141">
        <f>IF(K608&lt;&gt;"", HYPERLINK("https://chatgpt.com/?prompt=" &amp; SUBSTITUTE(SUBSTITUTE(K608, " ", "+"), "&amp;", "dan") &amp; "&amp;force-refresh=true&amp;timestamp=" &amp; TEXT(NOW(), "yyyymmddhhmmss"), "👉 Klik untuk Generate Script! 🔥"), "")</f>
        <v/>
      </c>
      <c r="I608" s="144" t="n"/>
      <c r="J608" s="148" t="n"/>
      <c r="K608" s="140">
        <f>IF(AND(B608&lt;&gt;"", C608&lt;&gt;"", D608&lt;&gt;"", E608&lt;&gt;"", F608&lt;&gt;"", G608&lt;&gt;"", J608&lt;&gt;"", 'CONTENT PILLAR MAPPING'!C510&lt;&gt;"", 'CONTENT PILLAR MAPPING'!E510&lt;&gt;"", 'CONTENT PILLAR MAPPING'!F510&lt;&gt;"", 'CONTENT PILLAR MAPPING'!C513&lt;&gt;"", 'CONTENT PILLAR MAPPING'!C518&lt;&gt;"", 'CONTENT PILLAR MAPPING'!D518&lt;&gt;"", 'CONTENT PILLAR MAPPING'!E518&lt;&gt;"", 'CONTENT PILLAR MAPPING'!D526&lt;&gt;"", 'CONTENT PILLAR MAPPING'!D527&lt;&gt;""),
CONCATENATE(
"Sebagai seorang top konten kreator dengan niche utama '", 'CONTENT PILLAR MAPPING'!C510, "', spesifik kategori '", 'CONTENT PILLAR MAPPING'!E510, "', dan super spesifik '", 'CONTENT PILLAR MAPPING'!F510, "', yang dikenal sebagai '", 'CONTENT PILLAR MAPPING'!C513, "'.", CHAR(10),
"Saya memiliki Tone of Voice: '", 'CONTENT PILLAR MAPPING'!C518, "', Brand Archetype: '", 'CONTENT PILLAR MAPPING'!D518, "', dan Deskripsi Gaya Komunikasi: '", 'CONTENT PILLAR MAPPING'!E518, "'.", CHAR(10),
"Target audiens saya adalah: '", 'CONTENT PILLAR MAPPING'!D526, "', dengan segmentasi audiens: '", 'CONTENT PILLAR MAPPING'!D527, "'.", CHAR(10), CHAR(10),
"Mohon buatkan script konten yang **sangat powerful, menarik, inovatif, dan siap pakai** dengan judul ide '", B608, "'.", CHAR(10),
"Konten ini memiliki pilar '", C608, "', nilai tambah utama '", F608, "', dan akan menggunakan storytelling framework '", G608, "'.", CHAR(10),
"Gambaran singkat ide kontennya adalah: '", J608, "'.", CHAR(10),
"Konten ini akan diunggah di platform '", E608, "' dengan format '", D608,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MAPPING'!C513, "'.** Sesuaikan dengan gaya komunikasi saya, dengan fokus pada nilai tambah '", F608,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MAPPING'!D526, ", khusus ", 'CONTENT PILLAR MAPPING'!D527, ") dan membantu mereka menyelesaikan masalah atau mencapai tujuan mereka.", CHAR(10),
"✔ Membantuku membangun personal branding yang kuat dan sustainable, sesuai dengan Positioning saya sebagai '", 'CONTENT PILLAR MAPPING'!C513, "' dan Brand Archetype '", 'CONTENT PILLAR MAPPING'!D518, "'.", CHAR(10),
"✔ Kemas dalam bentuk tabel agar rapi, mudah di baca dan dipahami, dengan kolom 'Judul Konten', 'Pilar', 'Format', 'Draft Script', 'CTA', 'Saran Visual', dan 'Full Caption'. (Kosongkan kolom Link Prompt jika ada)."
),
"")</f>
        <v/>
      </c>
      <c r="L608" s="199" t="n"/>
      <c r="M608" s="199" t="n"/>
      <c r="N608" s="102" t="n"/>
      <c r="O608" s="102" t="n"/>
      <c r="P608" s="102" t="n"/>
      <c r="Q608" s="102" t="n"/>
      <c r="R608" s="102" t="n"/>
      <c r="S608" s="102" t="n"/>
      <c r="T608" s="102" t="n"/>
      <c r="U608" s="102" t="n"/>
      <c r="V608" s="102" t="n"/>
      <c r="W608" s="102" t="n"/>
      <c r="X608" s="102" t="n"/>
      <c r="Y608" s="102" t="n"/>
      <c r="Z608" s="102" t="n"/>
      <c r="AA608" s="102" t="n"/>
      <c r="AB608" s="102" t="n"/>
      <c r="AC608" s="102" t="n"/>
      <c r="AD608" s="102" t="n"/>
    </row>
    <row r="609" ht="15.75" customHeight="1" s="205">
      <c r="A609" s="102" t="n"/>
      <c r="B609" s="142" t="n"/>
      <c r="C609" s="143" t="n"/>
      <c r="D609" s="143" t="n"/>
      <c r="E609" s="143" t="n"/>
      <c r="F609" s="143" t="n"/>
      <c r="G609" s="144" t="n"/>
      <c r="H609" s="145">
        <f>IF(K609&lt;&gt;"", HYPERLINK("https://chatgpt.com/?prompt=" &amp; SUBSTITUTE(SUBSTITUTE(K609, " ", "+"), "&amp;", "dan") &amp; "&amp;force-refresh=true&amp;timestamp=" &amp; TEXT(NOW(), "yyyymmddhhmmss"), "👉 Klik untuk Generate Script! 🔥"), "")</f>
        <v/>
      </c>
      <c r="I609" s="143" t="n"/>
      <c r="J609" s="146" t="n"/>
      <c r="K609" s="130">
        <f>IF(AND(B609&lt;&gt;"", C609&lt;&gt;"", D609&lt;&gt;"", E609&lt;&gt;"", F609&lt;&gt;"", G609&lt;&gt;"", J609&lt;&gt;"", 'CONTENT PILLAR MAPPING'!C512&lt;&gt;"", 'CONTENT PILLAR MAPPING'!E512&lt;&gt;"", 'CONTENT PILLAR MAPPING'!F512&lt;&gt;"", 'CONTENT PILLAR MAPPING'!C515&lt;&gt;"", 'CONTENT PILLAR MAPPING'!C520&lt;&gt;"", 'CONTENT PILLAR MAPPING'!D520&lt;&gt;"", 'CONTENT PILLAR MAPPING'!E520&lt;&gt;"", 'CONTENT PILLAR MAPPING'!D528&lt;&gt;"", 'CONTENT PILLAR MAPPING'!D529&lt;&gt;""),
CONCATENATE(
"Sebagai seorang top konten kreator dengan niche utama '", 'CONTENT PILLAR MAPPING'!C512, "', spesifik kategori '", 'CONTENT PILLAR MAPPING'!E512, "', dan super spesifik '", 'CONTENT PILLAR MAPPING'!F512, "', yang dikenal sebagai '", 'CONTENT PILLAR MAPPING'!C515, "'.", CHAR(10),
"Saya memiliki Tone of Voice: '", 'CONTENT PILLAR MAPPING'!C520, "', Brand Archetype: '", 'CONTENT PILLAR MAPPING'!D520, "', dan Deskripsi Gaya Komunikasi: '", 'CONTENT PILLAR MAPPING'!E520, "'.", CHAR(10),
"Target audiens saya adalah: '", 'CONTENT PILLAR MAPPING'!D528, "', dengan segmentasi audiens: '", 'CONTENT PILLAR MAPPING'!D529, "'.", CHAR(10), CHAR(10),
"Mohon buatkan script konten yang **sangat powerful, menarik, inovatif, dan siap pakai** dengan judul ide '", B609, "'.", CHAR(10),
"Konten ini memiliki pilar '", C609, "', nilai tambah utama '", F609, "', dan akan menggunakan storytelling framework '", G609, "'.", CHAR(10),
"Gambaran singkat ide kontennya adalah: '", J609, "'.", CHAR(10),
"Konten ini akan diunggah di platform '", E609, "' dengan format '", D609,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MAPPING'!C515, "'.** Sesuaikan dengan gaya komunikasi saya, dengan fokus pada nilai tambah '", F609,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MAPPING'!D528, ", khusus ", 'CONTENT PILLAR MAPPING'!D529, ") dan membantu mereka menyelesaikan masalah atau mencapai tujuan mereka.", CHAR(10),
"✔ Membantuku membangun personal branding yang kuat dan sustainable, sesuai dengan Positioning saya sebagai '", 'CONTENT PILLAR MAPPING'!C515, "' dan Brand Archetype '", 'CONTENT PILLAR MAPPING'!D520, "'.", CHAR(10),
"✔ Kemas dalam bentuk tabel agar rapi, mudah di baca dan dipahami, dengan kolom 'Judul Konten', 'Pilar', 'Format', 'Draft Script', 'CTA', 'Saran Visual', dan 'Full Caption'. (Kosongkan kolom Link Prompt jika ada)."
),
"")</f>
        <v/>
      </c>
      <c r="L609" s="91" t="n"/>
      <c r="M609" s="91" t="n"/>
      <c r="N609" s="102" t="n"/>
      <c r="O609" s="102" t="n"/>
      <c r="P609" s="102" t="n"/>
      <c r="Q609" s="102" t="n"/>
      <c r="R609" s="102" t="n"/>
      <c r="S609" s="102" t="n"/>
      <c r="T609" s="102" t="n"/>
      <c r="U609" s="102" t="n"/>
      <c r="V609" s="102" t="n"/>
      <c r="W609" s="102" t="n"/>
      <c r="X609" s="102" t="n"/>
      <c r="Y609" s="102" t="n"/>
      <c r="Z609" s="102" t="n"/>
      <c r="AA609" s="102" t="n"/>
      <c r="AB609" s="102" t="n"/>
      <c r="AC609" s="102" t="n"/>
      <c r="AD609" s="102" t="n"/>
    </row>
    <row r="610" ht="15.75" customHeight="1" s="205">
      <c r="A610" s="102" t="n"/>
      <c r="B610" s="147" t="n"/>
      <c r="C610" s="144" t="n"/>
      <c r="D610" s="144" t="n"/>
      <c r="E610" s="144" t="n"/>
      <c r="F610" s="144" t="n"/>
      <c r="G610" s="144" t="n"/>
      <c r="H610" s="141">
        <f>IF(K610&lt;&gt;"", HYPERLINK("https://chatgpt.com/?prompt=" &amp; SUBSTITUTE(SUBSTITUTE(K610, " ", "+"), "&amp;", "dan") &amp; "&amp;force-refresh=true&amp;timestamp=" &amp; TEXT(NOW(), "yyyymmddhhmmss"), "👉 Klik untuk Generate Script! 🔥"), "")</f>
        <v/>
      </c>
      <c r="I610" s="144" t="n"/>
      <c r="J610" s="148" t="n"/>
      <c r="K610" s="140">
        <f>IF(AND(B610&lt;&gt;"", C610&lt;&gt;"", D610&lt;&gt;"", E610&lt;&gt;"", F610&lt;&gt;"", G610&lt;&gt;"", J610&lt;&gt;"", 'CONTENT PILLAR MAPPING'!C512&lt;&gt;"", 'CONTENT PILLAR MAPPING'!E512&lt;&gt;"", 'CONTENT PILLAR MAPPING'!F512&lt;&gt;"", 'CONTENT PILLAR MAPPING'!C515&lt;&gt;"", 'CONTENT PILLAR MAPPING'!C520&lt;&gt;"", 'CONTENT PILLAR MAPPING'!D520&lt;&gt;"", 'CONTENT PILLAR MAPPING'!E520&lt;&gt;"", 'CONTENT PILLAR MAPPING'!D528&lt;&gt;"", 'CONTENT PILLAR MAPPING'!D529&lt;&gt;""),
CONCATENATE(
"Sebagai seorang top konten kreator dengan niche utama '", 'CONTENT PILLAR MAPPING'!C512, "', spesifik kategori '", 'CONTENT PILLAR MAPPING'!E512, "', dan super spesifik '", 'CONTENT PILLAR MAPPING'!F512, "', yang dikenal sebagai '", 'CONTENT PILLAR MAPPING'!C515, "'.", CHAR(10),
"Saya memiliki Tone of Voice: '", 'CONTENT PILLAR MAPPING'!C520, "', Brand Archetype: '", 'CONTENT PILLAR MAPPING'!D520, "', dan Deskripsi Gaya Komunikasi: '", 'CONTENT PILLAR MAPPING'!E520, "'.", CHAR(10),
"Target audiens saya adalah: '", 'CONTENT PILLAR MAPPING'!D528, "', dengan segmentasi audiens: '", 'CONTENT PILLAR MAPPING'!D529, "'.", CHAR(10), CHAR(10),
"Mohon buatkan script konten yang **sangat powerful, menarik, inovatif, dan siap pakai** dengan judul ide '", B610, "'.", CHAR(10),
"Konten ini memiliki pilar '", C610, "', nilai tambah utama '", F610, "', dan akan menggunakan storytelling framework '", G610, "'.", CHAR(10),
"Gambaran singkat ide kontennya adalah: '", J610, "'.", CHAR(10),
"Konten ini akan diunggah di platform '", E610, "' dengan format '", D610,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MAPPING'!C515, "'.** Sesuaikan dengan gaya komunikasi saya, dengan fokus pada nilai tambah '", F610,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MAPPING'!D528, ", khusus ", 'CONTENT PILLAR MAPPING'!D529, ") dan membantu mereka menyelesaikan masalah atau mencapai tujuan mereka.", CHAR(10),
"✔ Membantuku membangun personal branding yang kuat dan sustainable, sesuai dengan Positioning saya sebagai '", 'CONTENT PILLAR MAPPING'!C515, "' dan Brand Archetype '", 'CONTENT PILLAR MAPPING'!D520, "'.", CHAR(10),
"✔ Kemas dalam bentuk tabel agar rapi, mudah di baca dan dipahami, dengan kolom 'Judul Konten', 'Pilar', 'Format', 'Draft Script', 'CTA', 'Saran Visual', dan 'Full Caption'. (Kosongkan kolom Link Prompt jika ada)."
),
"")</f>
        <v/>
      </c>
      <c r="L610" s="199" t="n"/>
      <c r="M610" s="199" t="n"/>
      <c r="N610" s="102" t="n"/>
      <c r="O610" s="102" t="n"/>
      <c r="P610" s="102" t="n"/>
      <c r="Q610" s="102" t="n"/>
      <c r="R610" s="102" t="n"/>
      <c r="S610" s="102" t="n"/>
      <c r="T610" s="102" t="n"/>
      <c r="U610" s="102" t="n"/>
      <c r="V610" s="102" t="n"/>
      <c r="W610" s="102" t="n"/>
      <c r="X610" s="102" t="n"/>
      <c r="Y610" s="102" t="n"/>
      <c r="Z610" s="102" t="n"/>
      <c r="AA610" s="102" t="n"/>
      <c r="AB610" s="102" t="n"/>
      <c r="AC610" s="102" t="n"/>
      <c r="AD610" s="102" t="n"/>
    </row>
    <row r="611" ht="15.75" customHeight="1" s="205">
      <c r="A611" s="102" t="n"/>
      <c r="B611" s="142" t="n"/>
      <c r="C611" s="143" t="n"/>
      <c r="D611" s="143" t="n"/>
      <c r="E611" s="143" t="n"/>
      <c r="F611" s="143" t="n"/>
      <c r="G611" s="144" t="n"/>
      <c r="H611" s="145">
        <f>IF(K611&lt;&gt;"", HYPERLINK("https://chatgpt.com/?prompt=" &amp; SUBSTITUTE(SUBSTITUTE(K611, " ", "+"), "&amp;", "dan") &amp; "&amp;force-refresh=true&amp;timestamp=" &amp; TEXT(NOW(), "yyyymmddhhmmss"), "👉 Klik untuk Generate Script! 🔥"), "")</f>
        <v/>
      </c>
      <c r="I611" s="143" t="n"/>
      <c r="J611" s="146" t="n"/>
      <c r="K611" s="130">
        <f>IF(AND(B611&lt;&gt;"", C611&lt;&gt;"", D611&lt;&gt;"", E611&lt;&gt;"", F611&lt;&gt;"", G611&lt;&gt;"", J611&lt;&gt;"", 'CONTENT PILLAR MAPPING'!C514&lt;&gt;"", 'CONTENT PILLAR MAPPING'!E514&lt;&gt;"", 'CONTENT PILLAR MAPPING'!F514&lt;&gt;"", 'CONTENT PILLAR MAPPING'!C517&lt;&gt;"", 'CONTENT PILLAR MAPPING'!C522&lt;&gt;"", 'CONTENT PILLAR MAPPING'!D522&lt;&gt;"", 'CONTENT PILLAR MAPPING'!E522&lt;&gt;"", 'CONTENT PILLAR MAPPING'!D530&lt;&gt;"", 'CONTENT PILLAR MAPPING'!D531&lt;&gt;""),
CONCATENATE(
"Sebagai seorang top konten kreator dengan niche utama '", 'CONTENT PILLAR MAPPING'!C514, "', spesifik kategori '", 'CONTENT PILLAR MAPPING'!E514, "', dan super spesifik '", 'CONTENT PILLAR MAPPING'!F514, "', yang dikenal sebagai '", 'CONTENT PILLAR MAPPING'!C517, "'.", CHAR(10),
"Saya memiliki Tone of Voice: '", 'CONTENT PILLAR MAPPING'!C522, "', Brand Archetype: '", 'CONTENT PILLAR MAPPING'!D522, "', dan Deskripsi Gaya Komunikasi: '", 'CONTENT PILLAR MAPPING'!E522, "'.", CHAR(10),
"Target audiens saya adalah: '", 'CONTENT PILLAR MAPPING'!D530, "', dengan segmentasi audiens: '", 'CONTENT PILLAR MAPPING'!D531, "'.", CHAR(10), CHAR(10),
"Mohon buatkan script konten yang **sangat powerful, menarik, inovatif, dan siap pakai** dengan judul ide '", B611, "'.", CHAR(10),
"Konten ini memiliki pilar '", C611, "', nilai tambah utama '", F611, "', dan akan menggunakan storytelling framework '", G611, "'.", CHAR(10),
"Gambaran singkat ide kontennya adalah: '", J611, "'.", CHAR(10),
"Konten ini akan diunggah di platform '", E611, "' dengan format '", D611,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MAPPING'!C517, "'.** Sesuaikan dengan gaya komunikasi saya, dengan fokus pada nilai tambah '", F611,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MAPPING'!D530, ", khusus ", 'CONTENT PILLAR MAPPING'!D531, ") dan membantu mereka menyelesaikan masalah atau mencapai tujuan mereka.", CHAR(10),
"✔ Membantuku membangun personal branding yang kuat dan sustainable, sesuai dengan Positioning saya sebagai '", 'CONTENT PILLAR MAPPING'!C517, "' dan Brand Archetype '", 'CONTENT PILLAR MAPPING'!D522, "'.", CHAR(10),
"✔ Kemas dalam bentuk tabel agar rapi, mudah di baca dan dipahami, dengan kolom 'Judul Konten', 'Pilar', 'Format', 'Draft Script', 'CTA', 'Saran Visual', dan 'Full Caption'. (Kosongkan kolom Link Prompt jika ada)."
),
"")</f>
        <v/>
      </c>
      <c r="L611" s="91" t="n"/>
      <c r="M611" s="91" t="n"/>
      <c r="N611" s="102" t="n"/>
      <c r="O611" s="102" t="n"/>
      <c r="P611" s="102" t="n"/>
      <c r="Q611" s="102" t="n"/>
      <c r="R611" s="102" t="n"/>
      <c r="S611" s="102" t="n"/>
      <c r="T611" s="102" t="n"/>
      <c r="U611" s="102" t="n"/>
      <c r="V611" s="102" t="n"/>
      <c r="W611" s="102" t="n"/>
      <c r="X611" s="102" t="n"/>
      <c r="Y611" s="102" t="n"/>
      <c r="Z611" s="102" t="n"/>
      <c r="AA611" s="102" t="n"/>
      <c r="AB611" s="102" t="n"/>
      <c r="AC611" s="102" t="n"/>
      <c r="AD611" s="102" t="n"/>
    </row>
    <row r="612" ht="15.75" customHeight="1" s="205">
      <c r="A612" s="102" t="n"/>
      <c r="B612" s="147" t="n"/>
      <c r="C612" s="144" t="n"/>
      <c r="D612" s="144" t="n"/>
      <c r="E612" s="144" t="n"/>
      <c r="F612" s="144" t="n"/>
      <c r="G612" s="144" t="n"/>
      <c r="H612" s="141">
        <f>IF(K612&lt;&gt;"", HYPERLINK("https://chatgpt.com/?prompt=" &amp; SUBSTITUTE(SUBSTITUTE(K612, " ", "+"), "&amp;", "dan") &amp; "&amp;force-refresh=true&amp;timestamp=" &amp; TEXT(NOW(), "yyyymmddhhmmss"), "👉 Klik untuk Generate Script! 🔥"), "")</f>
        <v/>
      </c>
      <c r="I612" s="144" t="n"/>
      <c r="J612" s="148" t="n"/>
      <c r="K612" s="140">
        <f>IF(AND(B612&lt;&gt;"", C612&lt;&gt;"", D612&lt;&gt;"", E612&lt;&gt;"", F612&lt;&gt;"", G612&lt;&gt;"", J612&lt;&gt;"", 'CONTENT PILLAR MAPPING'!C514&lt;&gt;"", 'CONTENT PILLAR MAPPING'!E514&lt;&gt;"", 'CONTENT PILLAR MAPPING'!F514&lt;&gt;"", 'CONTENT PILLAR MAPPING'!C517&lt;&gt;"", 'CONTENT PILLAR MAPPING'!C522&lt;&gt;"", 'CONTENT PILLAR MAPPING'!D522&lt;&gt;"", 'CONTENT PILLAR MAPPING'!E522&lt;&gt;"", 'CONTENT PILLAR MAPPING'!D530&lt;&gt;"", 'CONTENT PILLAR MAPPING'!D531&lt;&gt;""),
CONCATENATE(
"Sebagai seorang top konten kreator dengan niche utama '", 'CONTENT PILLAR MAPPING'!C514, "', spesifik kategori '", 'CONTENT PILLAR MAPPING'!E514, "', dan super spesifik '", 'CONTENT PILLAR MAPPING'!F514, "', yang dikenal sebagai '", 'CONTENT PILLAR MAPPING'!C517, "'.", CHAR(10),
"Saya memiliki Tone of Voice: '", 'CONTENT PILLAR MAPPING'!C522, "', Brand Archetype: '", 'CONTENT PILLAR MAPPING'!D522, "', dan Deskripsi Gaya Komunikasi: '", 'CONTENT PILLAR MAPPING'!E522, "'.", CHAR(10),
"Target audiens saya adalah: '", 'CONTENT PILLAR MAPPING'!D530, "', dengan segmentasi audiens: '", 'CONTENT PILLAR MAPPING'!D531, "'.", CHAR(10), CHAR(10),
"Mohon buatkan script konten yang **sangat powerful, menarik, inovatif, dan siap pakai** dengan judul ide '", B612, "'.", CHAR(10),
"Konten ini memiliki pilar '", C612, "', nilai tambah utama '", F612, "', dan akan menggunakan storytelling framework '", G612, "'.", CHAR(10),
"Gambaran singkat ide kontennya adalah: '", J612, "'.", CHAR(10),
"Konten ini akan diunggah di platform '", E612, "' dengan format '", D612,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MAPPING'!C517, "'.** Sesuaikan dengan gaya komunikasi saya, dengan fokus pada nilai tambah '", F612,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MAPPING'!D530, ", khusus ", 'CONTENT PILLAR MAPPING'!D531, ") dan membantu mereka menyelesaikan masalah atau mencapai tujuan mereka.", CHAR(10),
"✔ Membantuku membangun personal branding yang kuat dan sustainable, sesuai dengan Positioning saya sebagai '", 'CONTENT PILLAR MAPPING'!C517, "' dan Brand Archetype '", 'CONTENT PILLAR MAPPING'!D522, "'.", CHAR(10),
"✔ Kemas dalam bentuk tabel agar rapi, mudah di baca dan dipahami, dengan kolom 'Judul Konten', 'Pilar', 'Format', 'Draft Script', 'CTA', 'Saran Visual', dan 'Full Caption'. (Kosongkan kolom Link Prompt jika ada)."
),
"")</f>
        <v/>
      </c>
      <c r="L612" s="199" t="n"/>
      <c r="M612" s="199" t="n"/>
      <c r="N612" s="102" t="n"/>
      <c r="O612" s="102" t="n"/>
      <c r="P612" s="102" t="n"/>
      <c r="Q612" s="102" t="n"/>
      <c r="R612" s="102" t="n"/>
      <c r="S612" s="102" t="n"/>
      <c r="T612" s="102" t="n"/>
      <c r="U612" s="102" t="n"/>
      <c r="V612" s="102" t="n"/>
      <c r="W612" s="102" t="n"/>
      <c r="X612" s="102" t="n"/>
      <c r="Y612" s="102" t="n"/>
      <c r="Z612" s="102" t="n"/>
      <c r="AA612" s="102" t="n"/>
      <c r="AB612" s="102" t="n"/>
      <c r="AC612" s="102" t="n"/>
      <c r="AD612" s="102" t="n"/>
    </row>
    <row r="613" ht="15.75" customHeight="1" s="205">
      <c r="A613" s="102" t="n"/>
      <c r="B613" s="142" t="n"/>
      <c r="C613" s="143" t="n"/>
      <c r="D613" s="143" t="n"/>
      <c r="E613" s="143" t="n"/>
      <c r="F613" s="143" t="n"/>
      <c r="G613" s="144" t="n"/>
      <c r="H613" s="145">
        <f>IF(K613&lt;&gt;"", HYPERLINK("https://chatgpt.com/?prompt=" &amp; SUBSTITUTE(SUBSTITUTE(K613, " ", "+"), "&amp;", "dan") &amp; "&amp;force-refresh=true&amp;timestamp=" &amp; TEXT(NOW(), "yyyymmddhhmmss"), "👉 Klik untuk Generate Script! 🔥"), "")</f>
        <v/>
      </c>
      <c r="I613" s="143" t="n"/>
      <c r="J613" s="146" t="n"/>
      <c r="K613" s="130">
        <f>IF(AND(B613&lt;&gt;"", C613&lt;&gt;"", D613&lt;&gt;"", E613&lt;&gt;"", F613&lt;&gt;"", G613&lt;&gt;"", J613&lt;&gt;"", 'CONTENT PILLAR MAPPING'!C516&lt;&gt;"", 'CONTENT PILLAR MAPPING'!E516&lt;&gt;"", 'CONTENT PILLAR MAPPING'!F516&lt;&gt;"", 'CONTENT PILLAR MAPPING'!C519&lt;&gt;"", 'CONTENT PILLAR MAPPING'!C524&lt;&gt;"", 'CONTENT PILLAR MAPPING'!D524&lt;&gt;"", 'CONTENT PILLAR MAPPING'!E524&lt;&gt;"", 'CONTENT PILLAR MAPPING'!D532&lt;&gt;"", 'CONTENT PILLAR MAPPING'!D533&lt;&gt;""),
CONCATENATE(
"Sebagai seorang top konten kreator dengan niche utama '", 'CONTENT PILLAR MAPPING'!C516, "', spesifik kategori '", 'CONTENT PILLAR MAPPING'!E516, "', dan super spesifik '", 'CONTENT PILLAR MAPPING'!F516, "', yang dikenal sebagai '", 'CONTENT PILLAR MAPPING'!C519, "'.", CHAR(10),
"Saya memiliki Tone of Voice: '", 'CONTENT PILLAR MAPPING'!C524, "', Brand Archetype: '", 'CONTENT PILLAR MAPPING'!D524, "', dan Deskripsi Gaya Komunikasi: '", 'CONTENT PILLAR MAPPING'!E524, "'.", CHAR(10),
"Target audiens saya adalah: '", 'CONTENT PILLAR MAPPING'!D532, "', dengan segmentasi audiens: '", 'CONTENT PILLAR MAPPING'!D533, "'.", CHAR(10), CHAR(10),
"Mohon buatkan script konten yang **sangat powerful, menarik, inovatif, dan siap pakai** dengan judul ide '", B613, "'.", CHAR(10),
"Konten ini memiliki pilar '", C613, "', nilai tambah utama '", F613, "', dan akan menggunakan storytelling framework '", G613, "'.", CHAR(10),
"Gambaran singkat ide kontennya adalah: '", J613, "'.", CHAR(10),
"Konten ini akan diunggah di platform '", E613, "' dengan format '", D613,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MAPPING'!C519, "'.** Sesuaikan dengan gaya komunikasi saya, dengan fokus pada nilai tambah '", F613,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MAPPING'!D532, ", khusus ", 'CONTENT PILLAR MAPPING'!D533, ") dan membantu mereka menyelesaikan masalah atau mencapai tujuan mereka.", CHAR(10),
"✔ Membantuku membangun personal branding yang kuat dan sustainable, sesuai dengan Positioning saya sebagai '", 'CONTENT PILLAR MAPPING'!C519, "' dan Brand Archetype '", 'CONTENT PILLAR MAPPING'!D524, "'.", CHAR(10),
"✔ Kemas dalam bentuk tabel agar rapi, mudah di baca dan dipahami, dengan kolom 'Judul Konten', 'Pilar', 'Format', 'Draft Script', 'CTA', 'Saran Visual', dan 'Full Caption'. (Kosongkan kolom Link Prompt jika ada)."
),
"")</f>
        <v/>
      </c>
      <c r="L613" s="91" t="n"/>
      <c r="M613" s="91" t="n"/>
      <c r="N613" s="102" t="n"/>
      <c r="O613" s="102" t="n"/>
      <c r="P613" s="102" t="n"/>
      <c r="Q613" s="102" t="n"/>
      <c r="R613" s="102" t="n"/>
      <c r="S613" s="102" t="n"/>
      <c r="T613" s="102" t="n"/>
      <c r="U613" s="102" t="n"/>
      <c r="V613" s="102" t="n"/>
      <c r="W613" s="102" t="n"/>
      <c r="X613" s="102" t="n"/>
      <c r="Y613" s="102" t="n"/>
      <c r="Z613" s="102" t="n"/>
      <c r="AA613" s="102" t="n"/>
      <c r="AB613" s="102" t="n"/>
      <c r="AC613" s="102" t="n"/>
      <c r="AD613" s="102" t="n"/>
    </row>
    <row r="614" ht="15.75" customHeight="1" s="205">
      <c r="A614" s="102" t="n"/>
      <c r="B614" s="147" t="n"/>
      <c r="C614" s="144" t="n"/>
      <c r="D614" s="144" t="n"/>
      <c r="E614" s="144" t="n"/>
      <c r="F614" s="144" t="n"/>
      <c r="G614" s="144" t="n"/>
      <c r="H614" s="141">
        <f>IF(K614&lt;&gt;"", HYPERLINK("https://chatgpt.com/?prompt=" &amp; SUBSTITUTE(SUBSTITUTE(K614, " ", "+"), "&amp;", "dan") &amp; "&amp;force-refresh=true&amp;timestamp=" &amp; TEXT(NOW(), "yyyymmddhhmmss"), "👉 Klik untuk Generate Script! 🔥"), "")</f>
        <v/>
      </c>
      <c r="I614" s="144" t="n"/>
      <c r="J614" s="148" t="n"/>
      <c r="K614" s="140">
        <f>IF(AND(B614&lt;&gt;"", C614&lt;&gt;"", D614&lt;&gt;"", E614&lt;&gt;"", F614&lt;&gt;"", G614&lt;&gt;"", J614&lt;&gt;"", 'CONTENT PILLAR MAPPING'!C516&lt;&gt;"", 'CONTENT PILLAR MAPPING'!E516&lt;&gt;"", 'CONTENT PILLAR MAPPING'!F516&lt;&gt;"", 'CONTENT PILLAR MAPPING'!C519&lt;&gt;"", 'CONTENT PILLAR MAPPING'!C524&lt;&gt;"", 'CONTENT PILLAR MAPPING'!D524&lt;&gt;"", 'CONTENT PILLAR MAPPING'!E524&lt;&gt;"", 'CONTENT PILLAR MAPPING'!D532&lt;&gt;"", 'CONTENT PILLAR MAPPING'!D533&lt;&gt;""),
CONCATENATE(
"Sebagai seorang top konten kreator dengan niche utama '", 'CONTENT PILLAR MAPPING'!C516, "', spesifik kategori '", 'CONTENT PILLAR MAPPING'!E516, "', dan super spesifik '", 'CONTENT PILLAR MAPPING'!F516, "', yang dikenal sebagai '", 'CONTENT PILLAR MAPPING'!C519, "'.", CHAR(10),
"Saya memiliki Tone of Voice: '", 'CONTENT PILLAR MAPPING'!C524, "', Brand Archetype: '", 'CONTENT PILLAR MAPPING'!D524, "', dan Deskripsi Gaya Komunikasi: '", 'CONTENT PILLAR MAPPING'!E524, "'.", CHAR(10),
"Target audiens saya adalah: '", 'CONTENT PILLAR MAPPING'!D532, "', dengan segmentasi audiens: '", 'CONTENT PILLAR MAPPING'!D533, "'.", CHAR(10), CHAR(10),
"Mohon buatkan script konten yang **sangat powerful, menarik, inovatif, dan siap pakai** dengan judul ide '", B614, "'.", CHAR(10),
"Konten ini memiliki pilar '", C614, "', nilai tambah utama '", F614, "', dan akan menggunakan storytelling framework '", G614, "'.", CHAR(10),
"Gambaran singkat ide kontennya adalah: '", J614, "'.", CHAR(10),
"Konten ini akan diunggah di platform '", E614, "' dengan format '", D614,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MAPPING'!C519, "'.** Sesuaikan dengan gaya komunikasi saya, dengan fokus pada nilai tambah '", F614,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MAPPING'!D532, ", khusus ", 'CONTENT PILLAR MAPPING'!D533, ") dan membantu mereka menyelesaikan masalah atau mencapai tujuan mereka.", CHAR(10),
"✔ Membantuku membangun personal branding yang kuat dan sustainable, sesuai dengan Positioning saya sebagai '", 'CONTENT PILLAR MAPPING'!C519, "' dan Brand Archetype '", 'CONTENT PILLAR MAPPING'!D524, "'.", CHAR(10),
"✔ Kemas dalam bentuk tabel agar rapi, mudah di baca dan dipahami, dengan kolom 'Judul Konten', 'Pilar', 'Format', 'Draft Script', 'CTA', 'Saran Visual', dan 'Full Caption'. (Kosongkan kolom Link Prompt jika ada)."
),
"")</f>
        <v/>
      </c>
      <c r="L614" s="199" t="n"/>
      <c r="M614" s="199" t="n"/>
      <c r="N614" s="102" t="n"/>
      <c r="O614" s="102" t="n"/>
      <c r="P614" s="102" t="n"/>
      <c r="Q614" s="102" t="n"/>
      <c r="R614" s="102" t="n"/>
      <c r="S614" s="102" t="n"/>
      <c r="T614" s="102" t="n"/>
      <c r="U614" s="102" t="n"/>
      <c r="V614" s="102" t="n"/>
      <c r="W614" s="102" t="n"/>
      <c r="X614" s="102" t="n"/>
      <c r="Y614" s="102" t="n"/>
      <c r="Z614" s="102" t="n"/>
      <c r="AA614" s="102" t="n"/>
      <c r="AB614" s="102" t="n"/>
      <c r="AC614" s="102" t="n"/>
      <c r="AD614" s="102" t="n"/>
    </row>
    <row r="615" ht="15.75" customHeight="1" s="205">
      <c r="A615" s="102" t="n"/>
      <c r="B615" s="142" t="n"/>
      <c r="C615" s="143" t="n"/>
      <c r="D615" s="143" t="n"/>
      <c r="E615" s="143" t="n"/>
      <c r="F615" s="143" t="n"/>
      <c r="G615" s="144" t="n"/>
      <c r="H615" s="145">
        <f>IF(K615&lt;&gt;"", HYPERLINK("https://chatgpt.com/?prompt=" &amp; SUBSTITUTE(SUBSTITUTE(K615, " ", "+"), "&amp;", "dan") &amp; "&amp;force-refresh=true&amp;timestamp=" &amp; TEXT(NOW(), "yyyymmddhhmmss"), "👉 Klik untuk Generate Script! 🔥"), "")</f>
        <v/>
      </c>
      <c r="I615" s="143" t="n"/>
      <c r="J615" s="146" t="n"/>
      <c r="K615" s="130">
        <f>IF(AND(B615&lt;&gt;"", C615&lt;&gt;"", D615&lt;&gt;"", E615&lt;&gt;"", F615&lt;&gt;"", G615&lt;&gt;"", J615&lt;&gt;"", 'CONTENT PILLAR MAPPING'!C518&lt;&gt;"", 'CONTENT PILLAR MAPPING'!E518&lt;&gt;"", 'CONTENT PILLAR MAPPING'!F518&lt;&gt;"", 'CONTENT PILLAR MAPPING'!C521&lt;&gt;"", 'CONTENT PILLAR MAPPING'!C526&lt;&gt;"", 'CONTENT PILLAR MAPPING'!D526&lt;&gt;"", 'CONTENT PILLAR MAPPING'!E526&lt;&gt;"", 'CONTENT PILLAR MAPPING'!D534&lt;&gt;"", 'CONTENT PILLAR MAPPING'!D535&lt;&gt;""),
CONCATENATE(
"Sebagai seorang top konten kreator dengan niche utama '", 'CONTENT PILLAR MAPPING'!C518, "', spesifik kategori '", 'CONTENT PILLAR MAPPING'!E518, "', dan super spesifik '", 'CONTENT PILLAR MAPPING'!F518, "', yang dikenal sebagai '", 'CONTENT PILLAR MAPPING'!C521, "'.", CHAR(10),
"Saya memiliki Tone of Voice: '", 'CONTENT PILLAR MAPPING'!C526, "', Brand Archetype: '", 'CONTENT PILLAR MAPPING'!D526, "', dan Deskripsi Gaya Komunikasi: '", 'CONTENT PILLAR MAPPING'!E526, "'.", CHAR(10),
"Target audiens saya adalah: '", 'CONTENT PILLAR MAPPING'!D534, "', dengan segmentasi audiens: '", 'CONTENT PILLAR MAPPING'!D535, "'.", CHAR(10), CHAR(10),
"Mohon buatkan script konten yang **sangat powerful, menarik, inovatif, dan siap pakai** dengan judul ide '", B615, "'.", CHAR(10),
"Konten ini memiliki pilar '", C615, "', nilai tambah utama '", F615, "', dan akan menggunakan storytelling framework '", G615, "'.", CHAR(10),
"Gambaran singkat ide kontennya adalah: '", J615, "'.", CHAR(10),
"Konten ini akan diunggah di platform '", E615, "' dengan format '", D615,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MAPPING'!C521, "'.** Sesuaikan dengan gaya komunikasi saya, dengan fokus pada nilai tambah '", F615,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MAPPING'!D534, ", khusus ", 'CONTENT PILLAR MAPPING'!D535, ") dan membantu mereka menyelesaikan masalah atau mencapai tujuan mereka.", CHAR(10),
"✔ Membantuku membangun personal branding yang kuat dan sustainable, sesuai dengan Positioning saya sebagai '", 'CONTENT PILLAR MAPPING'!C521, "' dan Brand Archetype '", 'CONTENT PILLAR MAPPING'!D526, "'.", CHAR(10),
"✔ Kemas dalam bentuk tabel agar rapi, mudah di baca dan dipahami, dengan kolom 'Judul Konten', 'Pilar', 'Format', 'Draft Script', 'CTA', 'Saran Visual', dan 'Full Caption'. (Kosongkan kolom Link Prompt jika ada)."
),
"")</f>
        <v/>
      </c>
      <c r="L615" s="91" t="n"/>
      <c r="M615" s="91" t="n"/>
      <c r="N615" s="102" t="n"/>
      <c r="O615" s="102" t="n"/>
      <c r="P615" s="102" t="n"/>
      <c r="Q615" s="102" t="n"/>
      <c r="R615" s="102" t="n"/>
      <c r="S615" s="102" t="n"/>
      <c r="T615" s="102" t="n"/>
      <c r="U615" s="102" t="n"/>
      <c r="V615" s="102" t="n"/>
      <c r="W615" s="102" t="n"/>
      <c r="X615" s="102" t="n"/>
      <c r="Y615" s="102" t="n"/>
      <c r="Z615" s="102" t="n"/>
      <c r="AA615" s="102" t="n"/>
      <c r="AB615" s="102" t="n"/>
      <c r="AC615" s="102" t="n"/>
      <c r="AD615" s="102" t="n"/>
    </row>
    <row r="616" ht="15.75" customHeight="1" s="205">
      <c r="A616" s="102" t="n"/>
      <c r="B616" s="147" t="n"/>
      <c r="C616" s="144" t="n"/>
      <c r="D616" s="144" t="n"/>
      <c r="E616" s="144" t="n"/>
      <c r="F616" s="144" t="n"/>
      <c r="G616" s="144" t="n"/>
      <c r="H616" s="141">
        <f>IF(K616&lt;&gt;"", HYPERLINK("https://chatgpt.com/?prompt=" &amp; SUBSTITUTE(SUBSTITUTE(K616, " ", "+"), "&amp;", "dan") &amp; "&amp;force-refresh=true&amp;timestamp=" &amp; TEXT(NOW(), "yyyymmddhhmmss"), "👉 Klik untuk Generate Script! 🔥"), "")</f>
        <v/>
      </c>
      <c r="I616" s="144" t="n"/>
      <c r="J616" s="148" t="n"/>
      <c r="K616" s="140">
        <f>IF(AND(B616&lt;&gt;"", C616&lt;&gt;"", D616&lt;&gt;"", E616&lt;&gt;"", F616&lt;&gt;"", G616&lt;&gt;"", J616&lt;&gt;"", 'CONTENT PILLAR MAPPING'!C518&lt;&gt;"", 'CONTENT PILLAR MAPPING'!E518&lt;&gt;"", 'CONTENT PILLAR MAPPING'!F518&lt;&gt;"", 'CONTENT PILLAR MAPPING'!C521&lt;&gt;"", 'CONTENT PILLAR MAPPING'!C526&lt;&gt;"", 'CONTENT PILLAR MAPPING'!D526&lt;&gt;"", 'CONTENT PILLAR MAPPING'!E526&lt;&gt;"", 'CONTENT PILLAR MAPPING'!D534&lt;&gt;"", 'CONTENT PILLAR MAPPING'!D535&lt;&gt;""),
CONCATENATE(
"Sebagai seorang top konten kreator dengan niche utama '", 'CONTENT PILLAR MAPPING'!C518, "', spesifik kategori '", 'CONTENT PILLAR MAPPING'!E518, "', dan super spesifik '", 'CONTENT PILLAR MAPPING'!F518, "', yang dikenal sebagai '", 'CONTENT PILLAR MAPPING'!C521, "'.", CHAR(10),
"Saya memiliki Tone of Voice: '", 'CONTENT PILLAR MAPPING'!C526, "', Brand Archetype: '", 'CONTENT PILLAR MAPPING'!D526, "', dan Deskripsi Gaya Komunikasi: '", 'CONTENT PILLAR MAPPING'!E526, "'.", CHAR(10),
"Target audiens saya adalah: '", 'CONTENT PILLAR MAPPING'!D534, "', dengan segmentasi audiens: '", 'CONTENT PILLAR MAPPING'!D535, "'.", CHAR(10), CHAR(10),
"Mohon buatkan script konten yang **sangat powerful, menarik, inovatif, dan siap pakai** dengan judul ide '", B616, "'.", CHAR(10),
"Konten ini memiliki pilar '", C616, "', nilai tambah utama '", F616, "', dan akan menggunakan storytelling framework '", G616, "'.", CHAR(10),
"Gambaran singkat ide kontennya adalah: '", J616, "'.", CHAR(10),
"Konten ini akan diunggah di platform '", E616, "' dengan format '", D616,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MAPPING'!C521, "'.** Sesuaikan dengan gaya komunikasi saya, dengan fokus pada nilai tambah '", F616,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MAPPING'!D534, ", khusus ", 'CONTENT PILLAR MAPPING'!D535, ") dan membantu mereka menyelesaikan masalah atau mencapai tujuan mereka.", CHAR(10),
"✔ Membantuku membangun personal branding yang kuat dan sustainable, sesuai dengan Positioning saya sebagai '", 'CONTENT PILLAR MAPPING'!C521, "' dan Brand Archetype '", 'CONTENT PILLAR MAPPING'!D526, "'.", CHAR(10),
"✔ Kemas dalam bentuk tabel agar rapi, mudah di baca dan dipahami, dengan kolom 'Judul Konten', 'Pilar', 'Format', 'Draft Script', 'CTA', 'Saran Visual', dan 'Full Caption'. (Kosongkan kolom Link Prompt jika ada)."
),
"")</f>
        <v/>
      </c>
      <c r="L616" s="199" t="n"/>
      <c r="M616" s="199" t="n"/>
      <c r="N616" s="102" t="n"/>
      <c r="O616" s="102" t="n"/>
      <c r="P616" s="102" t="n"/>
      <c r="Q616" s="102" t="n"/>
      <c r="R616" s="102" t="n"/>
      <c r="S616" s="102" t="n"/>
      <c r="T616" s="102" t="n"/>
      <c r="U616" s="102" t="n"/>
      <c r="V616" s="102" t="n"/>
      <c r="W616" s="102" t="n"/>
      <c r="X616" s="102" t="n"/>
      <c r="Y616" s="102" t="n"/>
      <c r="Z616" s="102" t="n"/>
      <c r="AA616" s="102" t="n"/>
      <c r="AB616" s="102" t="n"/>
      <c r="AC616" s="102" t="n"/>
      <c r="AD616" s="102" t="n"/>
    </row>
    <row r="617" ht="15.75" customHeight="1" s="205">
      <c r="A617" s="102" t="n"/>
      <c r="B617" s="142" t="n"/>
      <c r="C617" s="143" t="n"/>
      <c r="D617" s="143" t="n"/>
      <c r="E617" s="143" t="n"/>
      <c r="F617" s="143" t="n"/>
      <c r="G617" s="144" t="n"/>
      <c r="H617" s="145">
        <f>IF(K617&lt;&gt;"", HYPERLINK("https://chatgpt.com/?prompt=" &amp; SUBSTITUTE(SUBSTITUTE(K617, " ", "+"), "&amp;", "dan") &amp; "&amp;force-refresh=true&amp;timestamp=" &amp; TEXT(NOW(), "yyyymmddhhmmss"), "👉 Klik untuk Generate Script! 🔥"), "")</f>
        <v/>
      </c>
      <c r="I617" s="143" t="n"/>
      <c r="J617" s="146" t="n"/>
      <c r="K617" s="130">
        <f>IF(AND(B617&lt;&gt;"", C617&lt;&gt;"", D617&lt;&gt;"", E617&lt;&gt;"", F617&lt;&gt;"", G617&lt;&gt;"", J617&lt;&gt;"", 'CONTENT PILLAR MAPPING'!C520&lt;&gt;"", 'CONTENT PILLAR MAPPING'!E520&lt;&gt;"", 'CONTENT PILLAR MAPPING'!F520&lt;&gt;"", 'CONTENT PILLAR MAPPING'!C523&lt;&gt;"", 'CONTENT PILLAR MAPPING'!C528&lt;&gt;"", 'CONTENT PILLAR MAPPING'!D528&lt;&gt;"", 'CONTENT PILLAR MAPPING'!E528&lt;&gt;"", 'CONTENT PILLAR MAPPING'!D536&lt;&gt;"", 'CONTENT PILLAR MAPPING'!D537&lt;&gt;""),
CONCATENATE(
"Sebagai seorang top konten kreator dengan niche utama '", 'CONTENT PILLAR MAPPING'!C520, "', spesifik kategori '", 'CONTENT PILLAR MAPPING'!E520, "', dan super spesifik '", 'CONTENT PILLAR MAPPING'!F520, "', yang dikenal sebagai '", 'CONTENT PILLAR MAPPING'!C523, "'.", CHAR(10),
"Saya memiliki Tone of Voice: '", 'CONTENT PILLAR MAPPING'!C528, "', Brand Archetype: '", 'CONTENT PILLAR MAPPING'!D528, "', dan Deskripsi Gaya Komunikasi: '", 'CONTENT PILLAR MAPPING'!E528, "'.", CHAR(10),
"Target audiens saya adalah: '", 'CONTENT PILLAR MAPPING'!D536, "', dengan segmentasi audiens: '", 'CONTENT PILLAR MAPPING'!D537, "'.", CHAR(10), CHAR(10),
"Mohon buatkan script konten yang **sangat powerful, menarik, inovatif, dan siap pakai** dengan judul ide '", B617, "'.", CHAR(10),
"Konten ini memiliki pilar '", C617, "', nilai tambah utama '", F617, "', dan akan menggunakan storytelling framework '", G617, "'.", CHAR(10),
"Gambaran singkat ide kontennya adalah: '", J617, "'.", CHAR(10),
"Konten ini akan diunggah di platform '", E617, "' dengan format '", D617,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MAPPING'!C523, "'.** Sesuaikan dengan gaya komunikasi saya, dengan fokus pada nilai tambah '", F617,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MAPPING'!D536, ", khusus ", 'CONTENT PILLAR MAPPING'!D537, ") dan membantu mereka menyelesaikan masalah atau mencapai tujuan mereka.", CHAR(10),
"✔ Membantuku membangun personal branding yang kuat dan sustainable, sesuai dengan Positioning saya sebagai '", 'CONTENT PILLAR MAPPING'!C523, "' dan Brand Archetype '", 'CONTENT PILLAR MAPPING'!D528, "'.", CHAR(10),
"✔ Kemas dalam bentuk tabel agar rapi, mudah di baca dan dipahami, dengan kolom 'Judul Konten', 'Pilar', 'Format', 'Draft Script', 'CTA', 'Saran Visual', dan 'Full Caption'. (Kosongkan kolom Link Prompt jika ada)."
),
"")</f>
        <v/>
      </c>
      <c r="L617" s="91" t="n"/>
      <c r="M617" s="91" t="n"/>
      <c r="N617" s="102" t="n"/>
      <c r="O617" s="102" t="n"/>
      <c r="P617" s="102" t="n"/>
      <c r="Q617" s="102" t="n"/>
      <c r="R617" s="102" t="n"/>
      <c r="S617" s="102" t="n"/>
      <c r="T617" s="102" t="n"/>
      <c r="U617" s="102" t="n"/>
      <c r="V617" s="102" t="n"/>
      <c r="W617" s="102" t="n"/>
      <c r="X617" s="102" t="n"/>
      <c r="Y617" s="102" t="n"/>
      <c r="Z617" s="102" t="n"/>
      <c r="AA617" s="102" t="n"/>
      <c r="AB617" s="102" t="n"/>
      <c r="AC617" s="102" t="n"/>
      <c r="AD617" s="102" t="n"/>
    </row>
    <row r="618" ht="15.75" customHeight="1" s="205">
      <c r="A618" s="102" t="n"/>
      <c r="B618" s="147" t="n"/>
      <c r="C618" s="144" t="n"/>
      <c r="D618" s="144" t="n"/>
      <c r="E618" s="144" t="n"/>
      <c r="F618" s="144" t="n"/>
      <c r="G618" s="144" t="n"/>
      <c r="H618" s="141">
        <f>IF(K618&lt;&gt;"", HYPERLINK("https://chatgpt.com/?prompt=" &amp; SUBSTITUTE(SUBSTITUTE(K618, " ", "+"), "&amp;", "dan") &amp; "&amp;force-refresh=true&amp;timestamp=" &amp; TEXT(NOW(), "yyyymmddhhmmss"), "👉 Klik untuk Generate Script! 🔥"), "")</f>
        <v/>
      </c>
      <c r="I618" s="144" t="n"/>
      <c r="J618" s="148" t="n"/>
      <c r="K618" s="140">
        <f>IF(AND(B618&lt;&gt;"", C618&lt;&gt;"", D618&lt;&gt;"", E618&lt;&gt;"", F618&lt;&gt;"", G618&lt;&gt;"", J618&lt;&gt;"", 'CONTENT PILLAR MAPPING'!C520&lt;&gt;"", 'CONTENT PILLAR MAPPING'!E520&lt;&gt;"", 'CONTENT PILLAR MAPPING'!F520&lt;&gt;"", 'CONTENT PILLAR MAPPING'!C523&lt;&gt;"", 'CONTENT PILLAR MAPPING'!C528&lt;&gt;"", 'CONTENT PILLAR MAPPING'!D528&lt;&gt;"", 'CONTENT PILLAR MAPPING'!E528&lt;&gt;"", 'CONTENT PILLAR MAPPING'!D536&lt;&gt;"", 'CONTENT PILLAR MAPPING'!D537&lt;&gt;""),
CONCATENATE(
"Sebagai seorang top konten kreator dengan niche utama '", 'CONTENT PILLAR MAPPING'!C520, "', spesifik kategori '", 'CONTENT PILLAR MAPPING'!E520, "', dan super spesifik '", 'CONTENT PILLAR MAPPING'!F520, "', yang dikenal sebagai '", 'CONTENT PILLAR MAPPING'!C523, "'.", CHAR(10),
"Saya memiliki Tone of Voice: '", 'CONTENT PILLAR MAPPING'!C528, "', Brand Archetype: '", 'CONTENT PILLAR MAPPING'!D528, "', dan Deskripsi Gaya Komunikasi: '", 'CONTENT PILLAR MAPPING'!E528, "'.", CHAR(10),
"Target audiens saya adalah: '", 'CONTENT PILLAR MAPPING'!D536, "', dengan segmentasi audiens: '", 'CONTENT PILLAR MAPPING'!D537, "'.", CHAR(10), CHAR(10),
"Mohon buatkan script konten yang **sangat powerful, menarik, inovatif, dan siap pakai** dengan judul ide '", B618, "'.", CHAR(10),
"Konten ini memiliki pilar '", C618, "', nilai tambah utama '", F618, "', dan akan menggunakan storytelling framework '", G618, "'.", CHAR(10),
"Gambaran singkat ide kontennya adalah: '", J618, "'.", CHAR(10),
"Konten ini akan diunggah di platform '", E618, "' dengan format '", D618,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MAPPING'!C523, "'.** Sesuaikan dengan gaya komunikasi saya, dengan fokus pada nilai tambah '", F618,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MAPPING'!D536, ", khusus ", 'CONTENT PILLAR MAPPING'!D537, ") dan membantu mereka menyelesaikan masalah atau mencapai tujuan mereka.", CHAR(10),
"✔ Membantuku membangun personal branding yang kuat dan sustainable, sesuai dengan Positioning saya sebagai '", 'CONTENT PILLAR MAPPING'!C523, "' dan Brand Archetype '", 'CONTENT PILLAR MAPPING'!D528, "'.", CHAR(10),
"✔ Kemas dalam bentuk tabel agar rapi, mudah di baca dan dipahami, dengan kolom 'Judul Konten', 'Pilar', 'Format', 'Draft Script', 'CTA', 'Saran Visual', dan 'Full Caption'. (Kosongkan kolom Link Prompt jika ada)."
),
"")</f>
        <v/>
      </c>
      <c r="L618" s="199" t="n"/>
      <c r="M618" s="199" t="n"/>
      <c r="N618" s="102" t="n"/>
      <c r="O618" s="102" t="n"/>
      <c r="P618" s="102" t="n"/>
      <c r="Q618" s="102" t="n"/>
      <c r="R618" s="102" t="n"/>
      <c r="S618" s="102" t="n"/>
      <c r="T618" s="102" t="n"/>
      <c r="U618" s="102" t="n"/>
      <c r="V618" s="102" t="n"/>
      <c r="W618" s="102" t="n"/>
      <c r="X618" s="102" t="n"/>
      <c r="Y618" s="102" t="n"/>
      <c r="Z618" s="102" t="n"/>
      <c r="AA618" s="102" t="n"/>
      <c r="AB618" s="102" t="n"/>
      <c r="AC618" s="102" t="n"/>
      <c r="AD618" s="102" t="n"/>
    </row>
    <row r="619" ht="15.75" customHeight="1" s="205">
      <c r="A619" s="102" t="n"/>
      <c r="B619" s="142" t="n"/>
      <c r="C619" s="143" t="n"/>
      <c r="D619" s="143" t="n"/>
      <c r="E619" s="143" t="n"/>
      <c r="F619" s="143" t="n"/>
      <c r="G619" s="144" t="n"/>
      <c r="H619" s="145">
        <f>IF(K619&lt;&gt;"", HYPERLINK("https://chatgpt.com/?prompt=" &amp; SUBSTITUTE(SUBSTITUTE(K619, " ", "+"), "&amp;", "dan") &amp; "&amp;force-refresh=true&amp;timestamp=" &amp; TEXT(NOW(), "yyyymmddhhmmss"), "👉 Klik untuk Generate Script! 🔥"), "")</f>
        <v/>
      </c>
      <c r="I619" s="143" t="n"/>
      <c r="J619" s="146" t="n"/>
      <c r="K619" s="130">
        <f>IF(AND(B619&lt;&gt;"", C619&lt;&gt;"", D619&lt;&gt;"", E619&lt;&gt;"", F619&lt;&gt;"", G619&lt;&gt;"", J619&lt;&gt;"", 'CONTENT PILLAR MAPPING'!C522&lt;&gt;"", 'CONTENT PILLAR MAPPING'!E522&lt;&gt;"", 'CONTENT PILLAR MAPPING'!F522&lt;&gt;"", 'CONTENT PILLAR MAPPING'!C525&lt;&gt;"", 'CONTENT PILLAR MAPPING'!C530&lt;&gt;"", 'CONTENT PILLAR MAPPING'!D530&lt;&gt;"", 'CONTENT PILLAR MAPPING'!E530&lt;&gt;"", 'CONTENT PILLAR MAPPING'!D538&lt;&gt;"", 'CONTENT PILLAR MAPPING'!D539&lt;&gt;""),
CONCATENATE(
"Sebagai seorang top konten kreator dengan niche utama '", 'CONTENT PILLAR MAPPING'!C522, "', spesifik kategori '", 'CONTENT PILLAR MAPPING'!E522, "', dan super spesifik '", 'CONTENT PILLAR MAPPING'!F522, "', yang dikenal sebagai '", 'CONTENT PILLAR MAPPING'!C525, "'.", CHAR(10),
"Saya memiliki Tone of Voice: '", 'CONTENT PILLAR MAPPING'!C530, "', Brand Archetype: '", 'CONTENT PILLAR MAPPING'!D530, "', dan Deskripsi Gaya Komunikasi: '", 'CONTENT PILLAR MAPPING'!E530, "'.", CHAR(10),
"Target audiens saya adalah: '", 'CONTENT PILLAR MAPPING'!D538, "', dengan segmentasi audiens: '", 'CONTENT PILLAR MAPPING'!D539, "'.", CHAR(10), CHAR(10),
"Mohon buatkan script konten yang **sangat powerful, menarik, inovatif, dan siap pakai** dengan judul ide '", B619, "'.", CHAR(10),
"Konten ini memiliki pilar '", C619, "', nilai tambah utama '", F619, "', dan akan menggunakan storytelling framework '", G619, "'.", CHAR(10),
"Gambaran singkat ide kontennya adalah: '", J619, "'.", CHAR(10),
"Konten ini akan diunggah di platform '", E619, "' dengan format '", D619,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MAPPING'!C525, "'.** Sesuaikan dengan gaya komunikasi saya, dengan fokus pada nilai tambah '", F619,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MAPPING'!D538, ", khusus ", 'CONTENT PILLAR MAPPING'!D539, ") dan membantu mereka menyelesaikan masalah atau mencapai tujuan mereka.", CHAR(10),
"✔ Membantuku membangun personal branding yang kuat dan sustainable, sesuai dengan Positioning saya sebagai '", 'CONTENT PILLAR MAPPING'!C525, "' dan Brand Archetype '", 'CONTENT PILLAR MAPPING'!D530, "'.", CHAR(10),
"✔ Kemas dalam bentuk tabel agar rapi, mudah di baca dan dipahami, dengan kolom 'Judul Konten', 'Pilar', 'Format', 'Draft Script', 'CTA', 'Saran Visual', dan 'Full Caption'. (Kosongkan kolom Link Prompt jika ada)."
),
"")</f>
        <v/>
      </c>
      <c r="L619" s="91" t="n"/>
      <c r="M619" s="91" t="n"/>
      <c r="N619" s="102" t="n"/>
      <c r="O619" s="102" t="n"/>
      <c r="P619" s="102" t="n"/>
      <c r="Q619" s="102" t="n"/>
      <c r="R619" s="102" t="n"/>
      <c r="S619" s="102" t="n"/>
      <c r="T619" s="102" t="n"/>
      <c r="U619" s="102" t="n"/>
      <c r="V619" s="102" t="n"/>
      <c r="W619" s="102" t="n"/>
      <c r="X619" s="102" t="n"/>
      <c r="Y619" s="102" t="n"/>
      <c r="Z619" s="102" t="n"/>
      <c r="AA619" s="102" t="n"/>
      <c r="AB619" s="102" t="n"/>
      <c r="AC619" s="102" t="n"/>
      <c r="AD619" s="102" t="n"/>
    </row>
    <row r="620" ht="15.75" customHeight="1" s="205">
      <c r="A620" s="102" t="n"/>
      <c r="B620" s="147" t="n"/>
      <c r="C620" s="144" t="n"/>
      <c r="D620" s="144" t="n"/>
      <c r="E620" s="144" t="n"/>
      <c r="F620" s="144" t="n"/>
      <c r="G620" s="144" t="n"/>
      <c r="H620" s="141">
        <f>IF(K620&lt;&gt;"", HYPERLINK("https://chatgpt.com/?prompt=" &amp; SUBSTITUTE(SUBSTITUTE(K620, " ", "+"), "&amp;", "dan") &amp; "&amp;force-refresh=true&amp;timestamp=" &amp; TEXT(NOW(), "yyyymmddhhmmss"), "👉 Klik untuk Generate Script! 🔥"), "")</f>
        <v/>
      </c>
      <c r="I620" s="144" t="n"/>
      <c r="J620" s="148" t="n"/>
      <c r="K620" s="140">
        <f>IF(AND(B620&lt;&gt;"", C620&lt;&gt;"", D620&lt;&gt;"", E620&lt;&gt;"", F620&lt;&gt;"", G620&lt;&gt;"", J620&lt;&gt;"", 'CONTENT PILLAR MAPPING'!C522&lt;&gt;"", 'CONTENT PILLAR MAPPING'!E522&lt;&gt;"", 'CONTENT PILLAR MAPPING'!F522&lt;&gt;"", 'CONTENT PILLAR MAPPING'!C525&lt;&gt;"", 'CONTENT PILLAR MAPPING'!C530&lt;&gt;"", 'CONTENT PILLAR MAPPING'!D530&lt;&gt;"", 'CONTENT PILLAR MAPPING'!E530&lt;&gt;"", 'CONTENT PILLAR MAPPING'!D538&lt;&gt;"", 'CONTENT PILLAR MAPPING'!D539&lt;&gt;""),
CONCATENATE(
"Sebagai seorang top konten kreator dengan niche utama '", 'CONTENT PILLAR MAPPING'!C522, "', spesifik kategori '", 'CONTENT PILLAR MAPPING'!E522, "', dan super spesifik '", 'CONTENT PILLAR MAPPING'!F522, "', yang dikenal sebagai '", 'CONTENT PILLAR MAPPING'!C525, "'.", CHAR(10),
"Saya memiliki Tone of Voice: '", 'CONTENT PILLAR MAPPING'!C530, "', Brand Archetype: '", 'CONTENT PILLAR MAPPING'!D530, "', dan Deskripsi Gaya Komunikasi: '", 'CONTENT PILLAR MAPPING'!E530, "'.", CHAR(10),
"Target audiens saya adalah: '", 'CONTENT PILLAR MAPPING'!D538, "', dengan segmentasi audiens: '", 'CONTENT PILLAR MAPPING'!D539, "'.", CHAR(10), CHAR(10),
"Mohon buatkan script konten yang **sangat powerful, menarik, inovatif, dan siap pakai** dengan judul ide '", B620, "'.", CHAR(10),
"Konten ini memiliki pilar '", C620, "', nilai tambah utama '", F620, "', dan akan menggunakan storytelling framework '", G620, "'.", CHAR(10),
"Gambaran singkat ide kontennya adalah: '", J620, "'.", CHAR(10),
"Konten ini akan diunggah di platform '", E620, "' dengan format '", D620,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MAPPING'!C525, "'.** Sesuaikan dengan gaya komunikasi saya, dengan fokus pada nilai tambah '", F620,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MAPPING'!D538, ", khusus ", 'CONTENT PILLAR MAPPING'!D539, ") dan membantu mereka menyelesaikan masalah atau mencapai tujuan mereka.", CHAR(10),
"✔ Membantuku membangun personal branding yang kuat dan sustainable, sesuai dengan Positioning saya sebagai '", 'CONTENT PILLAR MAPPING'!C525, "' dan Brand Archetype '", 'CONTENT PILLAR MAPPING'!D530, "'.", CHAR(10),
"✔ Kemas dalam bentuk tabel agar rapi, mudah di baca dan dipahami, dengan kolom 'Judul Konten', 'Pilar', 'Format', 'Draft Script', 'CTA', 'Saran Visual', dan 'Full Caption'. (Kosongkan kolom Link Prompt jika ada)."
),
"")</f>
        <v/>
      </c>
      <c r="L620" s="199" t="n"/>
      <c r="M620" s="199" t="n"/>
      <c r="N620" s="102" t="n"/>
      <c r="O620" s="102" t="n"/>
      <c r="P620" s="102" t="n"/>
      <c r="Q620" s="102" t="n"/>
      <c r="R620" s="102" t="n"/>
      <c r="S620" s="102" t="n"/>
      <c r="T620" s="102" t="n"/>
      <c r="U620" s="102" t="n"/>
      <c r="V620" s="102" t="n"/>
      <c r="W620" s="102" t="n"/>
      <c r="X620" s="102" t="n"/>
      <c r="Y620" s="102" t="n"/>
      <c r="Z620" s="102" t="n"/>
      <c r="AA620" s="102" t="n"/>
      <c r="AB620" s="102" t="n"/>
      <c r="AC620" s="102" t="n"/>
      <c r="AD620" s="102" t="n"/>
    </row>
    <row r="621" ht="15.75" customHeight="1" s="205">
      <c r="A621" s="102" t="n"/>
      <c r="B621" s="142" t="n"/>
      <c r="C621" s="143" t="n"/>
      <c r="D621" s="143" t="n"/>
      <c r="E621" s="143" t="n"/>
      <c r="F621" s="143" t="n"/>
      <c r="G621" s="144" t="n"/>
      <c r="H621" s="145">
        <f>IF(K621&lt;&gt;"", HYPERLINK("https://chatgpt.com/?prompt=" &amp; SUBSTITUTE(SUBSTITUTE(K621, " ", "+"), "&amp;", "dan") &amp; "&amp;force-refresh=true&amp;timestamp=" &amp; TEXT(NOW(), "yyyymmddhhmmss"), "👉 Klik untuk Generate Script! 🔥"), "")</f>
        <v/>
      </c>
      <c r="I621" s="143" t="n"/>
      <c r="J621" s="146" t="n"/>
      <c r="K621" s="130">
        <f>IF(AND(B621&lt;&gt;"", C621&lt;&gt;"", D621&lt;&gt;"", E621&lt;&gt;"", F621&lt;&gt;"", G621&lt;&gt;"", J621&lt;&gt;"", 'CONTENT PILLAR MAPPING'!C524&lt;&gt;"", 'CONTENT PILLAR MAPPING'!E524&lt;&gt;"", 'CONTENT PILLAR MAPPING'!F524&lt;&gt;"", 'CONTENT PILLAR MAPPING'!C527&lt;&gt;"", 'CONTENT PILLAR MAPPING'!C532&lt;&gt;"", 'CONTENT PILLAR MAPPING'!D532&lt;&gt;"", 'CONTENT PILLAR MAPPING'!E532&lt;&gt;"", 'CONTENT PILLAR MAPPING'!D540&lt;&gt;"", 'CONTENT PILLAR MAPPING'!D541&lt;&gt;""),
CONCATENATE(
"Sebagai seorang top konten kreator dengan niche utama '", 'CONTENT PILLAR MAPPING'!C524, "', spesifik kategori '", 'CONTENT PILLAR MAPPING'!E524, "', dan super spesifik '", 'CONTENT PILLAR MAPPING'!F524, "', yang dikenal sebagai '", 'CONTENT PILLAR MAPPING'!C527, "'.", CHAR(10),
"Saya memiliki Tone of Voice: '", 'CONTENT PILLAR MAPPING'!C532, "', Brand Archetype: '", 'CONTENT PILLAR MAPPING'!D532, "', dan Deskripsi Gaya Komunikasi: '", 'CONTENT PILLAR MAPPING'!E532, "'.", CHAR(10),
"Target audiens saya adalah: '", 'CONTENT PILLAR MAPPING'!D540, "', dengan segmentasi audiens: '", 'CONTENT PILLAR MAPPING'!D541, "'.", CHAR(10), CHAR(10),
"Mohon buatkan script konten yang **sangat powerful, menarik, inovatif, dan siap pakai** dengan judul ide '", B621, "'.", CHAR(10),
"Konten ini memiliki pilar '", C621, "', nilai tambah utama '", F621, "', dan akan menggunakan storytelling framework '", G621, "'.", CHAR(10),
"Gambaran singkat ide kontennya adalah: '", J621, "'.", CHAR(10),
"Konten ini akan diunggah di platform '", E621, "' dengan format '", D621,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MAPPING'!C527, "'.** Sesuaikan dengan gaya komunikasi saya, dengan fokus pada nilai tambah '", F621,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MAPPING'!D540, ", khusus ", 'CONTENT PILLAR MAPPING'!D541, ") dan membantu mereka menyelesaikan masalah atau mencapai tujuan mereka.", CHAR(10),
"✔ Membantuku membangun personal branding yang kuat dan sustainable, sesuai dengan Positioning saya sebagai '", 'CONTENT PILLAR MAPPING'!C527, "' dan Brand Archetype '", 'CONTENT PILLAR MAPPING'!D532, "'.", CHAR(10),
"✔ Kemas dalam bentuk tabel agar rapi, mudah di baca dan dipahami, dengan kolom 'Judul Konten', 'Pilar', 'Format', 'Draft Script', 'CTA', 'Saran Visual', dan 'Full Caption'. (Kosongkan kolom Link Prompt jika ada)."
),
"")</f>
        <v/>
      </c>
      <c r="L621" s="91" t="n"/>
      <c r="M621" s="91" t="n"/>
      <c r="N621" s="102" t="n"/>
      <c r="O621" s="102" t="n"/>
      <c r="P621" s="102" t="n"/>
      <c r="Q621" s="102" t="n"/>
      <c r="R621" s="102" t="n"/>
      <c r="S621" s="102" t="n"/>
      <c r="T621" s="102" t="n"/>
      <c r="U621" s="102" t="n"/>
      <c r="V621" s="102" t="n"/>
      <c r="W621" s="102" t="n"/>
      <c r="X621" s="102" t="n"/>
      <c r="Y621" s="102" t="n"/>
      <c r="Z621" s="102" t="n"/>
      <c r="AA621" s="102" t="n"/>
      <c r="AB621" s="102" t="n"/>
      <c r="AC621" s="102" t="n"/>
      <c r="AD621" s="102" t="n"/>
    </row>
    <row r="622" ht="15.75" customHeight="1" s="205">
      <c r="A622" s="102" t="n"/>
      <c r="B622" s="147" t="n"/>
      <c r="C622" s="144" t="n"/>
      <c r="D622" s="144" t="n"/>
      <c r="E622" s="144" t="n"/>
      <c r="F622" s="144" t="n"/>
      <c r="G622" s="144" t="n"/>
      <c r="H622" s="141">
        <f>IF(K622&lt;&gt;"", HYPERLINK("https://chatgpt.com/?prompt=" &amp; SUBSTITUTE(SUBSTITUTE(K622, " ", "+"), "&amp;", "dan") &amp; "&amp;force-refresh=true&amp;timestamp=" &amp; TEXT(NOW(), "yyyymmddhhmmss"), "👉 Klik untuk Generate Script! 🔥"), "")</f>
        <v/>
      </c>
      <c r="I622" s="144" t="n"/>
      <c r="J622" s="148" t="n"/>
      <c r="K622" s="140">
        <f>IF(AND(B622&lt;&gt;"", C622&lt;&gt;"", D622&lt;&gt;"", E622&lt;&gt;"", F622&lt;&gt;"", G622&lt;&gt;"", J622&lt;&gt;"", 'CONTENT PILLAR MAPPING'!C524&lt;&gt;"", 'CONTENT PILLAR MAPPING'!E524&lt;&gt;"", 'CONTENT PILLAR MAPPING'!F524&lt;&gt;"", 'CONTENT PILLAR MAPPING'!C527&lt;&gt;"", 'CONTENT PILLAR MAPPING'!C532&lt;&gt;"", 'CONTENT PILLAR MAPPING'!D532&lt;&gt;"", 'CONTENT PILLAR MAPPING'!E532&lt;&gt;"", 'CONTENT PILLAR MAPPING'!D540&lt;&gt;"", 'CONTENT PILLAR MAPPING'!D541&lt;&gt;""),
CONCATENATE(
"Sebagai seorang top konten kreator dengan niche utama '", 'CONTENT PILLAR MAPPING'!C524, "', spesifik kategori '", 'CONTENT PILLAR MAPPING'!E524, "', dan super spesifik '", 'CONTENT PILLAR MAPPING'!F524, "', yang dikenal sebagai '", 'CONTENT PILLAR MAPPING'!C527, "'.", CHAR(10),
"Saya memiliki Tone of Voice: '", 'CONTENT PILLAR MAPPING'!C532, "', Brand Archetype: '", 'CONTENT PILLAR MAPPING'!D532, "', dan Deskripsi Gaya Komunikasi: '", 'CONTENT PILLAR MAPPING'!E532, "'.", CHAR(10),
"Target audiens saya adalah: '", 'CONTENT PILLAR MAPPING'!D540, "', dengan segmentasi audiens: '", 'CONTENT PILLAR MAPPING'!D541, "'.", CHAR(10), CHAR(10),
"Mohon buatkan script konten yang **sangat powerful, menarik, inovatif, dan siap pakai** dengan judul ide '", B622, "'.", CHAR(10),
"Konten ini memiliki pilar '", C622, "', nilai tambah utama '", F622, "', dan akan menggunakan storytelling framework '", G622, "'.", CHAR(10),
"Gambaran singkat ide kontennya adalah: '", J622, "'.", CHAR(10),
"Konten ini akan diunggah di platform '", E622, "' dengan format '", D622,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MAPPING'!C527, "'.** Sesuaikan dengan gaya komunikasi saya, dengan fokus pada nilai tambah '", F622,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MAPPING'!D540, ", khusus ", 'CONTENT PILLAR MAPPING'!D541, ") dan membantu mereka menyelesaikan masalah atau mencapai tujuan mereka.", CHAR(10),
"✔ Membantuku membangun personal branding yang kuat dan sustainable, sesuai dengan Positioning saya sebagai '", 'CONTENT PILLAR MAPPING'!C527, "' dan Brand Archetype '", 'CONTENT PILLAR MAPPING'!D532, "'.", CHAR(10),
"✔ Kemas dalam bentuk tabel agar rapi, mudah di baca dan dipahami, dengan kolom 'Judul Konten', 'Pilar', 'Format', 'Draft Script', 'CTA', 'Saran Visual', dan 'Full Caption'. (Kosongkan kolom Link Prompt jika ada)."
),
"")</f>
        <v/>
      </c>
      <c r="L622" s="199" t="n"/>
      <c r="M622" s="199" t="n"/>
      <c r="N622" s="102" t="n"/>
      <c r="O622" s="102" t="n"/>
      <c r="P622" s="102" t="n"/>
      <c r="Q622" s="102" t="n"/>
      <c r="R622" s="102" t="n"/>
      <c r="S622" s="102" t="n"/>
      <c r="T622" s="102" t="n"/>
      <c r="U622" s="102" t="n"/>
      <c r="V622" s="102" t="n"/>
      <c r="W622" s="102" t="n"/>
      <c r="X622" s="102" t="n"/>
      <c r="Y622" s="102" t="n"/>
      <c r="Z622" s="102" t="n"/>
      <c r="AA622" s="102" t="n"/>
      <c r="AB622" s="102" t="n"/>
      <c r="AC622" s="102" t="n"/>
      <c r="AD622" s="102" t="n"/>
    </row>
    <row r="623" ht="15.75" customHeight="1" s="205">
      <c r="A623" s="102" t="n"/>
      <c r="B623" s="142" t="n"/>
      <c r="C623" s="143" t="n"/>
      <c r="D623" s="143" t="n"/>
      <c r="E623" s="143" t="n"/>
      <c r="F623" s="143" t="n"/>
      <c r="G623" s="144" t="n"/>
      <c r="H623" s="145">
        <f>IF(K623&lt;&gt;"", HYPERLINK("https://chatgpt.com/?prompt=" &amp; SUBSTITUTE(SUBSTITUTE(K623, " ", "+"), "&amp;", "dan") &amp; "&amp;force-refresh=true&amp;timestamp=" &amp; TEXT(NOW(), "yyyymmddhhmmss"), "👉 Klik untuk Generate Script! 🔥"), "")</f>
        <v/>
      </c>
      <c r="I623" s="143" t="n"/>
      <c r="J623" s="146" t="n"/>
      <c r="K623" s="130">
        <f>IF(AND(B623&lt;&gt;"", C623&lt;&gt;"", D623&lt;&gt;"", E623&lt;&gt;"", F623&lt;&gt;"", G623&lt;&gt;"", J623&lt;&gt;"", 'CONTENT PILLAR MAPPING'!C526&lt;&gt;"", 'CONTENT PILLAR MAPPING'!E526&lt;&gt;"", 'CONTENT PILLAR MAPPING'!F526&lt;&gt;"", 'CONTENT PILLAR MAPPING'!C529&lt;&gt;"", 'CONTENT PILLAR MAPPING'!C534&lt;&gt;"", 'CONTENT PILLAR MAPPING'!D534&lt;&gt;"", 'CONTENT PILLAR MAPPING'!E534&lt;&gt;"", 'CONTENT PILLAR MAPPING'!D542&lt;&gt;"", 'CONTENT PILLAR MAPPING'!D543&lt;&gt;""),
CONCATENATE(
"Sebagai seorang top konten kreator dengan niche utama '", 'CONTENT PILLAR MAPPING'!C526, "', spesifik kategori '", 'CONTENT PILLAR MAPPING'!E526, "', dan super spesifik '", 'CONTENT PILLAR MAPPING'!F526, "', yang dikenal sebagai '", 'CONTENT PILLAR MAPPING'!C529, "'.", CHAR(10),
"Saya memiliki Tone of Voice: '", 'CONTENT PILLAR MAPPING'!C534, "', Brand Archetype: '", 'CONTENT PILLAR MAPPING'!D534, "', dan Deskripsi Gaya Komunikasi: '", 'CONTENT PILLAR MAPPING'!E534, "'.", CHAR(10),
"Target audiens saya adalah: '", 'CONTENT PILLAR MAPPING'!D542, "', dengan segmentasi audiens: '", 'CONTENT PILLAR MAPPING'!D543, "'.", CHAR(10), CHAR(10),
"Mohon buatkan script konten yang **sangat powerful, menarik, inovatif, dan siap pakai** dengan judul ide '", B623, "'.", CHAR(10),
"Konten ini memiliki pilar '", C623, "', nilai tambah utama '", F623, "', dan akan menggunakan storytelling framework '", G623, "'.", CHAR(10),
"Gambaran singkat ide kontennya adalah: '", J623, "'.", CHAR(10),
"Konten ini akan diunggah di platform '", E623, "' dengan format '", D623,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MAPPING'!C529, "'.** Sesuaikan dengan gaya komunikasi saya, dengan fokus pada nilai tambah '", F623,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MAPPING'!D542, ", khusus ", 'CONTENT PILLAR MAPPING'!D543, ") dan membantu mereka menyelesaikan masalah atau mencapai tujuan mereka.", CHAR(10),
"✔ Membantuku membangun personal branding yang kuat dan sustainable, sesuai dengan Positioning saya sebagai '", 'CONTENT PILLAR MAPPING'!C529, "' dan Brand Archetype '", 'CONTENT PILLAR MAPPING'!D534, "'.", CHAR(10),
"✔ Kemas dalam bentuk tabel agar rapi, mudah di baca dan dipahami, dengan kolom 'Judul Konten', 'Pilar', 'Format', 'Draft Script', 'CTA', 'Saran Visual', dan 'Full Caption'. (Kosongkan kolom Link Prompt jika ada)."
),
"")</f>
        <v/>
      </c>
      <c r="L623" s="91" t="n"/>
      <c r="M623" s="91" t="n"/>
      <c r="N623" s="102" t="n"/>
      <c r="O623" s="102" t="n"/>
      <c r="P623" s="102" t="n"/>
      <c r="Q623" s="102" t="n"/>
      <c r="R623" s="102" t="n"/>
      <c r="S623" s="102" t="n"/>
      <c r="T623" s="102" t="n"/>
      <c r="U623" s="102" t="n"/>
      <c r="V623" s="102" t="n"/>
      <c r="W623" s="102" t="n"/>
      <c r="X623" s="102" t="n"/>
      <c r="Y623" s="102" t="n"/>
      <c r="Z623" s="102" t="n"/>
      <c r="AA623" s="102" t="n"/>
      <c r="AB623" s="102" t="n"/>
      <c r="AC623" s="102" t="n"/>
      <c r="AD623" s="102" t="n"/>
    </row>
    <row r="624" ht="15.75" customHeight="1" s="205">
      <c r="A624" s="102" t="n"/>
      <c r="B624" s="147" t="n"/>
      <c r="C624" s="144" t="n"/>
      <c r="D624" s="144" t="n"/>
      <c r="E624" s="144" t="n"/>
      <c r="F624" s="144" t="n"/>
      <c r="G624" s="144" t="n"/>
      <c r="H624" s="141">
        <f>IF(K624&lt;&gt;"", HYPERLINK("https://chatgpt.com/?prompt=" &amp; SUBSTITUTE(SUBSTITUTE(K624, " ", "+"), "&amp;", "dan") &amp; "&amp;force-refresh=true&amp;timestamp=" &amp; TEXT(NOW(), "yyyymmddhhmmss"), "👉 Klik untuk Generate Script! 🔥"), "")</f>
        <v/>
      </c>
      <c r="I624" s="144" t="n"/>
      <c r="J624" s="148" t="n"/>
      <c r="K624" s="140">
        <f>IF(AND(B624&lt;&gt;"", C624&lt;&gt;"", D624&lt;&gt;"", E624&lt;&gt;"", F624&lt;&gt;"", G624&lt;&gt;"", J624&lt;&gt;"", 'CONTENT PILLAR MAPPING'!C526&lt;&gt;"", 'CONTENT PILLAR MAPPING'!E526&lt;&gt;"", 'CONTENT PILLAR MAPPING'!F526&lt;&gt;"", 'CONTENT PILLAR MAPPING'!C529&lt;&gt;"", 'CONTENT PILLAR MAPPING'!C534&lt;&gt;"", 'CONTENT PILLAR MAPPING'!D534&lt;&gt;"", 'CONTENT PILLAR MAPPING'!E534&lt;&gt;"", 'CONTENT PILLAR MAPPING'!D542&lt;&gt;"", 'CONTENT PILLAR MAPPING'!D543&lt;&gt;""),
CONCATENATE(
"Sebagai seorang top konten kreator dengan niche utama '", 'CONTENT PILLAR MAPPING'!C526, "', spesifik kategori '", 'CONTENT PILLAR MAPPING'!E526, "', dan super spesifik '", 'CONTENT PILLAR MAPPING'!F526, "', yang dikenal sebagai '", 'CONTENT PILLAR MAPPING'!C529, "'.", CHAR(10),
"Saya memiliki Tone of Voice: '", 'CONTENT PILLAR MAPPING'!C534, "', Brand Archetype: '", 'CONTENT PILLAR MAPPING'!D534, "', dan Deskripsi Gaya Komunikasi: '", 'CONTENT PILLAR MAPPING'!E534, "'.", CHAR(10),
"Target audiens saya adalah: '", 'CONTENT PILLAR MAPPING'!D542, "', dengan segmentasi audiens: '", 'CONTENT PILLAR MAPPING'!D543, "'.", CHAR(10), CHAR(10),
"Mohon buatkan script konten yang **sangat powerful, menarik, inovatif, dan siap pakai** dengan judul ide '", B624, "'.", CHAR(10),
"Konten ini memiliki pilar '", C624, "', nilai tambah utama '", F624, "', dan akan menggunakan storytelling framework '", G624, "'.", CHAR(10),
"Gambaran singkat ide kontennya adalah: '", J624, "'.", CHAR(10),
"Konten ini akan diunggah di platform '", E624, "' dengan format '", D624,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MAPPING'!C529, "'.** Sesuaikan dengan gaya komunikasi saya, dengan fokus pada nilai tambah '", F624,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MAPPING'!D542, ", khusus ", 'CONTENT PILLAR MAPPING'!D543, ") dan membantu mereka menyelesaikan masalah atau mencapai tujuan mereka.", CHAR(10),
"✔ Membantuku membangun personal branding yang kuat dan sustainable, sesuai dengan Positioning saya sebagai '", 'CONTENT PILLAR MAPPING'!C529, "' dan Brand Archetype '", 'CONTENT PILLAR MAPPING'!D534, "'.", CHAR(10),
"✔ Kemas dalam bentuk tabel agar rapi, mudah di baca dan dipahami, dengan kolom 'Judul Konten', 'Pilar', 'Format', 'Draft Script', 'CTA', 'Saran Visual', dan 'Full Caption'. (Kosongkan kolom Link Prompt jika ada)."
),
"")</f>
        <v/>
      </c>
      <c r="L624" s="199" t="n"/>
      <c r="M624" s="199" t="n"/>
      <c r="N624" s="102" t="n"/>
      <c r="O624" s="102" t="n"/>
      <c r="P624" s="102" t="n"/>
      <c r="Q624" s="102" t="n"/>
      <c r="R624" s="102" t="n"/>
      <c r="S624" s="102" t="n"/>
      <c r="T624" s="102" t="n"/>
      <c r="U624" s="102" t="n"/>
      <c r="V624" s="102" t="n"/>
      <c r="W624" s="102" t="n"/>
      <c r="X624" s="102" t="n"/>
      <c r="Y624" s="102" t="n"/>
      <c r="Z624" s="102" t="n"/>
      <c r="AA624" s="102" t="n"/>
      <c r="AB624" s="102" t="n"/>
      <c r="AC624" s="102" t="n"/>
      <c r="AD624" s="102" t="n"/>
    </row>
    <row r="625" ht="15.75" customHeight="1" s="205">
      <c r="A625" s="102" t="n"/>
      <c r="B625" s="142" t="n"/>
      <c r="C625" s="143" t="n"/>
      <c r="D625" s="143" t="n"/>
      <c r="E625" s="143" t="n"/>
      <c r="F625" s="143" t="n"/>
      <c r="G625" s="144" t="n"/>
      <c r="H625" s="145">
        <f>IF(K625&lt;&gt;"", HYPERLINK("https://chatgpt.com/?prompt=" &amp; SUBSTITUTE(SUBSTITUTE(K625, " ", "+"), "&amp;", "dan") &amp; "&amp;force-refresh=true&amp;timestamp=" &amp; TEXT(NOW(), "yyyymmddhhmmss"), "👉 Klik untuk Generate Script! 🔥"), "")</f>
        <v/>
      </c>
      <c r="I625" s="143" t="n"/>
      <c r="J625" s="146" t="n"/>
      <c r="K625" s="130">
        <f>IF(AND(B625&lt;&gt;"", C625&lt;&gt;"", D625&lt;&gt;"", E625&lt;&gt;"", F625&lt;&gt;"", G625&lt;&gt;"", J625&lt;&gt;"", 'CONTENT PILLAR MAPPING'!C528&lt;&gt;"", 'CONTENT PILLAR MAPPING'!E528&lt;&gt;"", 'CONTENT PILLAR MAPPING'!F528&lt;&gt;"", 'CONTENT PILLAR MAPPING'!C531&lt;&gt;"", 'CONTENT PILLAR MAPPING'!C536&lt;&gt;"", 'CONTENT PILLAR MAPPING'!D536&lt;&gt;"", 'CONTENT PILLAR MAPPING'!E536&lt;&gt;"", 'CONTENT PILLAR MAPPING'!D544&lt;&gt;"", 'CONTENT PILLAR MAPPING'!D545&lt;&gt;""),
CONCATENATE(
"Sebagai seorang top konten kreator dengan niche utama '", 'CONTENT PILLAR MAPPING'!C528, "', spesifik kategori '", 'CONTENT PILLAR MAPPING'!E528, "', dan super spesifik '", 'CONTENT PILLAR MAPPING'!F528, "', yang dikenal sebagai '", 'CONTENT PILLAR MAPPING'!C531, "'.", CHAR(10),
"Saya memiliki Tone of Voice: '", 'CONTENT PILLAR MAPPING'!C536, "', Brand Archetype: '", 'CONTENT PILLAR MAPPING'!D536, "', dan Deskripsi Gaya Komunikasi: '", 'CONTENT PILLAR MAPPING'!E536, "'.", CHAR(10),
"Target audiens saya adalah: '", 'CONTENT PILLAR MAPPING'!D544, "', dengan segmentasi audiens: '", 'CONTENT PILLAR MAPPING'!D545, "'.", CHAR(10), CHAR(10),
"Mohon buatkan script konten yang **sangat powerful, menarik, inovatif, dan siap pakai** dengan judul ide '", B625, "'.", CHAR(10),
"Konten ini memiliki pilar '", C625, "', nilai tambah utama '", F625, "', dan akan menggunakan storytelling framework '", G625, "'.", CHAR(10),
"Gambaran singkat ide kontennya adalah: '", J625, "'.", CHAR(10),
"Konten ini akan diunggah di platform '", E625, "' dengan format '", D625,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MAPPING'!C531, "'.** Sesuaikan dengan gaya komunikasi saya, dengan fokus pada nilai tambah '", F625,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MAPPING'!D544, ", khusus ", 'CONTENT PILLAR MAPPING'!D545, ") dan membantu mereka menyelesaikan masalah atau mencapai tujuan mereka.", CHAR(10),
"✔ Membantuku membangun personal branding yang kuat dan sustainable, sesuai dengan Positioning saya sebagai '", 'CONTENT PILLAR MAPPING'!C531, "' dan Brand Archetype '", 'CONTENT PILLAR MAPPING'!D536, "'.", CHAR(10),
"✔ Kemas dalam bentuk tabel agar rapi, mudah di baca dan dipahami, dengan kolom 'Judul Konten', 'Pilar', 'Format', 'Draft Script', 'CTA', 'Saran Visual', dan 'Full Caption'. (Kosongkan kolom Link Prompt jika ada)."
),
"")</f>
        <v/>
      </c>
      <c r="L625" s="91" t="n"/>
      <c r="M625" s="91" t="n"/>
      <c r="N625" s="102" t="n"/>
      <c r="O625" s="102" t="n"/>
      <c r="P625" s="102" t="n"/>
      <c r="Q625" s="102" t="n"/>
      <c r="R625" s="102" t="n"/>
      <c r="S625" s="102" t="n"/>
      <c r="T625" s="102" t="n"/>
      <c r="U625" s="102" t="n"/>
      <c r="V625" s="102" t="n"/>
      <c r="W625" s="102" t="n"/>
      <c r="X625" s="102" t="n"/>
      <c r="Y625" s="102" t="n"/>
      <c r="Z625" s="102" t="n"/>
      <c r="AA625" s="102" t="n"/>
      <c r="AB625" s="102" t="n"/>
      <c r="AC625" s="102" t="n"/>
      <c r="AD625" s="102" t="n"/>
    </row>
    <row r="626" ht="15.75" customHeight="1" s="205">
      <c r="A626" s="102" t="n"/>
      <c r="B626" s="147" t="n"/>
      <c r="C626" s="144" t="n"/>
      <c r="D626" s="144" t="n"/>
      <c r="E626" s="144" t="n"/>
      <c r="F626" s="144" t="n"/>
      <c r="G626" s="144" t="n"/>
      <c r="H626" s="141">
        <f>IF(K626&lt;&gt;"", HYPERLINK("https://chatgpt.com/?prompt=" &amp; SUBSTITUTE(SUBSTITUTE(K626, " ", "+"), "&amp;", "dan") &amp; "&amp;force-refresh=true&amp;timestamp=" &amp; TEXT(NOW(), "yyyymmddhhmmss"), "👉 Klik untuk Generate Script! 🔥"), "")</f>
        <v/>
      </c>
      <c r="I626" s="144" t="n"/>
      <c r="J626" s="148" t="n"/>
      <c r="K626" s="140">
        <f>IF(AND(B626&lt;&gt;"", C626&lt;&gt;"", D626&lt;&gt;"", E626&lt;&gt;"", F626&lt;&gt;"", G626&lt;&gt;"", J626&lt;&gt;"", 'CONTENT PILLAR MAPPING'!C528&lt;&gt;"", 'CONTENT PILLAR MAPPING'!E528&lt;&gt;"", 'CONTENT PILLAR MAPPING'!F528&lt;&gt;"", 'CONTENT PILLAR MAPPING'!C531&lt;&gt;"", 'CONTENT PILLAR MAPPING'!C536&lt;&gt;"", 'CONTENT PILLAR MAPPING'!D536&lt;&gt;"", 'CONTENT PILLAR MAPPING'!E536&lt;&gt;"", 'CONTENT PILLAR MAPPING'!D544&lt;&gt;"", 'CONTENT PILLAR MAPPING'!D545&lt;&gt;""),
CONCATENATE(
"Sebagai seorang top konten kreator dengan niche utama '", 'CONTENT PILLAR MAPPING'!C528, "', spesifik kategori '", 'CONTENT PILLAR MAPPING'!E528, "', dan super spesifik '", 'CONTENT PILLAR MAPPING'!F528, "', yang dikenal sebagai '", 'CONTENT PILLAR MAPPING'!C531, "'.", CHAR(10),
"Saya memiliki Tone of Voice: '", 'CONTENT PILLAR MAPPING'!C536, "', Brand Archetype: '", 'CONTENT PILLAR MAPPING'!D536, "', dan Deskripsi Gaya Komunikasi: '", 'CONTENT PILLAR MAPPING'!E536, "'.", CHAR(10),
"Target audiens saya adalah: '", 'CONTENT PILLAR MAPPING'!D544, "', dengan segmentasi audiens: '", 'CONTENT PILLAR MAPPING'!D545, "'.", CHAR(10), CHAR(10),
"Mohon buatkan script konten yang **sangat powerful, menarik, inovatif, dan siap pakai** dengan judul ide '", B626, "'.", CHAR(10),
"Konten ini memiliki pilar '", C626, "', nilai tambah utama '", F626, "', dan akan menggunakan storytelling framework '", G626, "'.", CHAR(10),
"Gambaran singkat ide kontennya adalah: '", J626, "'.", CHAR(10),
"Konten ini akan diunggah di platform '", E626, "' dengan format '", D626,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MAPPING'!C531, "'.** Sesuaikan dengan gaya komunikasi saya, dengan fokus pada nilai tambah '", F626,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MAPPING'!D544, ", khusus ", 'CONTENT PILLAR MAPPING'!D545, ") dan membantu mereka menyelesaikan masalah atau mencapai tujuan mereka.", CHAR(10),
"✔ Membantuku membangun personal branding yang kuat dan sustainable, sesuai dengan Positioning saya sebagai '", 'CONTENT PILLAR MAPPING'!C531, "' dan Brand Archetype '", 'CONTENT PILLAR MAPPING'!D536, "'.", CHAR(10),
"✔ Kemas dalam bentuk tabel agar rapi, mudah di baca dan dipahami, dengan kolom 'Judul Konten', 'Pilar', 'Format', 'Draft Script', 'CTA', 'Saran Visual', dan 'Full Caption'. (Kosongkan kolom Link Prompt jika ada)."
),
"")</f>
        <v/>
      </c>
      <c r="L626" s="199" t="n"/>
      <c r="M626" s="199" t="n"/>
      <c r="N626" s="102" t="n"/>
      <c r="O626" s="102" t="n"/>
      <c r="P626" s="102" t="n"/>
      <c r="Q626" s="102" t="n"/>
      <c r="R626" s="102" t="n"/>
      <c r="S626" s="102" t="n"/>
      <c r="T626" s="102" t="n"/>
      <c r="U626" s="102" t="n"/>
      <c r="V626" s="102" t="n"/>
      <c r="W626" s="102" t="n"/>
      <c r="X626" s="102" t="n"/>
      <c r="Y626" s="102" t="n"/>
      <c r="Z626" s="102" t="n"/>
      <c r="AA626" s="102" t="n"/>
      <c r="AB626" s="102" t="n"/>
      <c r="AC626" s="102" t="n"/>
      <c r="AD626" s="102" t="n"/>
    </row>
    <row r="627" ht="15.75" customHeight="1" s="205">
      <c r="A627" s="102" t="n"/>
      <c r="B627" s="142" t="n"/>
      <c r="C627" s="143" t="n"/>
      <c r="D627" s="143" t="n"/>
      <c r="E627" s="143" t="n"/>
      <c r="F627" s="143" t="n"/>
      <c r="G627" s="144" t="n"/>
      <c r="H627" s="145">
        <f>IF(K627&lt;&gt;"", HYPERLINK("https://chatgpt.com/?prompt=" &amp; SUBSTITUTE(SUBSTITUTE(K627, " ", "+"), "&amp;", "dan") &amp; "&amp;force-refresh=true&amp;timestamp=" &amp; TEXT(NOW(), "yyyymmddhhmmss"), "👉 Klik untuk Generate Script! 🔥"), "")</f>
        <v/>
      </c>
      <c r="I627" s="143" t="n"/>
      <c r="J627" s="146" t="n"/>
      <c r="K627" s="130">
        <f>IF(AND(B627&lt;&gt;"", C627&lt;&gt;"", D627&lt;&gt;"", E627&lt;&gt;"", F627&lt;&gt;"", G627&lt;&gt;"", J627&lt;&gt;"", 'CONTENT PILLAR MAPPING'!C530&lt;&gt;"", 'CONTENT PILLAR MAPPING'!E530&lt;&gt;"", 'CONTENT PILLAR MAPPING'!F530&lt;&gt;"", 'CONTENT PILLAR MAPPING'!C533&lt;&gt;"", 'CONTENT PILLAR MAPPING'!C538&lt;&gt;"", 'CONTENT PILLAR MAPPING'!D538&lt;&gt;"", 'CONTENT PILLAR MAPPING'!E538&lt;&gt;"", 'CONTENT PILLAR MAPPING'!D546&lt;&gt;"", 'CONTENT PILLAR MAPPING'!D547&lt;&gt;""),
CONCATENATE(
"Sebagai seorang top konten kreator dengan niche utama '", 'CONTENT PILLAR MAPPING'!C530, "', spesifik kategori '", 'CONTENT PILLAR MAPPING'!E530, "', dan super spesifik '", 'CONTENT PILLAR MAPPING'!F530, "', yang dikenal sebagai '", 'CONTENT PILLAR MAPPING'!C533, "'.", CHAR(10),
"Saya memiliki Tone of Voice: '", 'CONTENT PILLAR MAPPING'!C538, "', Brand Archetype: '", 'CONTENT PILLAR MAPPING'!D538, "', dan Deskripsi Gaya Komunikasi: '", 'CONTENT PILLAR MAPPING'!E538, "'.", CHAR(10),
"Target audiens saya adalah: '", 'CONTENT PILLAR MAPPING'!D546, "', dengan segmentasi audiens: '", 'CONTENT PILLAR MAPPING'!D547, "'.", CHAR(10), CHAR(10),
"Mohon buatkan script konten yang **sangat powerful, menarik, inovatif, dan siap pakai** dengan judul ide '", B627, "'.", CHAR(10),
"Konten ini memiliki pilar '", C627, "', nilai tambah utama '", F627, "', dan akan menggunakan storytelling framework '", G627, "'.", CHAR(10),
"Gambaran singkat ide kontennya adalah: '", J627, "'.", CHAR(10),
"Konten ini akan diunggah di platform '", E627, "' dengan format '", D627,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MAPPING'!C533, "'.** Sesuaikan dengan gaya komunikasi saya, dengan fokus pada nilai tambah '", F627,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MAPPING'!D546, ", khusus ", 'CONTENT PILLAR MAPPING'!D547, ") dan membantu mereka menyelesaikan masalah atau mencapai tujuan mereka.", CHAR(10),
"✔ Membantuku membangun personal branding yang kuat dan sustainable, sesuai dengan Positioning saya sebagai '", 'CONTENT PILLAR MAPPING'!C533, "' dan Brand Archetype '", 'CONTENT PILLAR MAPPING'!D538, "'.", CHAR(10),
"✔ Kemas dalam bentuk tabel agar rapi, mudah di baca dan dipahami, dengan kolom 'Judul Konten', 'Pilar', 'Format', 'Draft Script', 'CTA', 'Saran Visual', dan 'Full Caption'. (Kosongkan kolom Link Prompt jika ada)."
),
"")</f>
        <v/>
      </c>
      <c r="L627" s="91" t="n"/>
      <c r="M627" s="91" t="n"/>
      <c r="N627" s="102" t="n"/>
      <c r="O627" s="102" t="n"/>
      <c r="P627" s="102" t="n"/>
      <c r="Q627" s="102" t="n"/>
      <c r="R627" s="102" t="n"/>
      <c r="S627" s="102" t="n"/>
      <c r="T627" s="102" t="n"/>
      <c r="U627" s="102" t="n"/>
      <c r="V627" s="102" t="n"/>
      <c r="W627" s="102" t="n"/>
      <c r="X627" s="102" t="n"/>
      <c r="Y627" s="102" t="n"/>
      <c r="Z627" s="102" t="n"/>
      <c r="AA627" s="102" t="n"/>
      <c r="AB627" s="102" t="n"/>
      <c r="AC627" s="102" t="n"/>
      <c r="AD627" s="102" t="n"/>
    </row>
    <row r="628" ht="15.75" customHeight="1" s="205">
      <c r="A628" s="102" t="n"/>
      <c r="B628" s="147" t="n"/>
      <c r="C628" s="144" t="n"/>
      <c r="D628" s="144" t="n"/>
      <c r="E628" s="144" t="n"/>
      <c r="F628" s="144" t="n"/>
      <c r="G628" s="144" t="n"/>
      <c r="H628" s="141">
        <f>IF(K628&lt;&gt;"", HYPERLINK("https://chatgpt.com/?prompt=" &amp; SUBSTITUTE(SUBSTITUTE(K628, " ", "+"), "&amp;", "dan") &amp; "&amp;force-refresh=true&amp;timestamp=" &amp; TEXT(NOW(), "yyyymmddhhmmss"), "👉 Klik untuk Generate Script! 🔥"), "")</f>
        <v/>
      </c>
      <c r="I628" s="144" t="n"/>
      <c r="J628" s="148" t="n"/>
      <c r="K628" s="140">
        <f>IF(AND(B628&lt;&gt;"", C628&lt;&gt;"", D628&lt;&gt;"", E628&lt;&gt;"", F628&lt;&gt;"", G628&lt;&gt;"", J628&lt;&gt;"", 'CONTENT PILLAR MAPPING'!C530&lt;&gt;"", 'CONTENT PILLAR MAPPING'!E530&lt;&gt;"", 'CONTENT PILLAR MAPPING'!F530&lt;&gt;"", 'CONTENT PILLAR MAPPING'!C533&lt;&gt;"", 'CONTENT PILLAR MAPPING'!C538&lt;&gt;"", 'CONTENT PILLAR MAPPING'!D538&lt;&gt;"", 'CONTENT PILLAR MAPPING'!E538&lt;&gt;"", 'CONTENT PILLAR MAPPING'!D546&lt;&gt;"", 'CONTENT PILLAR MAPPING'!D547&lt;&gt;""),
CONCATENATE(
"Sebagai seorang top konten kreator dengan niche utama '", 'CONTENT PILLAR MAPPING'!C530, "', spesifik kategori '", 'CONTENT PILLAR MAPPING'!E530, "', dan super spesifik '", 'CONTENT PILLAR MAPPING'!F530, "', yang dikenal sebagai '", 'CONTENT PILLAR MAPPING'!C533, "'.", CHAR(10),
"Saya memiliki Tone of Voice: '", 'CONTENT PILLAR MAPPING'!C538, "', Brand Archetype: '", 'CONTENT PILLAR MAPPING'!D538, "', dan Deskripsi Gaya Komunikasi: '", 'CONTENT PILLAR MAPPING'!E538, "'.", CHAR(10),
"Target audiens saya adalah: '", 'CONTENT PILLAR MAPPING'!D546, "', dengan segmentasi audiens: '", 'CONTENT PILLAR MAPPING'!D547, "'.", CHAR(10), CHAR(10),
"Mohon buatkan script konten yang **sangat powerful, menarik, inovatif, dan siap pakai** dengan judul ide '", B628, "'.", CHAR(10),
"Konten ini memiliki pilar '", C628, "', nilai tambah utama '", F628, "', dan akan menggunakan storytelling framework '", G628, "'.", CHAR(10),
"Gambaran singkat ide kontennya adalah: '", J628, "'.", CHAR(10),
"Konten ini akan diunggah di platform '", E628, "' dengan format '", D628,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MAPPING'!C533, "'.** Sesuaikan dengan gaya komunikasi saya, dengan fokus pada nilai tambah '", F628,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MAPPING'!D546, ", khusus ", 'CONTENT PILLAR MAPPING'!D547, ") dan membantu mereka menyelesaikan masalah atau mencapai tujuan mereka.", CHAR(10),
"✔ Membantuku membangun personal branding yang kuat dan sustainable, sesuai dengan Positioning saya sebagai '", 'CONTENT PILLAR MAPPING'!C533, "' dan Brand Archetype '", 'CONTENT PILLAR MAPPING'!D538, "'.", CHAR(10),
"✔ Kemas dalam bentuk tabel agar rapi, mudah di baca dan dipahami, dengan kolom 'Judul Konten', 'Pilar', 'Format', 'Draft Script', 'CTA', 'Saran Visual', dan 'Full Caption'. (Kosongkan kolom Link Prompt jika ada)."
),
"")</f>
        <v/>
      </c>
      <c r="L628" s="199" t="n"/>
      <c r="M628" s="199" t="n"/>
      <c r="N628" s="102" t="n"/>
      <c r="O628" s="102" t="n"/>
      <c r="P628" s="102" t="n"/>
      <c r="Q628" s="102" t="n"/>
      <c r="R628" s="102" t="n"/>
      <c r="S628" s="102" t="n"/>
      <c r="T628" s="102" t="n"/>
      <c r="U628" s="102" t="n"/>
      <c r="V628" s="102" t="n"/>
      <c r="W628" s="102" t="n"/>
      <c r="X628" s="102" t="n"/>
      <c r="Y628" s="102" t="n"/>
      <c r="Z628" s="102" t="n"/>
      <c r="AA628" s="102" t="n"/>
      <c r="AB628" s="102" t="n"/>
      <c r="AC628" s="102" t="n"/>
      <c r="AD628" s="102" t="n"/>
    </row>
    <row r="629" ht="15.75" customHeight="1" s="205">
      <c r="A629" s="102" t="n"/>
      <c r="B629" s="142" t="n"/>
      <c r="C629" s="143" t="n"/>
      <c r="D629" s="143" t="n"/>
      <c r="E629" s="143" t="n"/>
      <c r="F629" s="143" t="n"/>
      <c r="G629" s="144" t="n"/>
      <c r="H629" s="145">
        <f>IF(K629&lt;&gt;"", HYPERLINK("https://chatgpt.com/?prompt=" &amp; SUBSTITUTE(SUBSTITUTE(K629, " ", "+"), "&amp;", "dan") &amp; "&amp;force-refresh=true&amp;timestamp=" &amp; TEXT(NOW(), "yyyymmddhhmmss"), "👉 Klik untuk Generate Script! 🔥"), "")</f>
        <v/>
      </c>
      <c r="I629" s="143" t="n"/>
      <c r="J629" s="146" t="n"/>
      <c r="K629" s="130">
        <f>IF(AND(B629&lt;&gt;"", C629&lt;&gt;"", D629&lt;&gt;"", E629&lt;&gt;"", F629&lt;&gt;"", G629&lt;&gt;"", J629&lt;&gt;"", 'CONTENT PILLAR MAPPING'!C532&lt;&gt;"", 'CONTENT PILLAR MAPPING'!E532&lt;&gt;"", 'CONTENT PILLAR MAPPING'!F532&lt;&gt;"", 'CONTENT PILLAR MAPPING'!C535&lt;&gt;"", 'CONTENT PILLAR MAPPING'!C540&lt;&gt;"", 'CONTENT PILLAR MAPPING'!D540&lt;&gt;"", 'CONTENT PILLAR MAPPING'!E540&lt;&gt;"", 'CONTENT PILLAR MAPPING'!D548&lt;&gt;"", 'CONTENT PILLAR MAPPING'!D549&lt;&gt;""),
CONCATENATE(
"Sebagai seorang top konten kreator dengan niche utama '", 'CONTENT PILLAR MAPPING'!C532, "', spesifik kategori '", 'CONTENT PILLAR MAPPING'!E532, "', dan super spesifik '", 'CONTENT PILLAR MAPPING'!F532, "', yang dikenal sebagai '", 'CONTENT PILLAR MAPPING'!C535, "'.", CHAR(10),
"Saya memiliki Tone of Voice: '", 'CONTENT PILLAR MAPPING'!C540, "', Brand Archetype: '", 'CONTENT PILLAR MAPPING'!D540, "', dan Deskripsi Gaya Komunikasi: '", 'CONTENT PILLAR MAPPING'!E540, "'.", CHAR(10),
"Target audiens saya adalah: '", 'CONTENT PILLAR MAPPING'!D548, "', dengan segmentasi audiens: '", 'CONTENT PILLAR MAPPING'!D549, "'.", CHAR(10), CHAR(10),
"Mohon buatkan script konten yang **sangat powerful, menarik, inovatif, dan siap pakai** dengan judul ide '", B629, "'.", CHAR(10),
"Konten ini memiliki pilar '", C629, "', nilai tambah utama '", F629, "', dan akan menggunakan storytelling framework '", G629, "'.", CHAR(10),
"Gambaran singkat ide kontennya adalah: '", J629, "'.", CHAR(10),
"Konten ini akan diunggah di platform '", E629, "' dengan format '", D629,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MAPPING'!C535, "'.** Sesuaikan dengan gaya komunikasi saya, dengan fokus pada nilai tambah '", F629,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MAPPING'!D548, ", khusus ", 'CONTENT PILLAR MAPPING'!D549, ") dan membantu mereka menyelesaikan masalah atau mencapai tujuan mereka.", CHAR(10),
"✔ Membantuku membangun personal branding yang kuat dan sustainable, sesuai dengan Positioning saya sebagai '", 'CONTENT PILLAR MAPPING'!C535, "' dan Brand Archetype '", 'CONTENT PILLAR MAPPING'!D540, "'.", CHAR(10),
"✔ Kemas dalam bentuk tabel agar rapi, mudah di baca dan dipahami, dengan kolom 'Judul Konten', 'Pilar', 'Format', 'Draft Script', 'CTA', 'Saran Visual', dan 'Full Caption'. (Kosongkan kolom Link Prompt jika ada)."
),
"")</f>
        <v/>
      </c>
      <c r="L629" s="91" t="n"/>
      <c r="M629" s="91" t="n"/>
      <c r="N629" s="102" t="n"/>
      <c r="O629" s="102" t="n"/>
      <c r="P629" s="102" t="n"/>
      <c r="Q629" s="102" t="n"/>
      <c r="R629" s="102" t="n"/>
      <c r="S629" s="102" t="n"/>
      <c r="T629" s="102" t="n"/>
      <c r="U629" s="102" t="n"/>
      <c r="V629" s="102" t="n"/>
      <c r="W629" s="102" t="n"/>
      <c r="X629" s="102" t="n"/>
      <c r="Y629" s="102" t="n"/>
      <c r="Z629" s="102" t="n"/>
      <c r="AA629" s="102" t="n"/>
      <c r="AB629" s="102" t="n"/>
      <c r="AC629" s="102" t="n"/>
      <c r="AD629" s="102" t="n"/>
    </row>
    <row r="630" ht="15.75" customHeight="1" s="205">
      <c r="A630" s="102" t="n"/>
      <c r="B630" s="147" t="n"/>
      <c r="C630" s="144" t="n"/>
      <c r="D630" s="144" t="n"/>
      <c r="E630" s="144" t="n"/>
      <c r="F630" s="144" t="n"/>
      <c r="G630" s="144" t="n"/>
      <c r="H630" s="141">
        <f>IF(K630&lt;&gt;"", HYPERLINK("https://chatgpt.com/?prompt=" &amp; SUBSTITUTE(SUBSTITUTE(K630, " ", "+"), "&amp;", "dan") &amp; "&amp;force-refresh=true&amp;timestamp=" &amp; TEXT(NOW(), "yyyymmddhhmmss"), "👉 Klik untuk Generate Script! 🔥"), "")</f>
        <v/>
      </c>
      <c r="I630" s="144" t="n"/>
      <c r="J630" s="148" t="n"/>
      <c r="K630" s="140">
        <f>IF(AND(B630&lt;&gt;"", C630&lt;&gt;"", D630&lt;&gt;"", E630&lt;&gt;"", F630&lt;&gt;"", G630&lt;&gt;"", J630&lt;&gt;"", 'CONTENT PILLAR MAPPING'!C532&lt;&gt;"", 'CONTENT PILLAR MAPPING'!E532&lt;&gt;"", 'CONTENT PILLAR MAPPING'!F532&lt;&gt;"", 'CONTENT PILLAR MAPPING'!C535&lt;&gt;"", 'CONTENT PILLAR MAPPING'!C540&lt;&gt;"", 'CONTENT PILLAR MAPPING'!D540&lt;&gt;"", 'CONTENT PILLAR MAPPING'!E540&lt;&gt;"", 'CONTENT PILLAR MAPPING'!D548&lt;&gt;"", 'CONTENT PILLAR MAPPING'!D549&lt;&gt;""),
CONCATENATE(
"Sebagai seorang top konten kreator dengan niche utama '", 'CONTENT PILLAR MAPPING'!C532, "', spesifik kategori '", 'CONTENT PILLAR MAPPING'!E532, "', dan super spesifik '", 'CONTENT PILLAR MAPPING'!F532, "', yang dikenal sebagai '", 'CONTENT PILLAR MAPPING'!C535, "'.", CHAR(10),
"Saya memiliki Tone of Voice: '", 'CONTENT PILLAR MAPPING'!C540, "', Brand Archetype: '", 'CONTENT PILLAR MAPPING'!D540, "', dan Deskripsi Gaya Komunikasi: '", 'CONTENT PILLAR MAPPING'!E540, "'.", CHAR(10),
"Target audiens saya adalah: '", 'CONTENT PILLAR MAPPING'!D548, "', dengan segmentasi audiens: '", 'CONTENT PILLAR MAPPING'!D549, "'.", CHAR(10), CHAR(10),
"Mohon buatkan script konten yang **sangat powerful, menarik, inovatif, dan siap pakai** dengan judul ide '", B630, "'.", CHAR(10),
"Konten ini memiliki pilar '", C630, "', nilai tambah utama '", F630, "', dan akan menggunakan storytelling framework '", G630, "'.", CHAR(10),
"Gambaran singkat ide kontennya adalah: '", J630, "'.", CHAR(10),
"Konten ini akan diunggah di platform '", E630, "' dengan format '", D630,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MAPPING'!C535, "'.** Sesuaikan dengan gaya komunikasi saya, dengan fokus pada nilai tambah '", F630,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MAPPING'!D548, ", khusus ", 'CONTENT PILLAR MAPPING'!D549, ") dan membantu mereka menyelesaikan masalah atau mencapai tujuan mereka.", CHAR(10),
"✔ Membantuku membangun personal branding yang kuat dan sustainable, sesuai dengan Positioning saya sebagai '", 'CONTENT PILLAR MAPPING'!C535, "' dan Brand Archetype '", 'CONTENT PILLAR MAPPING'!D540, "'.", CHAR(10),
"✔ Kemas dalam bentuk tabel agar rapi, mudah di baca dan dipahami, dengan kolom 'Judul Konten', 'Pilar', 'Format', 'Draft Script', 'CTA', 'Saran Visual', dan 'Full Caption'. (Kosongkan kolom Link Prompt jika ada)."
),
"")</f>
        <v/>
      </c>
      <c r="L630" s="199" t="n"/>
      <c r="M630" s="199" t="n"/>
      <c r="N630" s="102" t="n"/>
      <c r="O630" s="102" t="n"/>
      <c r="P630" s="102" t="n"/>
      <c r="Q630" s="102" t="n"/>
      <c r="R630" s="102" t="n"/>
      <c r="S630" s="102" t="n"/>
      <c r="T630" s="102" t="n"/>
      <c r="U630" s="102" t="n"/>
      <c r="V630" s="102" t="n"/>
      <c r="W630" s="102" t="n"/>
      <c r="X630" s="102" t="n"/>
      <c r="Y630" s="102" t="n"/>
      <c r="Z630" s="102" t="n"/>
      <c r="AA630" s="102" t="n"/>
      <c r="AB630" s="102" t="n"/>
      <c r="AC630" s="102" t="n"/>
      <c r="AD630" s="102" t="n"/>
    </row>
    <row r="631" ht="15.75" customHeight="1" s="205">
      <c r="A631" s="102" t="n"/>
      <c r="B631" s="142" t="n"/>
      <c r="C631" s="143" t="n"/>
      <c r="D631" s="143" t="n"/>
      <c r="E631" s="143" t="n"/>
      <c r="F631" s="143" t="n"/>
      <c r="G631" s="144" t="n"/>
      <c r="H631" s="145">
        <f>IF(K631&lt;&gt;"", HYPERLINK("https://chatgpt.com/?prompt=" &amp; SUBSTITUTE(SUBSTITUTE(K631, " ", "+"), "&amp;", "dan") &amp; "&amp;force-refresh=true&amp;timestamp=" &amp; TEXT(NOW(), "yyyymmddhhmmss"), "👉 Klik untuk Generate Script! 🔥"), "")</f>
        <v/>
      </c>
      <c r="I631" s="143" t="n"/>
      <c r="J631" s="146" t="n"/>
      <c r="K631" s="130">
        <f>IF(AND(B631&lt;&gt;"", C631&lt;&gt;"", D631&lt;&gt;"", E631&lt;&gt;"", F631&lt;&gt;"", G631&lt;&gt;"", J631&lt;&gt;"", 'CONTENT PILLAR MAPPING'!C534&lt;&gt;"", 'CONTENT PILLAR MAPPING'!E534&lt;&gt;"", 'CONTENT PILLAR MAPPING'!F534&lt;&gt;"", 'CONTENT PILLAR MAPPING'!C537&lt;&gt;"", 'CONTENT PILLAR MAPPING'!C542&lt;&gt;"", 'CONTENT PILLAR MAPPING'!D542&lt;&gt;"", 'CONTENT PILLAR MAPPING'!E542&lt;&gt;"", 'CONTENT PILLAR MAPPING'!D550&lt;&gt;"", 'CONTENT PILLAR MAPPING'!D551&lt;&gt;""),
CONCATENATE(
"Sebagai seorang top konten kreator dengan niche utama '", 'CONTENT PILLAR MAPPING'!C534, "', spesifik kategori '", 'CONTENT PILLAR MAPPING'!E534, "', dan super spesifik '", 'CONTENT PILLAR MAPPING'!F534, "', yang dikenal sebagai '", 'CONTENT PILLAR MAPPING'!C537, "'.", CHAR(10),
"Saya memiliki Tone of Voice: '", 'CONTENT PILLAR MAPPING'!C542, "', Brand Archetype: '", 'CONTENT PILLAR MAPPING'!D542, "', dan Deskripsi Gaya Komunikasi: '", 'CONTENT PILLAR MAPPING'!E542, "'.", CHAR(10),
"Target audiens saya adalah: '", 'CONTENT PILLAR MAPPING'!D550, "', dengan segmentasi audiens: '", 'CONTENT PILLAR MAPPING'!D551, "'.", CHAR(10), CHAR(10),
"Mohon buatkan script konten yang **sangat powerful, menarik, inovatif, dan siap pakai** dengan judul ide '", B631, "'.", CHAR(10),
"Konten ini memiliki pilar '", C631, "', nilai tambah utama '", F631, "', dan akan menggunakan storytelling framework '", G631, "'.", CHAR(10),
"Gambaran singkat ide kontennya adalah: '", J631, "'.", CHAR(10),
"Konten ini akan diunggah di platform '", E631, "' dengan format '", D631,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MAPPING'!C537, "'.** Sesuaikan dengan gaya komunikasi saya, dengan fokus pada nilai tambah '", F631,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MAPPING'!D550, ", khusus ", 'CONTENT PILLAR MAPPING'!D551, ") dan membantu mereka menyelesaikan masalah atau mencapai tujuan mereka.", CHAR(10),
"✔ Membantuku membangun personal branding yang kuat dan sustainable, sesuai dengan Positioning saya sebagai '", 'CONTENT PILLAR MAPPING'!C537, "' dan Brand Archetype '", 'CONTENT PILLAR MAPPING'!D542, "'.", CHAR(10),
"✔ Kemas dalam bentuk tabel agar rapi, mudah di baca dan dipahami, dengan kolom 'Judul Konten', 'Pilar', 'Format', 'Draft Script', 'CTA', 'Saran Visual', dan 'Full Caption'. (Kosongkan kolom Link Prompt jika ada)."
),
"")</f>
        <v/>
      </c>
      <c r="L631" s="91" t="n"/>
      <c r="M631" s="91" t="n"/>
      <c r="N631" s="102" t="n"/>
      <c r="O631" s="102" t="n"/>
      <c r="P631" s="102" t="n"/>
      <c r="Q631" s="102" t="n"/>
      <c r="R631" s="102" t="n"/>
      <c r="S631" s="102" t="n"/>
      <c r="T631" s="102" t="n"/>
      <c r="U631" s="102" t="n"/>
      <c r="V631" s="102" t="n"/>
      <c r="W631" s="102" t="n"/>
      <c r="X631" s="102" t="n"/>
      <c r="Y631" s="102" t="n"/>
      <c r="Z631" s="102" t="n"/>
      <c r="AA631" s="102" t="n"/>
      <c r="AB631" s="102" t="n"/>
      <c r="AC631" s="102" t="n"/>
      <c r="AD631" s="102" t="n"/>
    </row>
    <row r="632" ht="15.75" customHeight="1" s="205">
      <c r="A632" s="102" t="n"/>
      <c r="B632" s="147" t="n"/>
      <c r="C632" s="144" t="n"/>
      <c r="D632" s="144" t="n"/>
      <c r="E632" s="144" t="n"/>
      <c r="F632" s="144" t="n"/>
      <c r="G632" s="144" t="n"/>
      <c r="H632" s="141">
        <f>IF(K632&lt;&gt;"", HYPERLINK("https://chatgpt.com/?prompt=" &amp; SUBSTITUTE(SUBSTITUTE(K632, " ", "+"), "&amp;", "dan") &amp; "&amp;force-refresh=true&amp;timestamp=" &amp; TEXT(NOW(), "yyyymmddhhmmss"), "👉 Klik untuk Generate Script! 🔥"), "")</f>
        <v/>
      </c>
      <c r="I632" s="144" t="n"/>
      <c r="J632" s="148" t="n"/>
      <c r="K632" s="140">
        <f>IF(AND(B632&lt;&gt;"", C632&lt;&gt;"", D632&lt;&gt;"", E632&lt;&gt;"", F632&lt;&gt;"", G632&lt;&gt;"", J632&lt;&gt;"", 'CONTENT PILLAR MAPPING'!C534&lt;&gt;"", 'CONTENT PILLAR MAPPING'!E534&lt;&gt;"", 'CONTENT PILLAR MAPPING'!F534&lt;&gt;"", 'CONTENT PILLAR MAPPING'!C537&lt;&gt;"", 'CONTENT PILLAR MAPPING'!C542&lt;&gt;"", 'CONTENT PILLAR MAPPING'!D542&lt;&gt;"", 'CONTENT PILLAR MAPPING'!E542&lt;&gt;"", 'CONTENT PILLAR MAPPING'!D550&lt;&gt;"", 'CONTENT PILLAR MAPPING'!D551&lt;&gt;""),
CONCATENATE(
"Sebagai seorang top konten kreator dengan niche utama '", 'CONTENT PILLAR MAPPING'!C534, "', spesifik kategori '", 'CONTENT PILLAR MAPPING'!E534, "', dan super spesifik '", 'CONTENT PILLAR MAPPING'!F534, "', yang dikenal sebagai '", 'CONTENT PILLAR MAPPING'!C537, "'.", CHAR(10),
"Saya memiliki Tone of Voice: '", 'CONTENT PILLAR MAPPING'!C542, "', Brand Archetype: '", 'CONTENT PILLAR MAPPING'!D542, "', dan Deskripsi Gaya Komunikasi: '", 'CONTENT PILLAR MAPPING'!E542, "'.", CHAR(10),
"Target audiens saya adalah: '", 'CONTENT PILLAR MAPPING'!D550, "', dengan segmentasi audiens: '", 'CONTENT PILLAR MAPPING'!D551, "'.", CHAR(10), CHAR(10),
"Mohon buatkan script konten yang **sangat powerful, menarik, inovatif, dan siap pakai** dengan judul ide '", B632, "'.", CHAR(10),
"Konten ini memiliki pilar '", C632, "', nilai tambah utama '", F632, "', dan akan menggunakan storytelling framework '", G632, "'.", CHAR(10),
"Gambaran singkat ide kontennya adalah: '", J632, "'.", CHAR(10),
"Konten ini akan diunggah di platform '", E632, "' dengan format '", D632,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MAPPING'!C537, "'.** Sesuaikan dengan gaya komunikasi saya, dengan fokus pada nilai tambah '", F632,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MAPPING'!D550, ", khusus ", 'CONTENT PILLAR MAPPING'!D551, ") dan membantu mereka menyelesaikan masalah atau mencapai tujuan mereka.", CHAR(10),
"✔ Membantuku membangun personal branding yang kuat dan sustainable, sesuai dengan Positioning saya sebagai '", 'CONTENT PILLAR MAPPING'!C537, "' dan Brand Archetype '", 'CONTENT PILLAR MAPPING'!D542, "'.", CHAR(10),
"✔ Kemas dalam bentuk tabel agar rapi, mudah di baca dan dipahami, dengan kolom 'Judul Konten', 'Pilar', 'Format', 'Draft Script', 'CTA', 'Saran Visual', dan 'Full Caption'. (Kosongkan kolom Link Prompt jika ada)."
),
"")</f>
        <v/>
      </c>
      <c r="L632" s="199" t="n"/>
      <c r="M632" s="199" t="n"/>
      <c r="N632" s="102" t="n"/>
      <c r="O632" s="102" t="n"/>
      <c r="P632" s="102" t="n"/>
      <c r="Q632" s="102" t="n"/>
      <c r="R632" s="102" t="n"/>
      <c r="S632" s="102" t="n"/>
      <c r="T632" s="102" t="n"/>
      <c r="U632" s="102" t="n"/>
      <c r="V632" s="102" t="n"/>
      <c r="W632" s="102" t="n"/>
      <c r="X632" s="102" t="n"/>
      <c r="Y632" s="102" t="n"/>
      <c r="Z632" s="102" t="n"/>
      <c r="AA632" s="102" t="n"/>
      <c r="AB632" s="102" t="n"/>
      <c r="AC632" s="102" t="n"/>
      <c r="AD632" s="102" t="n"/>
    </row>
    <row r="633" ht="15.75" customHeight="1" s="205">
      <c r="A633" s="102" t="n"/>
      <c r="B633" s="142" t="n"/>
      <c r="C633" s="143" t="n"/>
      <c r="D633" s="143" t="n"/>
      <c r="E633" s="143" t="n"/>
      <c r="F633" s="143" t="n"/>
      <c r="G633" s="144" t="n"/>
      <c r="H633" s="145">
        <f>IF(K633&lt;&gt;"", HYPERLINK("https://chatgpt.com/?prompt=" &amp; SUBSTITUTE(SUBSTITUTE(K633, " ", "+"), "&amp;", "dan") &amp; "&amp;force-refresh=true&amp;timestamp=" &amp; TEXT(NOW(), "yyyymmddhhmmss"), "👉 Klik untuk Generate Script! 🔥"), "")</f>
        <v/>
      </c>
      <c r="I633" s="143" t="n"/>
      <c r="J633" s="146" t="n"/>
      <c r="K633" s="130">
        <f>IF(AND(B633&lt;&gt;"", C633&lt;&gt;"", D633&lt;&gt;"", E633&lt;&gt;"", F633&lt;&gt;"", G633&lt;&gt;"", J633&lt;&gt;"", 'CONTENT PILLAR MAPPING'!C536&lt;&gt;"", 'CONTENT PILLAR MAPPING'!E536&lt;&gt;"", 'CONTENT PILLAR MAPPING'!F536&lt;&gt;"", 'CONTENT PILLAR MAPPING'!C539&lt;&gt;"", 'CONTENT PILLAR MAPPING'!C544&lt;&gt;"", 'CONTENT PILLAR MAPPING'!D544&lt;&gt;"", 'CONTENT PILLAR MAPPING'!E544&lt;&gt;"", 'CONTENT PILLAR MAPPING'!D552&lt;&gt;"", 'CONTENT PILLAR MAPPING'!D553&lt;&gt;""),
CONCATENATE(
"Sebagai seorang top konten kreator dengan niche utama '", 'CONTENT PILLAR MAPPING'!C536, "', spesifik kategori '", 'CONTENT PILLAR MAPPING'!E536, "', dan super spesifik '", 'CONTENT PILLAR MAPPING'!F536, "', yang dikenal sebagai '", 'CONTENT PILLAR MAPPING'!C539, "'.", CHAR(10),
"Saya memiliki Tone of Voice: '", 'CONTENT PILLAR MAPPING'!C544, "', Brand Archetype: '", 'CONTENT PILLAR MAPPING'!D544, "', dan Deskripsi Gaya Komunikasi: '", 'CONTENT PILLAR MAPPING'!E544, "'.", CHAR(10),
"Target audiens saya adalah: '", 'CONTENT PILLAR MAPPING'!D552, "', dengan segmentasi audiens: '", 'CONTENT PILLAR MAPPING'!D553, "'.", CHAR(10), CHAR(10),
"Mohon buatkan script konten yang **sangat powerful, menarik, inovatif, dan siap pakai** dengan judul ide '", B633, "'.", CHAR(10),
"Konten ini memiliki pilar '", C633, "', nilai tambah utama '", F633, "', dan akan menggunakan storytelling framework '", G633, "'.", CHAR(10),
"Gambaran singkat ide kontennya adalah: '", J633, "'.", CHAR(10),
"Konten ini akan diunggah di platform '", E633, "' dengan format '", D633,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MAPPING'!C539, "'.** Sesuaikan dengan gaya komunikasi saya, dengan fokus pada nilai tambah '", F633,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MAPPING'!D552, ", khusus ", 'CONTENT PILLAR MAPPING'!D553, ") dan membantu mereka menyelesaikan masalah atau mencapai tujuan mereka.", CHAR(10),
"✔ Membantuku membangun personal branding yang kuat dan sustainable, sesuai dengan Positioning saya sebagai '", 'CONTENT PILLAR MAPPING'!C539, "' dan Brand Archetype '", 'CONTENT PILLAR MAPPING'!D544, "'.", CHAR(10),
"✔ Kemas dalam bentuk tabel agar rapi, mudah di baca dan dipahami, dengan kolom 'Judul Konten', 'Pilar', 'Format', 'Draft Script', 'CTA', 'Saran Visual', dan 'Full Caption'. (Kosongkan kolom Link Prompt jika ada)."
),
"")</f>
        <v/>
      </c>
      <c r="L633" s="91" t="n"/>
      <c r="M633" s="91" t="n"/>
      <c r="N633" s="102" t="n"/>
      <c r="O633" s="102" t="n"/>
      <c r="P633" s="102" t="n"/>
      <c r="Q633" s="102" t="n"/>
      <c r="R633" s="102" t="n"/>
      <c r="S633" s="102" t="n"/>
      <c r="T633" s="102" t="n"/>
      <c r="U633" s="102" t="n"/>
      <c r="V633" s="102" t="n"/>
      <c r="W633" s="102" t="n"/>
      <c r="X633" s="102" t="n"/>
      <c r="Y633" s="102" t="n"/>
      <c r="Z633" s="102" t="n"/>
      <c r="AA633" s="102" t="n"/>
      <c r="AB633" s="102" t="n"/>
      <c r="AC633" s="102" t="n"/>
      <c r="AD633" s="102" t="n"/>
    </row>
    <row r="634" ht="15.75" customHeight="1" s="205">
      <c r="A634" s="102" t="n"/>
      <c r="B634" s="147" t="n"/>
      <c r="C634" s="144" t="n"/>
      <c r="D634" s="144" t="n"/>
      <c r="E634" s="144" t="n"/>
      <c r="F634" s="144" t="n"/>
      <c r="G634" s="144" t="n"/>
      <c r="H634" s="141">
        <f>IF(K634&lt;&gt;"", HYPERLINK("https://chatgpt.com/?prompt=" &amp; SUBSTITUTE(SUBSTITUTE(K634, " ", "+"), "&amp;", "dan") &amp; "&amp;force-refresh=true&amp;timestamp=" &amp; TEXT(NOW(), "yyyymmddhhmmss"), "👉 Klik untuk Generate Script! 🔥"), "")</f>
        <v/>
      </c>
      <c r="I634" s="144" t="n"/>
      <c r="J634" s="148" t="n"/>
      <c r="K634" s="140">
        <f>IF(AND(B634&lt;&gt;"", C634&lt;&gt;"", D634&lt;&gt;"", E634&lt;&gt;"", F634&lt;&gt;"", G634&lt;&gt;"", J634&lt;&gt;"", 'CONTENT PILLAR MAPPING'!C536&lt;&gt;"", 'CONTENT PILLAR MAPPING'!E536&lt;&gt;"", 'CONTENT PILLAR MAPPING'!F536&lt;&gt;"", 'CONTENT PILLAR MAPPING'!C539&lt;&gt;"", 'CONTENT PILLAR MAPPING'!C544&lt;&gt;"", 'CONTENT PILLAR MAPPING'!D544&lt;&gt;"", 'CONTENT PILLAR MAPPING'!E544&lt;&gt;"", 'CONTENT PILLAR MAPPING'!D552&lt;&gt;"", 'CONTENT PILLAR MAPPING'!D553&lt;&gt;""),
CONCATENATE(
"Sebagai seorang top konten kreator dengan niche utama '", 'CONTENT PILLAR MAPPING'!C536, "', spesifik kategori '", 'CONTENT PILLAR MAPPING'!E536, "', dan super spesifik '", 'CONTENT PILLAR MAPPING'!F536, "', yang dikenal sebagai '", 'CONTENT PILLAR MAPPING'!C539, "'.", CHAR(10),
"Saya memiliki Tone of Voice: '", 'CONTENT PILLAR MAPPING'!C544, "', Brand Archetype: '", 'CONTENT PILLAR MAPPING'!D544, "', dan Deskripsi Gaya Komunikasi: '", 'CONTENT PILLAR MAPPING'!E544, "'.", CHAR(10),
"Target audiens saya adalah: '", 'CONTENT PILLAR MAPPING'!D552, "', dengan segmentasi audiens: '", 'CONTENT PILLAR MAPPING'!D553, "'.", CHAR(10), CHAR(10),
"Mohon buatkan script konten yang **sangat powerful, menarik, inovatif, dan siap pakai** dengan judul ide '", B634, "'.", CHAR(10),
"Konten ini memiliki pilar '", C634, "', nilai tambah utama '", F634, "', dan akan menggunakan storytelling framework '", G634, "'.", CHAR(10),
"Gambaran singkat ide kontennya adalah: '", J634, "'.", CHAR(10),
"Konten ini akan diunggah di platform '", E634, "' dengan format '", D634,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MAPPING'!C539, "'.** Sesuaikan dengan gaya komunikasi saya, dengan fokus pada nilai tambah '", F634,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MAPPING'!D552, ", khusus ", 'CONTENT PILLAR MAPPING'!D553, ") dan membantu mereka menyelesaikan masalah atau mencapai tujuan mereka.", CHAR(10),
"✔ Membantuku membangun personal branding yang kuat dan sustainable, sesuai dengan Positioning saya sebagai '", 'CONTENT PILLAR MAPPING'!C539, "' dan Brand Archetype '", 'CONTENT PILLAR MAPPING'!D544, "'.", CHAR(10),
"✔ Kemas dalam bentuk tabel agar rapi, mudah di baca dan dipahami, dengan kolom 'Judul Konten', 'Pilar', 'Format', 'Draft Script', 'CTA', 'Saran Visual', dan 'Full Caption'. (Kosongkan kolom Link Prompt jika ada)."
),
"")</f>
        <v/>
      </c>
      <c r="L634" s="199" t="n"/>
      <c r="M634" s="199" t="n"/>
      <c r="N634" s="102" t="n"/>
      <c r="O634" s="102" t="n"/>
      <c r="P634" s="102" t="n"/>
      <c r="Q634" s="102" t="n"/>
      <c r="R634" s="102" t="n"/>
      <c r="S634" s="102" t="n"/>
      <c r="T634" s="102" t="n"/>
      <c r="U634" s="102" t="n"/>
      <c r="V634" s="102" t="n"/>
      <c r="W634" s="102" t="n"/>
      <c r="X634" s="102" t="n"/>
      <c r="Y634" s="102" t="n"/>
      <c r="Z634" s="102" t="n"/>
      <c r="AA634" s="102" t="n"/>
      <c r="AB634" s="102" t="n"/>
      <c r="AC634" s="102" t="n"/>
      <c r="AD634" s="102" t="n"/>
    </row>
    <row r="635" ht="15.75" customHeight="1" s="205">
      <c r="A635" s="102" t="n"/>
      <c r="B635" s="142" t="n"/>
      <c r="C635" s="143" t="n"/>
      <c r="D635" s="143" t="n"/>
      <c r="E635" s="143" t="n"/>
      <c r="F635" s="143" t="n"/>
      <c r="G635" s="144" t="n"/>
      <c r="H635" s="145">
        <f>IF(K635&lt;&gt;"", HYPERLINK("https://chatgpt.com/?prompt=" &amp; SUBSTITUTE(SUBSTITUTE(K635, " ", "+"), "&amp;", "dan") &amp; "&amp;force-refresh=true&amp;timestamp=" &amp; TEXT(NOW(), "yyyymmddhhmmss"), "👉 Klik untuk Generate Script! 🔥"), "")</f>
        <v/>
      </c>
      <c r="I635" s="143" t="n"/>
      <c r="J635" s="146" t="n"/>
      <c r="K635" s="130">
        <f>IF(AND(B635&lt;&gt;"", C635&lt;&gt;"", D635&lt;&gt;"", E635&lt;&gt;"", F635&lt;&gt;"", G635&lt;&gt;"", J635&lt;&gt;"", 'CONTENT PILLAR MAPPING'!C538&lt;&gt;"", 'CONTENT PILLAR MAPPING'!E538&lt;&gt;"", 'CONTENT PILLAR MAPPING'!F538&lt;&gt;"", 'CONTENT PILLAR MAPPING'!C541&lt;&gt;"", 'CONTENT PILLAR MAPPING'!C546&lt;&gt;"", 'CONTENT PILLAR MAPPING'!D546&lt;&gt;"", 'CONTENT PILLAR MAPPING'!E546&lt;&gt;"", 'CONTENT PILLAR MAPPING'!D554&lt;&gt;"", 'CONTENT PILLAR MAPPING'!D555&lt;&gt;""),
CONCATENATE(
"Sebagai seorang top konten kreator dengan niche utama '", 'CONTENT PILLAR MAPPING'!C538, "', spesifik kategori '", 'CONTENT PILLAR MAPPING'!E538, "', dan super spesifik '", 'CONTENT PILLAR MAPPING'!F538, "', yang dikenal sebagai '", 'CONTENT PILLAR MAPPING'!C541, "'.", CHAR(10),
"Saya memiliki Tone of Voice: '", 'CONTENT PILLAR MAPPING'!C546, "', Brand Archetype: '", 'CONTENT PILLAR MAPPING'!D546, "', dan Deskripsi Gaya Komunikasi: '", 'CONTENT PILLAR MAPPING'!E546, "'.", CHAR(10),
"Target audiens saya adalah: '", 'CONTENT PILLAR MAPPING'!D554, "', dengan segmentasi audiens: '", 'CONTENT PILLAR MAPPING'!D555, "'.", CHAR(10), CHAR(10),
"Mohon buatkan script konten yang **sangat powerful, menarik, inovatif, dan siap pakai** dengan judul ide '", B635, "'.", CHAR(10),
"Konten ini memiliki pilar '", C635, "', nilai tambah utama '", F635, "', dan akan menggunakan storytelling framework '", G635, "'.", CHAR(10),
"Gambaran singkat ide kontennya adalah: '", J635, "'.", CHAR(10),
"Konten ini akan diunggah di platform '", E635, "' dengan format '", D635,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MAPPING'!C541, "'.** Sesuaikan dengan gaya komunikasi saya, dengan fokus pada nilai tambah '", F635,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MAPPING'!D554, ", khusus ", 'CONTENT PILLAR MAPPING'!D555, ") dan membantu mereka menyelesaikan masalah atau mencapai tujuan mereka.", CHAR(10),
"✔ Membantuku membangun personal branding yang kuat dan sustainable, sesuai dengan Positioning saya sebagai '", 'CONTENT PILLAR MAPPING'!C541, "' dan Brand Archetype '", 'CONTENT PILLAR MAPPING'!D546, "'.", CHAR(10),
"✔ Kemas dalam bentuk tabel agar rapi, mudah di baca dan dipahami, dengan kolom 'Judul Konten', 'Pilar', 'Format', 'Draft Script', 'CTA', 'Saran Visual', dan 'Full Caption'. (Kosongkan kolom Link Prompt jika ada)."
),
"")</f>
        <v/>
      </c>
      <c r="L635" s="91" t="n"/>
      <c r="M635" s="91" t="n"/>
      <c r="N635" s="102" t="n"/>
      <c r="O635" s="102" t="n"/>
      <c r="P635" s="102" t="n"/>
      <c r="Q635" s="102" t="n"/>
      <c r="R635" s="102" t="n"/>
      <c r="S635" s="102" t="n"/>
      <c r="T635" s="102" t="n"/>
      <c r="U635" s="102" t="n"/>
      <c r="V635" s="102" t="n"/>
      <c r="W635" s="102" t="n"/>
      <c r="X635" s="102" t="n"/>
      <c r="Y635" s="102" t="n"/>
      <c r="Z635" s="102" t="n"/>
      <c r="AA635" s="102" t="n"/>
      <c r="AB635" s="102" t="n"/>
      <c r="AC635" s="102" t="n"/>
      <c r="AD635" s="102" t="n"/>
    </row>
    <row r="636" ht="15.75" customHeight="1" s="205">
      <c r="A636" s="102" t="n"/>
      <c r="B636" s="147" t="n"/>
      <c r="C636" s="144" t="n"/>
      <c r="D636" s="144" t="n"/>
      <c r="E636" s="144" t="n"/>
      <c r="F636" s="144" t="n"/>
      <c r="G636" s="144" t="n"/>
      <c r="H636" s="141">
        <f>IF(K636&lt;&gt;"", HYPERLINK("https://chatgpt.com/?prompt=" &amp; SUBSTITUTE(SUBSTITUTE(K636, " ", "+"), "&amp;", "dan") &amp; "&amp;force-refresh=true&amp;timestamp=" &amp; TEXT(NOW(), "yyyymmddhhmmss"), "👉 Klik untuk Generate Script! 🔥"), "")</f>
        <v/>
      </c>
      <c r="I636" s="144" t="n"/>
      <c r="J636" s="148" t="n"/>
      <c r="K636" s="140">
        <f>IF(AND(B636&lt;&gt;"", C636&lt;&gt;"", D636&lt;&gt;"", E636&lt;&gt;"", F636&lt;&gt;"", G636&lt;&gt;"", J636&lt;&gt;"", 'CONTENT PILLAR MAPPING'!C538&lt;&gt;"", 'CONTENT PILLAR MAPPING'!E538&lt;&gt;"", 'CONTENT PILLAR MAPPING'!F538&lt;&gt;"", 'CONTENT PILLAR MAPPING'!C541&lt;&gt;"", 'CONTENT PILLAR MAPPING'!C546&lt;&gt;"", 'CONTENT PILLAR MAPPING'!D546&lt;&gt;"", 'CONTENT PILLAR MAPPING'!E546&lt;&gt;"", 'CONTENT PILLAR MAPPING'!D554&lt;&gt;"", 'CONTENT PILLAR MAPPING'!D555&lt;&gt;""),
CONCATENATE(
"Sebagai seorang top konten kreator dengan niche utama '", 'CONTENT PILLAR MAPPING'!C538, "', spesifik kategori '", 'CONTENT PILLAR MAPPING'!E538, "', dan super spesifik '", 'CONTENT PILLAR MAPPING'!F538, "', yang dikenal sebagai '", 'CONTENT PILLAR MAPPING'!C541, "'.", CHAR(10),
"Saya memiliki Tone of Voice: '", 'CONTENT PILLAR MAPPING'!C546, "', Brand Archetype: '", 'CONTENT PILLAR MAPPING'!D546, "', dan Deskripsi Gaya Komunikasi: '", 'CONTENT PILLAR MAPPING'!E546, "'.", CHAR(10),
"Target audiens saya adalah: '", 'CONTENT PILLAR MAPPING'!D554, "', dengan segmentasi audiens: '", 'CONTENT PILLAR MAPPING'!D555, "'.", CHAR(10), CHAR(10),
"Mohon buatkan script konten yang **sangat powerful, menarik, inovatif, dan siap pakai** dengan judul ide '", B636, "'.", CHAR(10),
"Konten ini memiliki pilar '", C636, "', nilai tambah utama '", F636, "', dan akan menggunakan storytelling framework '", G636, "'.", CHAR(10),
"Gambaran singkat ide kontennya adalah: '", J636, "'.", CHAR(10),
"Konten ini akan diunggah di platform '", E636, "' dengan format '", D636,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MAPPING'!C541, "'.** Sesuaikan dengan gaya komunikasi saya, dengan fokus pada nilai tambah '", F636,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MAPPING'!D554, ", khusus ", 'CONTENT PILLAR MAPPING'!D555, ") dan membantu mereka menyelesaikan masalah atau mencapai tujuan mereka.", CHAR(10),
"✔ Membantuku membangun personal branding yang kuat dan sustainable, sesuai dengan Positioning saya sebagai '", 'CONTENT PILLAR MAPPING'!C541, "' dan Brand Archetype '", 'CONTENT PILLAR MAPPING'!D546, "'.", CHAR(10),
"✔ Kemas dalam bentuk tabel agar rapi, mudah di baca dan dipahami, dengan kolom 'Judul Konten', 'Pilar', 'Format', 'Draft Script', 'CTA', 'Saran Visual', dan 'Full Caption'. (Kosongkan kolom Link Prompt jika ada)."
),
"")</f>
        <v/>
      </c>
      <c r="L636" s="199" t="n"/>
      <c r="M636" s="199" t="n"/>
      <c r="N636" s="102" t="n"/>
      <c r="O636" s="102" t="n"/>
      <c r="P636" s="102" t="n"/>
      <c r="Q636" s="102" t="n"/>
      <c r="R636" s="102" t="n"/>
      <c r="S636" s="102" t="n"/>
      <c r="T636" s="102" t="n"/>
      <c r="U636" s="102" t="n"/>
      <c r="V636" s="102" t="n"/>
      <c r="W636" s="102" t="n"/>
      <c r="X636" s="102" t="n"/>
      <c r="Y636" s="102" t="n"/>
      <c r="Z636" s="102" t="n"/>
      <c r="AA636" s="102" t="n"/>
      <c r="AB636" s="102" t="n"/>
      <c r="AC636" s="102" t="n"/>
      <c r="AD636" s="102" t="n"/>
    </row>
    <row r="637" ht="15.75" customHeight="1" s="205">
      <c r="A637" s="102" t="n"/>
      <c r="B637" s="142" t="n"/>
      <c r="C637" s="143" t="n"/>
      <c r="D637" s="143" t="n"/>
      <c r="E637" s="143" t="n"/>
      <c r="F637" s="143" t="n"/>
      <c r="G637" s="144" t="n"/>
      <c r="H637" s="145">
        <f>IF(K637&lt;&gt;"", HYPERLINK("https://chatgpt.com/?prompt=" &amp; SUBSTITUTE(SUBSTITUTE(K637, " ", "+"), "&amp;", "dan") &amp; "&amp;force-refresh=true&amp;timestamp=" &amp; TEXT(NOW(), "yyyymmddhhmmss"), "👉 Klik untuk Generate Script! 🔥"), "")</f>
        <v/>
      </c>
      <c r="I637" s="143" t="n"/>
      <c r="J637" s="146" t="n"/>
      <c r="K637" s="130">
        <f>IF(AND(B637&lt;&gt;"", C637&lt;&gt;"", D637&lt;&gt;"", E637&lt;&gt;"", F637&lt;&gt;"", G637&lt;&gt;"", J637&lt;&gt;"", 'CONTENT PILLAR MAPPING'!C540&lt;&gt;"", 'CONTENT PILLAR MAPPING'!E540&lt;&gt;"", 'CONTENT PILLAR MAPPING'!F540&lt;&gt;"", 'CONTENT PILLAR MAPPING'!C543&lt;&gt;"", 'CONTENT PILLAR MAPPING'!C548&lt;&gt;"", 'CONTENT PILLAR MAPPING'!D548&lt;&gt;"", 'CONTENT PILLAR MAPPING'!E548&lt;&gt;"", 'CONTENT PILLAR MAPPING'!D556&lt;&gt;"", 'CONTENT PILLAR MAPPING'!D557&lt;&gt;""),
CONCATENATE(
"Sebagai seorang top konten kreator dengan niche utama '", 'CONTENT PILLAR MAPPING'!C540, "', spesifik kategori '", 'CONTENT PILLAR MAPPING'!E540, "', dan super spesifik '", 'CONTENT PILLAR MAPPING'!F540, "', yang dikenal sebagai '", 'CONTENT PILLAR MAPPING'!C543, "'.", CHAR(10),
"Saya memiliki Tone of Voice: '", 'CONTENT PILLAR MAPPING'!C548, "', Brand Archetype: '", 'CONTENT PILLAR MAPPING'!D548, "', dan Deskripsi Gaya Komunikasi: '", 'CONTENT PILLAR MAPPING'!E548, "'.", CHAR(10),
"Target audiens saya adalah: '", 'CONTENT PILLAR MAPPING'!D556, "', dengan segmentasi audiens: '", 'CONTENT PILLAR MAPPING'!D557, "'.", CHAR(10), CHAR(10),
"Mohon buatkan script konten yang **sangat powerful, menarik, inovatif, dan siap pakai** dengan judul ide '", B637, "'.", CHAR(10),
"Konten ini memiliki pilar '", C637, "', nilai tambah utama '", F637, "', dan akan menggunakan storytelling framework '", G637, "'.", CHAR(10),
"Gambaran singkat ide kontennya adalah: '", J637, "'.", CHAR(10),
"Konten ini akan diunggah di platform '", E637, "' dengan format '", D637,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MAPPING'!C543, "'.** Sesuaikan dengan gaya komunikasi saya, dengan fokus pada nilai tambah '", F637,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MAPPING'!D556, ", khusus ", 'CONTENT PILLAR MAPPING'!D557, ") dan membantu mereka menyelesaikan masalah atau mencapai tujuan mereka.", CHAR(10),
"✔ Membantuku membangun personal branding yang kuat dan sustainable, sesuai dengan Positioning saya sebagai '", 'CONTENT PILLAR MAPPING'!C543, "' dan Brand Archetype '", 'CONTENT PILLAR MAPPING'!D548, "'.", CHAR(10),
"✔ Kemas dalam bentuk tabel agar rapi, mudah di baca dan dipahami, dengan kolom 'Judul Konten', 'Pilar', 'Format', 'Draft Script', 'CTA', 'Saran Visual', dan 'Full Caption'. (Kosongkan kolom Link Prompt jika ada)."
),
"")</f>
        <v/>
      </c>
      <c r="L637" s="91" t="n"/>
      <c r="M637" s="91" t="n"/>
      <c r="N637" s="102" t="n"/>
      <c r="O637" s="102" t="n"/>
      <c r="P637" s="102" t="n"/>
      <c r="Q637" s="102" t="n"/>
      <c r="R637" s="102" t="n"/>
      <c r="S637" s="102" t="n"/>
      <c r="T637" s="102" t="n"/>
      <c r="U637" s="102" t="n"/>
      <c r="V637" s="102" t="n"/>
      <c r="W637" s="102" t="n"/>
      <c r="X637" s="102" t="n"/>
      <c r="Y637" s="102" t="n"/>
      <c r="Z637" s="102" t="n"/>
      <c r="AA637" s="102" t="n"/>
      <c r="AB637" s="102" t="n"/>
      <c r="AC637" s="102" t="n"/>
      <c r="AD637" s="102" t="n"/>
    </row>
    <row r="638" ht="15.75" customHeight="1" s="205">
      <c r="A638" s="102" t="n"/>
      <c r="B638" s="147" t="n"/>
      <c r="C638" s="144" t="n"/>
      <c r="D638" s="144" t="n"/>
      <c r="E638" s="144" t="n"/>
      <c r="F638" s="144" t="n"/>
      <c r="G638" s="144" t="n"/>
      <c r="H638" s="141">
        <f>IF(K638&lt;&gt;"", HYPERLINK("https://chatgpt.com/?prompt=" &amp; SUBSTITUTE(SUBSTITUTE(K638, " ", "+"), "&amp;", "dan") &amp; "&amp;force-refresh=true&amp;timestamp=" &amp; TEXT(NOW(), "yyyymmddhhmmss"), "👉 Klik untuk Generate Script! 🔥"), "")</f>
        <v/>
      </c>
      <c r="I638" s="144" t="n"/>
      <c r="J638" s="148" t="n"/>
      <c r="K638" s="140">
        <f>IF(AND(B638&lt;&gt;"", C638&lt;&gt;"", D638&lt;&gt;"", E638&lt;&gt;"", F638&lt;&gt;"", G638&lt;&gt;"", J638&lt;&gt;"", 'CONTENT PILLAR MAPPING'!C540&lt;&gt;"", 'CONTENT PILLAR MAPPING'!E540&lt;&gt;"", 'CONTENT PILLAR MAPPING'!F540&lt;&gt;"", 'CONTENT PILLAR MAPPING'!C543&lt;&gt;"", 'CONTENT PILLAR MAPPING'!C548&lt;&gt;"", 'CONTENT PILLAR MAPPING'!D548&lt;&gt;"", 'CONTENT PILLAR MAPPING'!E548&lt;&gt;"", 'CONTENT PILLAR MAPPING'!D556&lt;&gt;"", 'CONTENT PILLAR MAPPING'!D557&lt;&gt;""),
CONCATENATE(
"Sebagai seorang top konten kreator dengan niche utama '", 'CONTENT PILLAR MAPPING'!C540, "', spesifik kategori '", 'CONTENT PILLAR MAPPING'!E540, "', dan super spesifik '", 'CONTENT PILLAR MAPPING'!F540, "', yang dikenal sebagai '", 'CONTENT PILLAR MAPPING'!C543, "'.", CHAR(10),
"Saya memiliki Tone of Voice: '", 'CONTENT PILLAR MAPPING'!C548, "', Brand Archetype: '", 'CONTENT PILLAR MAPPING'!D548, "', dan Deskripsi Gaya Komunikasi: '", 'CONTENT PILLAR MAPPING'!E548, "'.", CHAR(10),
"Target audiens saya adalah: '", 'CONTENT PILLAR MAPPING'!D556, "', dengan segmentasi audiens: '", 'CONTENT PILLAR MAPPING'!D557, "'.", CHAR(10), CHAR(10),
"Mohon buatkan script konten yang **sangat powerful, menarik, inovatif, dan siap pakai** dengan judul ide '", B638, "'.", CHAR(10),
"Konten ini memiliki pilar '", C638, "', nilai tambah utama '", F638, "', dan akan menggunakan storytelling framework '", G638, "'.", CHAR(10),
"Gambaran singkat ide kontennya adalah: '", J638, "'.", CHAR(10),
"Konten ini akan diunggah di platform '", E638, "' dengan format '", D638,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MAPPING'!C543, "'.** Sesuaikan dengan gaya komunikasi saya, dengan fokus pada nilai tambah '", F638,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MAPPING'!D556, ", khusus ", 'CONTENT PILLAR MAPPING'!D557, ") dan membantu mereka menyelesaikan masalah atau mencapai tujuan mereka.", CHAR(10),
"✔ Membantuku membangun personal branding yang kuat dan sustainable, sesuai dengan Positioning saya sebagai '", 'CONTENT PILLAR MAPPING'!C543, "' dan Brand Archetype '", 'CONTENT PILLAR MAPPING'!D548, "'.", CHAR(10),
"✔ Kemas dalam bentuk tabel agar rapi, mudah di baca dan dipahami, dengan kolom 'Judul Konten', 'Pilar', 'Format', 'Draft Script', 'CTA', 'Saran Visual', dan 'Full Caption'. (Kosongkan kolom Link Prompt jika ada)."
),
"")</f>
        <v/>
      </c>
      <c r="L638" s="199" t="n"/>
      <c r="M638" s="199" t="n"/>
      <c r="N638" s="102" t="n"/>
      <c r="O638" s="102" t="n"/>
      <c r="P638" s="102" t="n"/>
      <c r="Q638" s="102" t="n"/>
      <c r="R638" s="102" t="n"/>
      <c r="S638" s="102" t="n"/>
      <c r="T638" s="102" t="n"/>
      <c r="U638" s="102" t="n"/>
      <c r="V638" s="102" t="n"/>
      <c r="W638" s="102" t="n"/>
      <c r="X638" s="102" t="n"/>
      <c r="Y638" s="102" t="n"/>
      <c r="Z638" s="102" t="n"/>
      <c r="AA638" s="102" t="n"/>
      <c r="AB638" s="102" t="n"/>
      <c r="AC638" s="102" t="n"/>
      <c r="AD638" s="102" t="n"/>
    </row>
    <row r="639" ht="15.75" customHeight="1" s="205">
      <c r="A639" s="102" t="n"/>
      <c r="B639" s="142" t="n"/>
      <c r="C639" s="143" t="n"/>
      <c r="D639" s="143" t="n"/>
      <c r="E639" s="143" t="n"/>
      <c r="F639" s="143" t="n"/>
      <c r="G639" s="144" t="n"/>
      <c r="H639" s="145">
        <f>IF(K639&lt;&gt;"", HYPERLINK("https://chatgpt.com/?prompt=" &amp; SUBSTITUTE(SUBSTITUTE(K639, " ", "+"), "&amp;", "dan") &amp; "&amp;force-refresh=true&amp;timestamp=" &amp; TEXT(NOW(), "yyyymmddhhmmss"), "👉 Klik untuk Generate Script! 🔥"), "")</f>
        <v/>
      </c>
      <c r="I639" s="143" t="n"/>
      <c r="J639" s="146" t="n"/>
      <c r="K639" s="130">
        <f>IF(AND(B639&lt;&gt;"", C639&lt;&gt;"", D639&lt;&gt;"", E639&lt;&gt;"", F639&lt;&gt;"", G639&lt;&gt;"", J639&lt;&gt;"", 'CONTENT PILLAR MAPPING'!C542&lt;&gt;"", 'CONTENT PILLAR MAPPING'!E542&lt;&gt;"", 'CONTENT PILLAR MAPPING'!F542&lt;&gt;"", 'CONTENT PILLAR MAPPING'!C545&lt;&gt;"", 'CONTENT PILLAR MAPPING'!C550&lt;&gt;"", 'CONTENT PILLAR MAPPING'!D550&lt;&gt;"", 'CONTENT PILLAR MAPPING'!E550&lt;&gt;"", 'CONTENT PILLAR MAPPING'!D558&lt;&gt;"", 'CONTENT PILLAR MAPPING'!D559&lt;&gt;""),
CONCATENATE(
"Sebagai seorang top konten kreator dengan niche utama '", 'CONTENT PILLAR MAPPING'!C542, "', spesifik kategori '", 'CONTENT PILLAR MAPPING'!E542, "', dan super spesifik '", 'CONTENT PILLAR MAPPING'!F542, "', yang dikenal sebagai '", 'CONTENT PILLAR MAPPING'!C545, "'.", CHAR(10),
"Saya memiliki Tone of Voice: '", 'CONTENT PILLAR MAPPING'!C550, "', Brand Archetype: '", 'CONTENT PILLAR MAPPING'!D550, "', dan Deskripsi Gaya Komunikasi: '", 'CONTENT PILLAR MAPPING'!E550, "'.", CHAR(10),
"Target audiens saya adalah: '", 'CONTENT PILLAR MAPPING'!D558, "', dengan segmentasi audiens: '", 'CONTENT PILLAR MAPPING'!D559, "'.", CHAR(10), CHAR(10),
"Mohon buatkan script konten yang **sangat powerful, menarik, inovatif, dan siap pakai** dengan judul ide '", B639, "'.", CHAR(10),
"Konten ini memiliki pilar '", C639, "', nilai tambah utama '", F639, "', dan akan menggunakan storytelling framework '", G639, "'.", CHAR(10),
"Gambaran singkat ide kontennya adalah: '", J639, "'.", CHAR(10),
"Konten ini akan diunggah di platform '", E639, "' dengan format '", D639,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MAPPING'!C545, "'.** Sesuaikan dengan gaya komunikasi saya, dengan fokus pada nilai tambah '", F639,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MAPPING'!D558, ", khusus ", 'CONTENT PILLAR MAPPING'!D559, ") dan membantu mereka menyelesaikan masalah atau mencapai tujuan mereka.", CHAR(10),
"✔ Membantuku membangun personal branding yang kuat dan sustainable, sesuai dengan Positioning saya sebagai '", 'CONTENT PILLAR MAPPING'!C545, "' dan Brand Archetype '", 'CONTENT PILLAR MAPPING'!D550, "'.", CHAR(10),
"✔ Kemas dalam bentuk tabel agar rapi, mudah di baca dan dipahami, dengan kolom 'Judul Konten', 'Pilar', 'Format', 'Draft Script', 'CTA', 'Saran Visual', dan 'Full Caption'. (Kosongkan kolom Link Prompt jika ada)."
),
"")</f>
        <v/>
      </c>
      <c r="L639" s="91" t="n"/>
      <c r="M639" s="91" t="n"/>
      <c r="N639" s="102" t="n"/>
      <c r="O639" s="102" t="n"/>
      <c r="P639" s="102" t="n"/>
      <c r="Q639" s="102" t="n"/>
      <c r="R639" s="102" t="n"/>
      <c r="S639" s="102" t="n"/>
      <c r="T639" s="102" t="n"/>
      <c r="U639" s="102" t="n"/>
      <c r="V639" s="102" t="n"/>
      <c r="W639" s="102" t="n"/>
      <c r="X639" s="102" t="n"/>
      <c r="Y639" s="102" t="n"/>
      <c r="Z639" s="102" t="n"/>
      <c r="AA639" s="102" t="n"/>
      <c r="AB639" s="102" t="n"/>
      <c r="AC639" s="102" t="n"/>
      <c r="AD639" s="102" t="n"/>
    </row>
    <row r="640" ht="15.75" customHeight="1" s="205">
      <c r="A640" s="102" t="n"/>
      <c r="B640" s="147" t="n"/>
      <c r="C640" s="144" t="n"/>
      <c r="D640" s="144" t="n"/>
      <c r="E640" s="144" t="n"/>
      <c r="F640" s="144" t="n"/>
      <c r="G640" s="144" t="n"/>
      <c r="H640" s="141">
        <f>IF(K640&lt;&gt;"", HYPERLINK("https://chatgpt.com/?prompt=" &amp; SUBSTITUTE(SUBSTITUTE(K640, " ", "+"), "&amp;", "dan") &amp; "&amp;force-refresh=true&amp;timestamp=" &amp; TEXT(NOW(), "yyyymmddhhmmss"), "👉 Klik untuk Generate Script! 🔥"), "")</f>
        <v/>
      </c>
      <c r="I640" s="144" t="n"/>
      <c r="J640" s="148" t="n"/>
      <c r="K640" s="140">
        <f>IF(AND(B640&lt;&gt;"", C640&lt;&gt;"", D640&lt;&gt;"", E640&lt;&gt;"", F640&lt;&gt;"", G640&lt;&gt;"", J640&lt;&gt;"", 'CONTENT PILLAR MAPPING'!C542&lt;&gt;"", 'CONTENT PILLAR MAPPING'!E542&lt;&gt;"", 'CONTENT PILLAR MAPPING'!F542&lt;&gt;"", 'CONTENT PILLAR MAPPING'!C545&lt;&gt;"", 'CONTENT PILLAR MAPPING'!C550&lt;&gt;"", 'CONTENT PILLAR MAPPING'!D550&lt;&gt;"", 'CONTENT PILLAR MAPPING'!E550&lt;&gt;"", 'CONTENT PILLAR MAPPING'!D558&lt;&gt;"", 'CONTENT PILLAR MAPPING'!D559&lt;&gt;""),
CONCATENATE(
"Sebagai seorang top konten kreator dengan niche utama '", 'CONTENT PILLAR MAPPING'!C542, "', spesifik kategori '", 'CONTENT PILLAR MAPPING'!E542, "', dan super spesifik '", 'CONTENT PILLAR MAPPING'!F542, "', yang dikenal sebagai '", 'CONTENT PILLAR MAPPING'!C545, "'.", CHAR(10),
"Saya memiliki Tone of Voice: '", 'CONTENT PILLAR MAPPING'!C550, "', Brand Archetype: '", 'CONTENT PILLAR MAPPING'!D550, "', dan Deskripsi Gaya Komunikasi: '", 'CONTENT PILLAR MAPPING'!E550, "'.", CHAR(10),
"Target audiens saya adalah: '", 'CONTENT PILLAR MAPPING'!D558, "', dengan segmentasi audiens: '", 'CONTENT PILLAR MAPPING'!D559, "'.", CHAR(10), CHAR(10),
"Mohon buatkan script konten yang **sangat powerful, menarik, inovatif, dan siap pakai** dengan judul ide '", B640, "'.", CHAR(10),
"Konten ini memiliki pilar '", C640, "', nilai tambah utama '", F640, "', dan akan menggunakan storytelling framework '", G640, "'.", CHAR(10),
"Gambaran singkat ide kontennya adalah: '", J640, "'.", CHAR(10),
"Konten ini akan diunggah di platform '", E640, "' dengan format '", D640,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MAPPING'!C545, "'.** Sesuaikan dengan gaya komunikasi saya, dengan fokus pada nilai tambah '", F640,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MAPPING'!D558, ", khusus ", 'CONTENT PILLAR MAPPING'!D559, ") dan membantu mereka menyelesaikan masalah atau mencapai tujuan mereka.", CHAR(10),
"✔ Membantuku membangun personal branding yang kuat dan sustainable, sesuai dengan Positioning saya sebagai '", 'CONTENT PILLAR MAPPING'!C545, "' dan Brand Archetype '", 'CONTENT PILLAR MAPPING'!D550, "'.", CHAR(10),
"✔ Kemas dalam bentuk tabel agar rapi, mudah di baca dan dipahami, dengan kolom 'Judul Konten', 'Pilar', 'Format', 'Draft Script', 'CTA', 'Saran Visual', dan 'Full Caption'. (Kosongkan kolom Link Prompt jika ada)."
),
"")</f>
        <v/>
      </c>
      <c r="L640" s="199" t="n"/>
      <c r="M640" s="199" t="n"/>
      <c r="N640" s="102" t="n"/>
      <c r="O640" s="102" t="n"/>
      <c r="P640" s="102" t="n"/>
      <c r="Q640" s="102" t="n"/>
      <c r="R640" s="102" t="n"/>
      <c r="S640" s="102" t="n"/>
      <c r="T640" s="102" t="n"/>
      <c r="U640" s="102" t="n"/>
      <c r="V640" s="102" t="n"/>
      <c r="W640" s="102" t="n"/>
      <c r="X640" s="102" t="n"/>
      <c r="Y640" s="102" t="n"/>
      <c r="Z640" s="102" t="n"/>
      <c r="AA640" s="102" t="n"/>
      <c r="AB640" s="102" t="n"/>
      <c r="AC640" s="102" t="n"/>
      <c r="AD640" s="102" t="n"/>
    </row>
    <row r="641" ht="15.75" customHeight="1" s="205">
      <c r="A641" s="102" t="n"/>
      <c r="B641" s="142" t="n"/>
      <c r="C641" s="143" t="n"/>
      <c r="D641" s="143" t="n"/>
      <c r="E641" s="143" t="n"/>
      <c r="F641" s="143" t="n"/>
      <c r="G641" s="144" t="n"/>
      <c r="H641" s="145">
        <f>IF(K641&lt;&gt;"", HYPERLINK("https://chatgpt.com/?prompt=" &amp; SUBSTITUTE(SUBSTITUTE(K641, " ", "+"), "&amp;", "dan") &amp; "&amp;force-refresh=true&amp;timestamp=" &amp; TEXT(NOW(), "yyyymmddhhmmss"), "👉 Klik untuk Generate Script! 🔥"), "")</f>
        <v/>
      </c>
      <c r="I641" s="143" t="n"/>
      <c r="J641" s="146" t="n"/>
      <c r="K641" s="130">
        <f>IF(AND(B641&lt;&gt;"", C641&lt;&gt;"", D641&lt;&gt;"", E641&lt;&gt;"", F641&lt;&gt;"", G641&lt;&gt;"", J641&lt;&gt;"", 'CONTENT PILLAR MAPPING'!C544&lt;&gt;"", 'CONTENT PILLAR MAPPING'!E544&lt;&gt;"", 'CONTENT PILLAR MAPPING'!F544&lt;&gt;"", 'CONTENT PILLAR MAPPING'!C547&lt;&gt;"", 'CONTENT PILLAR MAPPING'!C552&lt;&gt;"", 'CONTENT PILLAR MAPPING'!D552&lt;&gt;"", 'CONTENT PILLAR MAPPING'!E552&lt;&gt;"", 'CONTENT PILLAR MAPPING'!D560&lt;&gt;"", 'CONTENT PILLAR MAPPING'!D561&lt;&gt;""),
CONCATENATE(
"Sebagai seorang top konten kreator dengan niche utama '", 'CONTENT PILLAR MAPPING'!C544, "', spesifik kategori '", 'CONTENT PILLAR MAPPING'!E544, "', dan super spesifik '", 'CONTENT PILLAR MAPPING'!F544, "', yang dikenal sebagai '", 'CONTENT PILLAR MAPPING'!C547, "'.", CHAR(10),
"Saya memiliki Tone of Voice: '", 'CONTENT PILLAR MAPPING'!C552, "', Brand Archetype: '", 'CONTENT PILLAR MAPPING'!D552, "', dan Deskripsi Gaya Komunikasi: '", 'CONTENT PILLAR MAPPING'!E552, "'.", CHAR(10),
"Target audiens saya adalah: '", 'CONTENT PILLAR MAPPING'!D560, "', dengan segmentasi audiens: '", 'CONTENT PILLAR MAPPING'!D561, "'.", CHAR(10), CHAR(10),
"Mohon buatkan script konten yang **sangat powerful, menarik, inovatif, dan siap pakai** dengan judul ide '", B641, "'.", CHAR(10),
"Konten ini memiliki pilar '", C641, "', nilai tambah utama '", F641, "', dan akan menggunakan storytelling framework '", G641, "'.", CHAR(10),
"Gambaran singkat ide kontennya adalah: '", J641, "'.", CHAR(10),
"Konten ini akan diunggah di platform '", E641, "' dengan format '", D641,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MAPPING'!C547, "'.** Sesuaikan dengan gaya komunikasi saya, dengan fokus pada nilai tambah '", F641,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MAPPING'!D560, ", khusus ", 'CONTENT PILLAR MAPPING'!D561, ") dan membantu mereka menyelesaikan masalah atau mencapai tujuan mereka.", CHAR(10),
"✔ Membantuku membangun personal branding yang kuat dan sustainable, sesuai dengan Positioning saya sebagai '", 'CONTENT PILLAR MAPPING'!C547, "' dan Brand Archetype '", 'CONTENT PILLAR MAPPING'!D552, "'.", CHAR(10),
"✔ Kemas dalam bentuk tabel agar rapi, mudah di baca dan dipahami, dengan kolom 'Judul Konten', 'Pilar', 'Format', 'Draft Script', 'CTA', 'Saran Visual', dan 'Full Caption'. (Kosongkan kolom Link Prompt jika ada)."
),
"")</f>
        <v/>
      </c>
      <c r="L641" s="91" t="n"/>
      <c r="M641" s="91" t="n"/>
      <c r="N641" s="102" t="n"/>
      <c r="O641" s="102" t="n"/>
      <c r="P641" s="102" t="n"/>
      <c r="Q641" s="102" t="n"/>
      <c r="R641" s="102" t="n"/>
      <c r="S641" s="102" t="n"/>
      <c r="T641" s="102" t="n"/>
      <c r="U641" s="102" t="n"/>
      <c r="V641" s="102" t="n"/>
      <c r="W641" s="102" t="n"/>
      <c r="X641" s="102" t="n"/>
      <c r="Y641" s="102" t="n"/>
      <c r="Z641" s="102" t="n"/>
      <c r="AA641" s="102" t="n"/>
      <c r="AB641" s="102" t="n"/>
      <c r="AC641" s="102" t="n"/>
      <c r="AD641" s="102" t="n"/>
    </row>
    <row r="642" ht="15.75" customHeight="1" s="205">
      <c r="A642" s="102" t="n"/>
      <c r="B642" s="147" t="n"/>
      <c r="C642" s="144" t="n"/>
      <c r="D642" s="144" t="n"/>
      <c r="E642" s="144" t="n"/>
      <c r="F642" s="144" t="n"/>
      <c r="G642" s="144" t="n"/>
      <c r="H642" s="141">
        <f>IF(K642&lt;&gt;"", HYPERLINK("https://chatgpt.com/?prompt=" &amp; SUBSTITUTE(SUBSTITUTE(K642, " ", "+"), "&amp;", "dan") &amp; "&amp;force-refresh=true&amp;timestamp=" &amp; TEXT(NOW(), "yyyymmddhhmmss"), "👉 Klik untuk Generate Script! 🔥"), "")</f>
        <v/>
      </c>
      <c r="I642" s="144" t="n"/>
      <c r="J642" s="148" t="n"/>
      <c r="K642" s="140">
        <f>IF(AND(B642&lt;&gt;"", C642&lt;&gt;"", D642&lt;&gt;"", E642&lt;&gt;"", F642&lt;&gt;"", G642&lt;&gt;"", J642&lt;&gt;"", 'CONTENT PILLAR MAPPING'!C544&lt;&gt;"", 'CONTENT PILLAR MAPPING'!E544&lt;&gt;"", 'CONTENT PILLAR MAPPING'!F544&lt;&gt;"", 'CONTENT PILLAR MAPPING'!C547&lt;&gt;"", 'CONTENT PILLAR MAPPING'!C552&lt;&gt;"", 'CONTENT PILLAR MAPPING'!D552&lt;&gt;"", 'CONTENT PILLAR MAPPING'!E552&lt;&gt;"", 'CONTENT PILLAR MAPPING'!D560&lt;&gt;"", 'CONTENT PILLAR MAPPING'!D561&lt;&gt;""),
CONCATENATE(
"Sebagai seorang top konten kreator dengan niche utama '", 'CONTENT PILLAR MAPPING'!C544, "', spesifik kategori '", 'CONTENT PILLAR MAPPING'!E544, "', dan super spesifik '", 'CONTENT PILLAR MAPPING'!F544, "', yang dikenal sebagai '", 'CONTENT PILLAR MAPPING'!C547, "'.", CHAR(10),
"Saya memiliki Tone of Voice: '", 'CONTENT PILLAR MAPPING'!C552, "', Brand Archetype: '", 'CONTENT PILLAR MAPPING'!D552, "', dan Deskripsi Gaya Komunikasi: '", 'CONTENT PILLAR MAPPING'!E552, "'.", CHAR(10),
"Target audiens saya adalah: '", 'CONTENT PILLAR MAPPING'!D560, "', dengan segmentasi audiens: '", 'CONTENT PILLAR MAPPING'!D561, "'.", CHAR(10), CHAR(10),
"Mohon buatkan script konten yang **sangat powerful, menarik, inovatif, dan siap pakai** dengan judul ide '", B642, "'.", CHAR(10),
"Konten ini memiliki pilar '", C642, "', nilai tambah utama '", F642, "', dan akan menggunakan storytelling framework '", G642, "'.", CHAR(10),
"Gambaran singkat ide kontennya adalah: '", J642, "'.", CHAR(10),
"Konten ini akan diunggah di platform '", E642, "' dengan format '", D642,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MAPPING'!C547, "'.** Sesuaikan dengan gaya komunikasi saya, dengan fokus pada nilai tambah '", F642,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MAPPING'!D560, ", khusus ", 'CONTENT PILLAR MAPPING'!D561, ") dan membantu mereka menyelesaikan masalah atau mencapai tujuan mereka.", CHAR(10),
"✔ Membantuku membangun personal branding yang kuat dan sustainable, sesuai dengan Positioning saya sebagai '", 'CONTENT PILLAR MAPPING'!C547, "' dan Brand Archetype '", 'CONTENT PILLAR MAPPING'!D552, "'.", CHAR(10),
"✔ Kemas dalam bentuk tabel agar rapi, mudah di baca dan dipahami, dengan kolom 'Judul Konten', 'Pilar', 'Format', 'Draft Script', 'CTA', 'Saran Visual', dan 'Full Caption'. (Kosongkan kolom Link Prompt jika ada)."
),
"")</f>
        <v/>
      </c>
      <c r="L642" s="199" t="n"/>
      <c r="M642" s="199" t="n"/>
      <c r="N642" s="102" t="n"/>
      <c r="O642" s="102" t="n"/>
      <c r="P642" s="102" t="n"/>
      <c r="Q642" s="102" t="n"/>
      <c r="R642" s="102" t="n"/>
      <c r="S642" s="102" t="n"/>
      <c r="T642" s="102" t="n"/>
      <c r="U642" s="102" t="n"/>
      <c r="V642" s="102" t="n"/>
      <c r="W642" s="102" t="n"/>
      <c r="X642" s="102" t="n"/>
      <c r="Y642" s="102" t="n"/>
      <c r="Z642" s="102" t="n"/>
      <c r="AA642" s="102" t="n"/>
      <c r="AB642" s="102" t="n"/>
      <c r="AC642" s="102" t="n"/>
      <c r="AD642" s="102" t="n"/>
    </row>
    <row r="643" ht="15.75" customHeight="1" s="205">
      <c r="A643" s="102" t="n"/>
      <c r="B643" s="142" t="n"/>
      <c r="C643" s="143" t="n"/>
      <c r="D643" s="143" t="n"/>
      <c r="E643" s="143" t="n"/>
      <c r="F643" s="143" t="n"/>
      <c r="G643" s="144" t="n"/>
      <c r="H643" s="145">
        <f>IF(K643&lt;&gt;"", HYPERLINK("https://chatgpt.com/?prompt=" &amp; SUBSTITUTE(SUBSTITUTE(K643, " ", "+"), "&amp;", "dan") &amp; "&amp;force-refresh=true&amp;timestamp=" &amp; TEXT(NOW(), "yyyymmddhhmmss"), "👉 Klik untuk Generate Script! 🔥"), "")</f>
        <v/>
      </c>
      <c r="I643" s="143" t="n"/>
      <c r="J643" s="146" t="n"/>
      <c r="K643" s="130">
        <f>IF(AND(B643&lt;&gt;"", C643&lt;&gt;"", D643&lt;&gt;"", E643&lt;&gt;"", F643&lt;&gt;"", G643&lt;&gt;"", J643&lt;&gt;"", 'CONTENT PILLAR MAPPING'!C546&lt;&gt;"", 'CONTENT PILLAR MAPPING'!E546&lt;&gt;"", 'CONTENT PILLAR MAPPING'!F546&lt;&gt;"", 'CONTENT PILLAR MAPPING'!C549&lt;&gt;"", 'CONTENT PILLAR MAPPING'!C554&lt;&gt;"", 'CONTENT PILLAR MAPPING'!D554&lt;&gt;"", 'CONTENT PILLAR MAPPING'!E554&lt;&gt;"", 'CONTENT PILLAR MAPPING'!D562&lt;&gt;"", 'CONTENT PILLAR MAPPING'!D563&lt;&gt;""),
CONCATENATE(
"Sebagai seorang top konten kreator dengan niche utama '", 'CONTENT PILLAR MAPPING'!C546, "', spesifik kategori '", 'CONTENT PILLAR MAPPING'!E546, "', dan super spesifik '", 'CONTENT PILLAR MAPPING'!F546, "', yang dikenal sebagai '", 'CONTENT PILLAR MAPPING'!C549, "'.", CHAR(10),
"Saya memiliki Tone of Voice: '", 'CONTENT PILLAR MAPPING'!C554, "', Brand Archetype: '", 'CONTENT PILLAR MAPPING'!D554, "', dan Deskripsi Gaya Komunikasi: '", 'CONTENT PILLAR MAPPING'!E554, "'.", CHAR(10),
"Target audiens saya adalah: '", 'CONTENT PILLAR MAPPING'!D562, "', dengan segmentasi audiens: '", 'CONTENT PILLAR MAPPING'!D563, "'.", CHAR(10), CHAR(10),
"Mohon buatkan script konten yang **sangat powerful, menarik, inovatif, dan siap pakai** dengan judul ide '", B643, "'.", CHAR(10),
"Konten ini memiliki pilar '", C643, "', nilai tambah utama '", F643, "', dan akan menggunakan storytelling framework '", G643, "'.", CHAR(10),
"Gambaran singkat ide kontennya adalah: '", J643, "'.", CHAR(10),
"Konten ini akan diunggah di platform '", E643, "' dengan format '", D643,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MAPPING'!C549, "'.** Sesuaikan dengan gaya komunikasi saya, dengan fokus pada nilai tambah '", F643,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MAPPING'!D562, ", khusus ", 'CONTENT PILLAR MAPPING'!D563, ") dan membantu mereka menyelesaikan masalah atau mencapai tujuan mereka.", CHAR(10),
"✔ Membantuku membangun personal branding yang kuat dan sustainable, sesuai dengan Positioning saya sebagai '", 'CONTENT PILLAR MAPPING'!C549, "' dan Brand Archetype '", 'CONTENT PILLAR MAPPING'!D554, "'.", CHAR(10),
"✔ Kemas dalam bentuk tabel agar rapi, mudah di baca dan dipahami, dengan kolom 'Judul Konten', 'Pilar', 'Format', 'Draft Script', 'CTA', 'Saran Visual', dan 'Full Caption'. (Kosongkan kolom Link Prompt jika ada)."
),
"")</f>
        <v/>
      </c>
      <c r="L643" s="91" t="n"/>
      <c r="M643" s="91" t="n"/>
      <c r="N643" s="102" t="n"/>
      <c r="O643" s="102" t="n"/>
      <c r="P643" s="102" t="n"/>
      <c r="Q643" s="102" t="n"/>
      <c r="R643" s="102" t="n"/>
      <c r="S643" s="102" t="n"/>
      <c r="T643" s="102" t="n"/>
      <c r="U643" s="102" t="n"/>
      <c r="V643" s="102" t="n"/>
      <c r="W643" s="102" t="n"/>
      <c r="X643" s="102" t="n"/>
      <c r="Y643" s="102" t="n"/>
      <c r="Z643" s="102" t="n"/>
      <c r="AA643" s="102" t="n"/>
      <c r="AB643" s="102" t="n"/>
      <c r="AC643" s="102" t="n"/>
      <c r="AD643" s="102" t="n"/>
    </row>
    <row r="644" ht="15.75" customHeight="1" s="205">
      <c r="A644" s="102" t="n"/>
      <c r="B644" s="147" t="n"/>
      <c r="C644" s="144" t="n"/>
      <c r="D644" s="144" t="n"/>
      <c r="E644" s="144" t="n"/>
      <c r="F644" s="144" t="n"/>
      <c r="G644" s="144" t="n"/>
      <c r="H644" s="141">
        <f>IF(K644&lt;&gt;"", HYPERLINK("https://chatgpt.com/?prompt=" &amp; SUBSTITUTE(SUBSTITUTE(K644, " ", "+"), "&amp;", "dan") &amp; "&amp;force-refresh=true&amp;timestamp=" &amp; TEXT(NOW(), "yyyymmddhhmmss"), "👉 Klik untuk Generate Script! 🔥"), "")</f>
        <v/>
      </c>
      <c r="I644" s="144" t="n"/>
      <c r="J644" s="148" t="n"/>
      <c r="K644" s="140">
        <f>IF(AND(B644&lt;&gt;"", C644&lt;&gt;"", D644&lt;&gt;"", E644&lt;&gt;"", F644&lt;&gt;"", G644&lt;&gt;"", J644&lt;&gt;"", 'CONTENT PILLAR MAPPING'!C546&lt;&gt;"", 'CONTENT PILLAR MAPPING'!E546&lt;&gt;"", 'CONTENT PILLAR MAPPING'!F546&lt;&gt;"", 'CONTENT PILLAR MAPPING'!C549&lt;&gt;"", 'CONTENT PILLAR MAPPING'!C554&lt;&gt;"", 'CONTENT PILLAR MAPPING'!D554&lt;&gt;"", 'CONTENT PILLAR MAPPING'!E554&lt;&gt;"", 'CONTENT PILLAR MAPPING'!D562&lt;&gt;"", 'CONTENT PILLAR MAPPING'!D563&lt;&gt;""),
CONCATENATE(
"Sebagai seorang top konten kreator dengan niche utama '", 'CONTENT PILLAR MAPPING'!C546, "', spesifik kategori '", 'CONTENT PILLAR MAPPING'!E546, "', dan super spesifik '", 'CONTENT PILLAR MAPPING'!F546, "', yang dikenal sebagai '", 'CONTENT PILLAR MAPPING'!C549, "'.", CHAR(10),
"Saya memiliki Tone of Voice: '", 'CONTENT PILLAR MAPPING'!C554, "', Brand Archetype: '", 'CONTENT PILLAR MAPPING'!D554, "', dan Deskripsi Gaya Komunikasi: '", 'CONTENT PILLAR MAPPING'!E554, "'.", CHAR(10),
"Target audiens saya adalah: '", 'CONTENT PILLAR MAPPING'!D562, "', dengan segmentasi audiens: '", 'CONTENT PILLAR MAPPING'!D563, "'.", CHAR(10), CHAR(10),
"Mohon buatkan script konten yang **sangat powerful, menarik, inovatif, dan siap pakai** dengan judul ide '", B644, "'.", CHAR(10),
"Konten ini memiliki pilar '", C644, "', nilai tambah utama '", F644, "', dan akan menggunakan storytelling framework '", G644, "'.", CHAR(10),
"Gambaran singkat ide kontennya adalah: '", J644, "'.", CHAR(10),
"Konten ini akan diunggah di platform '", E644, "' dengan format '", D644,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MAPPING'!C549, "'.** Sesuaikan dengan gaya komunikasi saya, dengan fokus pada nilai tambah '", F644,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MAPPING'!D562, ", khusus ", 'CONTENT PILLAR MAPPING'!D563, ") dan membantu mereka menyelesaikan masalah atau mencapai tujuan mereka.", CHAR(10),
"✔ Membantuku membangun personal branding yang kuat dan sustainable, sesuai dengan Positioning saya sebagai '", 'CONTENT PILLAR MAPPING'!C549, "' dan Brand Archetype '", 'CONTENT PILLAR MAPPING'!D554, "'.", CHAR(10),
"✔ Kemas dalam bentuk tabel agar rapi, mudah di baca dan dipahami, dengan kolom 'Judul Konten', 'Pilar', 'Format', 'Draft Script', 'CTA', 'Saran Visual', dan 'Full Caption'. (Kosongkan kolom Link Prompt jika ada)."
),
"")</f>
        <v/>
      </c>
      <c r="L644" s="199" t="n"/>
      <c r="M644" s="199" t="n"/>
      <c r="N644" s="102" t="n"/>
      <c r="O644" s="102" t="n"/>
      <c r="P644" s="102" t="n"/>
      <c r="Q644" s="102" t="n"/>
      <c r="R644" s="102" t="n"/>
      <c r="S644" s="102" t="n"/>
      <c r="T644" s="102" t="n"/>
      <c r="U644" s="102" t="n"/>
      <c r="V644" s="102" t="n"/>
      <c r="W644" s="102" t="n"/>
      <c r="X644" s="102" t="n"/>
      <c r="Y644" s="102" t="n"/>
      <c r="Z644" s="102" t="n"/>
      <c r="AA644" s="102" t="n"/>
      <c r="AB644" s="102" t="n"/>
      <c r="AC644" s="102" t="n"/>
      <c r="AD644" s="102" t="n"/>
    </row>
    <row r="645" ht="15.75" customHeight="1" s="205">
      <c r="A645" s="102" t="n"/>
      <c r="B645" s="142" t="n"/>
      <c r="C645" s="143" t="n"/>
      <c r="D645" s="143" t="n"/>
      <c r="E645" s="143" t="n"/>
      <c r="F645" s="143" t="n"/>
      <c r="G645" s="144" t="n"/>
      <c r="H645" s="145">
        <f>IF(K645&lt;&gt;"", HYPERLINK("https://chatgpt.com/?prompt=" &amp; SUBSTITUTE(SUBSTITUTE(K645, " ", "+"), "&amp;", "dan") &amp; "&amp;force-refresh=true&amp;timestamp=" &amp; TEXT(NOW(), "yyyymmddhhmmss"), "👉 Klik untuk Generate Script! 🔥"), "")</f>
        <v/>
      </c>
      <c r="I645" s="143" t="n"/>
      <c r="J645" s="146" t="n"/>
      <c r="K645" s="130">
        <f>IF(AND(B645&lt;&gt;"", C645&lt;&gt;"", D645&lt;&gt;"", E645&lt;&gt;"", F645&lt;&gt;"", G645&lt;&gt;"", J645&lt;&gt;"", 'CONTENT PILLAR MAPPING'!C548&lt;&gt;"", 'CONTENT PILLAR MAPPING'!E548&lt;&gt;"", 'CONTENT PILLAR MAPPING'!F548&lt;&gt;"", 'CONTENT PILLAR MAPPING'!C551&lt;&gt;"", 'CONTENT PILLAR MAPPING'!C556&lt;&gt;"", 'CONTENT PILLAR MAPPING'!D556&lt;&gt;"", 'CONTENT PILLAR MAPPING'!E556&lt;&gt;"", 'CONTENT PILLAR MAPPING'!D564&lt;&gt;"", 'CONTENT PILLAR MAPPING'!D565&lt;&gt;""),
CONCATENATE(
"Sebagai seorang top konten kreator dengan niche utama '", 'CONTENT PILLAR MAPPING'!C548, "', spesifik kategori '", 'CONTENT PILLAR MAPPING'!E548, "', dan super spesifik '", 'CONTENT PILLAR MAPPING'!F548, "', yang dikenal sebagai '", 'CONTENT PILLAR MAPPING'!C551, "'.", CHAR(10),
"Saya memiliki Tone of Voice: '", 'CONTENT PILLAR MAPPING'!C556, "', Brand Archetype: '", 'CONTENT PILLAR MAPPING'!D556, "', dan Deskripsi Gaya Komunikasi: '", 'CONTENT PILLAR MAPPING'!E556, "'.", CHAR(10),
"Target audiens saya adalah: '", 'CONTENT PILLAR MAPPING'!D564, "', dengan segmentasi audiens: '", 'CONTENT PILLAR MAPPING'!D565, "'.", CHAR(10), CHAR(10),
"Mohon buatkan script konten yang **sangat powerful, menarik, inovatif, dan siap pakai** dengan judul ide '", B645, "'.", CHAR(10),
"Konten ini memiliki pilar '", C645, "', nilai tambah utama '", F645, "', dan akan menggunakan storytelling framework '", G645, "'.", CHAR(10),
"Gambaran singkat ide kontennya adalah: '", J645, "'.", CHAR(10),
"Konten ini akan diunggah di platform '", E645, "' dengan format '", D645,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MAPPING'!C551, "'.** Sesuaikan dengan gaya komunikasi saya, dengan fokus pada nilai tambah '", F645,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MAPPING'!D564, ", khusus ", 'CONTENT PILLAR MAPPING'!D565, ") dan membantu mereka menyelesaikan masalah atau mencapai tujuan mereka.", CHAR(10),
"✔ Membantuku membangun personal branding yang kuat dan sustainable, sesuai dengan Positioning saya sebagai '", 'CONTENT PILLAR MAPPING'!C551, "' dan Brand Archetype '", 'CONTENT PILLAR MAPPING'!D556, "'.", CHAR(10),
"✔ Kemas dalam bentuk tabel agar rapi, mudah di baca dan dipahami, dengan kolom 'Judul Konten', 'Pilar', 'Format', 'Draft Script', 'CTA', 'Saran Visual', dan 'Full Caption'. (Kosongkan kolom Link Prompt jika ada)."
),
"")</f>
        <v/>
      </c>
      <c r="L645" s="91" t="n"/>
      <c r="M645" s="91" t="n"/>
      <c r="N645" s="102" t="n"/>
      <c r="O645" s="102" t="n"/>
      <c r="P645" s="102" t="n"/>
      <c r="Q645" s="102" t="n"/>
      <c r="R645" s="102" t="n"/>
      <c r="S645" s="102" t="n"/>
      <c r="T645" s="102" t="n"/>
      <c r="U645" s="102" t="n"/>
      <c r="V645" s="102" t="n"/>
      <c r="W645" s="102" t="n"/>
      <c r="X645" s="102" t="n"/>
      <c r="Y645" s="102" t="n"/>
      <c r="Z645" s="102" t="n"/>
      <c r="AA645" s="102" t="n"/>
      <c r="AB645" s="102" t="n"/>
      <c r="AC645" s="102" t="n"/>
      <c r="AD645" s="102" t="n"/>
    </row>
    <row r="646" ht="15.75" customHeight="1" s="205">
      <c r="A646" s="102" t="n"/>
      <c r="B646" s="147" t="n"/>
      <c r="C646" s="144" t="n"/>
      <c r="D646" s="144" t="n"/>
      <c r="E646" s="144" t="n"/>
      <c r="F646" s="144" t="n"/>
      <c r="G646" s="144" t="n"/>
      <c r="H646" s="141">
        <f>IF(K646&lt;&gt;"", HYPERLINK("https://chatgpt.com/?prompt=" &amp; SUBSTITUTE(SUBSTITUTE(K646, " ", "+"), "&amp;", "dan") &amp; "&amp;force-refresh=true&amp;timestamp=" &amp; TEXT(NOW(), "yyyymmddhhmmss"), "👉 Klik untuk Generate Script! 🔥"), "")</f>
        <v/>
      </c>
      <c r="I646" s="144" t="n"/>
      <c r="J646" s="148" t="n"/>
      <c r="K646" s="140">
        <f>IF(AND(B646&lt;&gt;"", C646&lt;&gt;"", D646&lt;&gt;"", E646&lt;&gt;"", F646&lt;&gt;"", G646&lt;&gt;"", J646&lt;&gt;"", 'CONTENT PILLAR MAPPING'!C548&lt;&gt;"", 'CONTENT PILLAR MAPPING'!E548&lt;&gt;"", 'CONTENT PILLAR MAPPING'!F548&lt;&gt;"", 'CONTENT PILLAR MAPPING'!C551&lt;&gt;"", 'CONTENT PILLAR MAPPING'!C556&lt;&gt;"", 'CONTENT PILLAR MAPPING'!D556&lt;&gt;"", 'CONTENT PILLAR MAPPING'!E556&lt;&gt;"", 'CONTENT PILLAR MAPPING'!D564&lt;&gt;"", 'CONTENT PILLAR MAPPING'!D565&lt;&gt;""),
CONCATENATE(
"Sebagai seorang top konten kreator dengan niche utama '", 'CONTENT PILLAR MAPPING'!C548, "', spesifik kategori '", 'CONTENT PILLAR MAPPING'!E548, "', dan super spesifik '", 'CONTENT PILLAR MAPPING'!F548, "', yang dikenal sebagai '", 'CONTENT PILLAR MAPPING'!C551, "'.", CHAR(10),
"Saya memiliki Tone of Voice: '", 'CONTENT PILLAR MAPPING'!C556, "', Brand Archetype: '", 'CONTENT PILLAR MAPPING'!D556, "', dan Deskripsi Gaya Komunikasi: '", 'CONTENT PILLAR MAPPING'!E556, "'.", CHAR(10),
"Target audiens saya adalah: '", 'CONTENT PILLAR MAPPING'!D564, "', dengan segmentasi audiens: '", 'CONTENT PILLAR MAPPING'!D565, "'.", CHAR(10), CHAR(10),
"Mohon buatkan script konten yang **sangat powerful, menarik, inovatif, dan siap pakai** dengan judul ide '", B646, "'.", CHAR(10),
"Konten ini memiliki pilar '", C646, "', nilai tambah utama '", F646, "', dan akan menggunakan storytelling framework '", G646, "'.", CHAR(10),
"Gambaran singkat ide kontennya adalah: '", J646, "'.", CHAR(10),
"Konten ini akan diunggah di platform '", E646, "' dengan format '", D646,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MAPPING'!C551, "'.** Sesuaikan dengan gaya komunikasi saya, dengan fokus pada nilai tambah '", F646,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MAPPING'!D564, ", khusus ", 'CONTENT PILLAR MAPPING'!D565, ") dan membantu mereka menyelesaikan masalah atau mencapai tujuan mereka.", CHAR(10),
"✔ Membantuku membangun personal branding yang kuat dan sustainable, sesuai dengan Positioning saya sebagai '", 'CONTENT PILLAR MAPPING'!C551, "' dan Brand Archetype '", 'CONTENT PILLAR MAPPING'!D556, "'.", CHAR(10),
"✔ Kemas dalam bentuk tabel agar rapi, mudah di baca dan dipahami, dengan kolom 'Judul Konten', 'Pilar', 'Format', 'Draft Script', 'CTA', 'Saran Visual', dan 'Full Caption'. (Kosongkan kolom Link Prompt jika ada)."
),
"")</f>
        <v/>
      </c>
      <c r="L646" s="199" t="n"/>
      <c r="M646" s="199" t="n"/>
      <c r="N646" s="102" t="n"/>
      <c r="O646" s="102" t="n"/>
      <c r="P646" s="102" t="n"/>
      <c r="Q646" s="102" t="n"/>
      <c r="R646" s="102" t="n"/>
      <c r="S646" s="102" t="n"/>
      <c r="T646" s="102" t="n"/>
      <c r="U646" s="102" t="n"/>
      <c r="V646" s="102" t="n"/>
      <c r="W646" s="102" t="n"/>
      <c r="X646" s="102" t="n"/>
      <c r="Y646" s="102" t="n"/>
      <c r="Z646" s="102" t="n"/>
      <c r="AA646" s="102" t="n"/>
      <c r="AB646" s="102" t="n"/>
      <c r="AC646" s="102" t="n"/>
      <c r="AD646" s="102" t="n"/>
    </row>
    <row r="647" ht="15.75" customHeight="1" s="205">
      <c r="A647" s="102" t="n"/>
      <c r="B647" s="142" t="n"/>
      <c r="C647" s="143" t="n"/>
      <c r="D647" s="143" t="n"/>
      <c r="E647" s="143" t="n"/>
      <c r="F647" s="143" t="n"/>
      <c r="G647" s="144" t="n"/>
      <c r="H647" s="145">
        <f>IF(K647&lt;&gt;"", HYPERLINK("https://chatgpt.com/?prompt=" &amp; SUBSTITUTE(SUBSTITUTE(K647, " ", "+"), "&amp;", "dan") &amp; "&amp;force-refresh=true&amp;timestamp=" &amp; TEXT(NOW(), "yyyymmddhhmmss"), "👉 Klik untuk Generate Script! 🔥"), "")</f>
        <v/>
      </c>
      <c r="I647" s="143" t="n"/>
      <c r="J647" s="146" t="n"/>
      <c r="K647" s="130">
        <f>IF(AND(B647&lt;&gt;"", C647&lt;&gt;"", D647&lt;&gt;"", E647&lt;&gt;"", F647&lt;&gt;"", G647&lt;&gt;"", J647&lt;&gt;"", 'CONTENT PILLAR MAPPING'!C550&lt;&gt;"", 'CONTENT PILLAR MAPPING'!E550&lt;&gt;"", 'CONTENT PILLAR MAPPING'!F550&lt;&gt;"", 'CONTENT PILLAR MAPPING'!C553&lt;&gt;"", 'CONTENT PILLAR MAPPING'!C558&lt;&gt;"", 'CONTENT PILLAR MAPPING'!D558&lt;&gt;"", 'CONTENT PILLAR MAPPING'!E558&lt;&gt;"", 'CONTENT PILLAR MAPPING'!D566&lt;&gt;"", 'CONTENT PILLAR MAPPING'!D567&lt;&gt;""),
CONCATENATE(
"Sebagai seorang top konten kreator dengan niche utama '", 'CONTENT PILLAR MAPPING'!C550, "', spesifik kategori '", 'CONTENT PILLAR MAPPING'!E550, "', dan super spesifik '", 'CONTENT PILLAR MAPPING'!F550, "', yang dikenal sebagai '", 'CONTENT PILLAR MAPPING'!C553, "'.", CHAR(10),
"Saya memiliki Tone of Voice: '", 'CONTENT PILLAR MAPPING'!C558, "', Brand Archetype: '", 'CONTENT PILLAR MAPPING'!D558, "', dan Deskripsi Gaya Komunikasi: '", 'CONTENT PILLAR MAPPING'!E558, "'.", CHAR(10),
"Target audiens saya adalah: '", 'CONTENT PILLAR MAPPING'!D566, "', dengan segmentasi audiens: '", 'CONTENT PILLAR MAPPING'!D567, "'.", CHAR(10), CHAR(10),
"Mohon buatkan script konten yang **sangat powerful, menarik, inovatif, dan siap pakai** dengan judul ide '", B647, "'.", CHAR(10),
"Konten ini memiliki pilar '", C647, "', nilai tambah utama '", F647, "', dan akan menggunakan storytelling framework '", G647, "'.", CHAR(10),
"Gambaran singkat ide kontennya adalah: '", J647, "'.", CHAR(10),
"Konten ini akan diunggah di platform '", E647, "' dengan format '", D647,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MAPPING'!C553, "'.** Sesuaikan dengan gaya komunikasi saya, dengan fokus pada nilai tambah '", F647,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MAPPING'!D566, ", khusus ", 'CONTENT PILLAR MAPPING'!D567, ") dan membantu mereka menyelesaikan masalah atau mencapai tujuan mereka.", CHAR(10),
"✔ Membantuku membangun personal branding yang kuat dan sustainable, sesuai dengan Positioning saya sebagai '", 'CONTENT PILLAR MAPPING'!C553, "' dan Brand Archetype '", 'CONTENT PILLAR MAPPING'!D558, "'.", CHAR(10),
"✔ Kemas dalam bentuk tabel agar rapi, mudah di baca dan dipahami, dengan kolom 'Judul Konten', 'Pilar', 'Format', 'Draft Script', 'CTA', 'Saran Visual', dan 'Full Caption'. (Kosongkan kolom Link Prompt jika ada)."
),
"")</f>
        <v/>
      </c>
      <c r="L647" s="91" t="n"/>
      <c r="M647" s="91" t="n"/>
      <c r="N647" s="102" t="n"/>
      <c r="O647" s="102" t="n"/>
      <c r="P647" s="102" t="n"/>
      <c r="Q647" s="102" t="n"/>
      <c r="R647" s="102" t="n"/>
      <c r="S647" s="102" t="n"/>
      <c r="T647" s="102" t="n"/>
      <c r="U647" s="102" t="n"/>
      <c r="V647" s="102" t="n"/>
      <c r="W647" s="102" t="n"/>
      <c r="X647" s="102" t="n"/>
      <c r="Y647" s="102" t="n"/>
      <c r="Z647" s="102" t="n"/>
      <c r="AA647" s="102" t="n"/>
      <c r="AB647" s="102" t="n"/>
      <c r="AC647" s="102" t="n"/>
      <c r="AD647" s="102" t="n"/>
    </row>
    <row r="648" ht="15.75" customHeight="1" s="205">
      <c r="A648" s="102" t="n"/>
      <c r="B648" s="147" t="n"/>
      <c r="C648" s="144" t="n"/>
      <c r="D648" s="144" t="n"/>
      <c r="E648" s="144" t="n"/>
      <c r="F648" s="144" t="n"/>
      <c r="G648" s="144" t="n"/>
      <c r="H648" s="141">
        <f>IF(K648&lt;&gt;"", HYPERLINK("https://chatgpt.com/?prompt=" &amp; SUBSTITUTE(SUBSTITUTE(K648, " ", "+"), "&amp;", "dan") &amp; "&amp;force-refresh=true&amp;timestamp=" &amp; TEXT(NOW(), "yyyymmddhhmmss"), "👉 Klik untuk Generate Script! 🔥"), "")</f>
        <v/>
      </c>
      <c r="I648" s="144" t="n"/>
      <c r="J648" s="148" t="n"/>
      <c r="K648" s="140">
        <f>IF(AND(B648&lt;&gt;"", C648&lt;&gt;"", D648&lt;&gt;"", E648&lt;&gt;"", F648&lt;&gt;"", G648&lt;&gt;"", J648&lt;&gt;"", 'CONTENT PILLAR MAPPING'!C550&lt;&gt;"", 'CONTENT PILLAR MAPPING'!E550&lt;&gt;"", 'CONTENT PILLAR MAPPING'!F550&lt;&gt;"", 'CONTENT PILLAR MAPPING'!C553&lt;&gt;"", 'CONTENT PILLAR MAPPING'!C558&lt;&gt;"", 'CONTENT PILLAR MAPPING'!D558&lt;&gt;"", 'CONTENT PILLAR MAPPING'!E558&lt;&gt;"", 'CONTENT PILLAR MAPPING'!D566&lt;&gt;"", 'CONTENT PILLAR MAPPING'!D567&lt;&gt;""),
CONCATENATE(
"Sebagai seorang top konten kreator dengan niche utama '", 'CONTENT PILLAR MAPPING'!C550, "', spesifik kategori '", 'CONTENT PILLAR MAPPING'!E550, "', dan super spesifik '", 'CONTENT PILLAR MAPPING'!F550, "', yang dikenal sebagai '", 'CONTENT PILLAR MAPPING'!C553, "'.", CHAR(10),
"Saya memiliki Tone of Voice: '", 'CONTENT PILLAR MAPPING'!C558, "', Brand Archetype: '", 'CONTENT PILLAR MAPPING'!D558, "', dan Deskripsi Gaya Komunikasi: '", 'CONTENT PILLAR MAPPING'!E558, "'.", CHAR(10),
"Target audiens saya adalah: '", 'CONTENT PILLAR MAPPING'!D566, "', dengan segmentasi audiens: '", 'CONTENT PILLAR MAPPING'!D567, "'.", CHAR(10), CHAR(10),
"Mohon buatkan script konten yang **sangat powerful, menarik, inovatif, dan siap pakai** dengan judul ide '", B648, "'.", CHAR(10),
"Konten ini memiliki pilar '", C648, "', nilai tambah utama '", F648, "', dan akan menggunakan storytelling framework '", G648, "'.", CHAR(10),
"Gambaran singkat ide kontennya adalah: '", J648, "'.", CHAR(10),
"Konten ini akan diunggah di platform '", E648, "' dengan format '", D648,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MAPPING'!C553, "'.** Sesuaikan dengan gaya komunikasi saya, dengan fokus pada nilai tambah '", F648,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MAPPING'!D566, ", khusus ", 'CONTENT PILLAR MAPPING'!D567, ") dan membantu mereka menyelesaikan masalah atau mencapai tujuan mereka.", CHAR(10),
"✔ Membantuku membangun personal branding yang kuat dan sustainable, sesuai dengan Positioning saya sebagai '", 'CONTENT PILLAR MAPPING'!C553, "' dan Brand Archetype '", 'CONTENT PILLAR MAPPING'!D558, "'.", CHAR(10),
"✔ Kemas dalam bentuk tabel agar rapi, mudah di baca dan dipahami, dengan kolom 'Judul Konten', 'Pilar', 'Format', 'Draft Script', 'CTA', 'Saran Visual', dan 'Full Caption'. (Kosongkan kolom Link Prompt jika ada)."
),
"")</f>
        <v/>
      </c>
      <c r="L648" s="199" t="n"/>
      <c r="M648" s="199" t="n"/>
      <c r="N648" s="102" t="n"/>
      <c r="O648" s="102" t="n"/>
      <c r="P648" s="102" t="n"/>
      <c r="Q648" s="102" t="n"/>
      <c r="R648" s="102" t="n"/>
      <c r="S648" s="102" t="n"/>
      <c r="T648" s="102" t="n"/>
      <c r="U648" s="102" t="n"/>
      <c r="V648" s="102" t="n"/>
      <c r="W648" s="102" t="n"/>
      <c r="X648" s="102" t="n"/>
      <c r="Y648" s="102" t="n"/>
      <c r="Z648" s="102" t="n"/>
      <c r="AA648" s="102" t="n"/>
      <c r="AB648" s="102" t="n"/>
      <c r="AC648" s="102" t="n"/>
      <c r="AD648" s="102" t="n"/>
    </row>
    <row r="649" ht="15.75" customHeight="1" s="205">
      <c r="A649" s="102" t="n"/>
      <c r="B649" s="142" t="n"/>
      <c r="C649" s="143" t="n"/>
      <c r="D649" s="143" t="n"/>
      <c r="E649" s="143" t="n"/>
      <c r="F649" s="143" t="n"/>
      <c r="G649" s="144" t="n"/>
      <c r="H649" s="145">
        <f>IF(K649&lt;&gt;"", HYPERLINK("https://chatgpt.com/?prompt=" &amp; SUBSTITUTE(SUBSTITUTE(K649, " ", "+"), "&amp;", "dan") &amp; "&amp;force-refresh=true&amp;timestamp=" &amp; TEXT(NOW(), "yyyymmddhhmmss"), "👉 Klik untuk Generate Script! 🔥"), "")</f>
        <v/>
      </c>
      <c r="I649" s="143" t="n"/>
      <c r="J649" s="146" t="n"/>
      <c r="K649" s="130">
        <f>IF(AND(B649&lt;&gt;"", C649&lt;&gt;"", D649&lt;&gt;"", E649&lt;&gt;"", F649&lt;&gt;"", G649&lt;&gt;"", J649&lt;&gt;"", 'CONTENT PILLAR MAPPING'!C552&lt;&gt;"", 'CONTENT PILLAR MAPPING'!E552&lt;&gt;"", 'CONTENT PILLAR MAPPING'!F552&lt;&gt;"", 'CONTENT PILLAR MAPPING'!C555&lt;&gt;"", 'CONTENT PILLAR MAPPING'!C560&lt;&gt;"", 'CONTENT PILLAR MAPPING'!D560&lt;&gt;"", 'CONTENT PILLAR MAPPING'!E560&lt;&gt;"", 'CONTENT PILLAR MAPPING'!D568&lt;&gt;"", 'CONTENT PILLAR MAPPING'!D569&lt;&gt;""),
CONCATENATE(
"Sebagai seorang top konten kreator dengan niche utama '", 'CONTENT PILLAR MAPPING'!C552, "', spesifik kategori '", 'CONTENT PILLAR MAPPING'!E552, "', dan super spesifik '", 'CONTENT PILLAR MAPPING'!F552, "', yang dikenal sebagai '", 'CONTENT PILLAR MAPPING'!C555, "'.", CHAR(10),
"Saya memiliki Tone of Voice: '", 'CONTENT PILLAR MAPPING'!C560, "', Brand Archetype: '", 'CONTENT PILLAR MAPPING'!D560, "', dan Deskripsi Gaya Komunikasi: '", 'CONTENT PILLAR MAPPING'!E560, "'.", CHAR(10),
"Target audiens saya adalah: '", 'CONTENT PILLAR MAPPING'!D568, "', dengan segmentasi audiens: '", 'CONTENT PILLAR MAPPING'!D569, "'.", CHAR(10), CHAR(10),
"Mohon buatkan script konten yang **sangat powerful, menarik, inovatif, dan siap pakai** dengan judul ide '", B649, "'.", CHAR(10),
"Konten ini memiliki pilar '", C649, "', nilai tambah utama '", F649, "', dan akan menggunakan storytelling framework '", G649, "'.", CHAR(10),
"Gambaran singkat ide kontennya adalah: '", J649, "'.", CHAR(10),
"Konten ini akan diunggah di platform '", E649, "' dengan format '", D649,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MAPPING'!C555, "'.** Sesuaikan dengan gaya komunikasi saya, dengan fokus pada nilai tambah '", F649,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MAPPING'!D568, ", khusus ", 'CONTENT PILLAR MAPPING'!D569, ") dan membantu mereka menyelesaikan masalah atau mencapai tujuan mereka.", CHAR(10),
"✔ Membantuku membangun personal branding yang kuat dan sustainable, sesuai dengan Positioning saya sebagai '", 'CONTENT PILLAR MAPPING'!C555, "' dan Brand Archetype '", 'CONTENT PILLAR MAPPING'!D560, "'.", CHAR(10),
"✔ Kemas dalam bentuk tabel agar rapi, mudah di baca dan dipahami, dengan kolom 'Judul Konten', 'Pilar', 'Format', 'Draft Script', 'CTA', 'Saran Visual', dan 'Full Caption'. (Kosongkan kolom Link Prompt jika ada)."
),
"")</f>
        <v/>
      </c>
      <c r="L649" s="91" t="n"/>
      <c r="M649" s="91" t="n"/>
      <c r="N649" s="102" t="n"/>
      <c r="O649" s="102" t="n"/>
      <c r="P649" s="102" t="n"/>
      <c r="Q649" s="102" t="n"/>
      <c r="R649" s="102" t="n"/>
      <c r="S649" s="102" t="n"/>
      <c r="T649" s="102" t="n"/>
      <c r="U649" s="102" t="n"/>
      <c r="V649" s="102" t="n"/>
      <c r="W649" s="102" t="n"/>
      <c r="X649" s="102" t="n"/>
      <c r="Y649" s="102" t="n"/>
      <c r="Z649" s="102" t="n"/>
      <c r="AA649" s="102" t="n"/>
      <c r="AB649" s="102" t="n"/>
      <c r="AC649" s="102" t="n"/>
      <c r="AD649" s="102" t="n"/>
    </row>
    <row r="650" ht="15.75" customHeight="1" s="205">
      <c r="A650" s="102" t="n"/>
      <c r="B650" s="147" t="n"/>
      <c r="C650" s="144" t="n"/>
      <c r="D650" s="144" t="n"/>
      <c r="E650" s="144" t="n"/>
      <c r="F650" s="144" t="n"/>
      <c r="G650" s="144" t="n"/>
      <c r="H650" s="141">
        <f>IF(K650&lt;&gt;"", HYPERLINK("https://chatgpt.com/?prompt=" &amp; SUBSTITUTE(SUBSTITUTE(K650, " ", "+"), "&amp;", "dan") &amp; "&amp;force-refresh=true&amp;timestamp=" &amp; TEXT(NOW(), "yyyymmddhhmmss"), "👉 Klik untuk Generate Script! 🔥"), "")</f>
        <v/>
      </c>
      <c r="I650" s="144" t="n"/>
      <c r="J650" s="148" t="n"/>
      <c r="K650" s="140">
        <f>IF(AND(B650&lt;&gt;"", C650&lt;&gt;"", D650&lt;&gt;"", E650&lt;&gt;"", F650&lt;&gt;"", G650&lt;&gt;"", J650&lt;&gt;"", 'CONTENT PILLAR MAPPING'!C552&lt;&gt;"", 'CONTENT PILLAR MAPPING'!E552&lt;&gt;"", 'CONTENT PILLAR MAPPING'!F552&lt;&gt;"", 'CONTENT PILLAR MAPPING'!C555&lt;&gt;"", 'CONTENT PILLAR MAPPING'!C560&lt;&gt;"", 'CONTENT PILLAR MAPPING'!D560&lt;&gt;"", 'CONTENT PILLAR MAPPING'!E560&lt;&gt;"", 'CONTENT PILLAR MAPPING'!D568&lt;&gt;"", 'CONTENT PILLAR MAPPING'!D569&lt;&gt;""),
CONCATENATE(
"Sebagai seorang top konten kreator dengan niche utama '", 'CONTENT PILLAR MAPPING'!C552, "', spesifik kategori '", 'CONTENT PILLAR MAPPING'!E552, "', dan super spesifik '", 'CONTENT PILLAR MAPPING'!F552, "', yang dikenal sebagai '", 'CONTENT PILLAR MAPPING'!C555, "'.", CHAR(10),
"Saya memiliki Tone of Voice: '", 'CONTENT PILLAR MAPPING'!C560, "', Brand Archetype: '", 'CONTENT PILLAR MAPPING'!D560, "', dan Deskripsi Gaya Komunikasi: '", 'CONTENT PILLAR MAPPING'!E560, "'.", CHAR(10),
"Target audiens saya adalah: '", 'CONTENT PILLAR MAPPING'!D568, "', dengan segmentasi audiens: '", 'CONTENT PILLAR MAPPING'!D569, "'.", CHAR(10), CHAR(10),
"Mohon buatkan script konten yang **sangat powerful, menarik, inovatif, dan siap pakai** dengan judul ide '", B650, "'.", CHAR(10),
"Konten ini memiliki pilar '", C650, "', nilai tambah utama '", F650, "', dan akan menggunakan storytelling framework '", G650, "'.", CHAR(10),
"Gambaran singkat ide kontennya adalah: '", J650, "'.", CHAR(10),
"Konten ini akan diunggah di platform '", E650, "' dengan format '", D650,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MAPPING'!C555, "'.** Sesuaikan dengan gaya komunikasi saya, dengan fokus pada nilai tambah '", F650,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MAPPING'!D568, ", khusus ", 'CONTENT PILLAR MAPPING'!D569, ") dan membantu mereka menyelesaikan masalah atau mencapai tujuan mereka.", CHAR(10),
"✔ Membantuku membangun personal branding yang kuat dan sustainable, sesuai dengan Positioning saya sebagai '", 'CONTENT PILLAR MAPPING'!C555, "' dan Brand Archetype '", 'CONTENT PILLAR MAPPING'!D560, "'.", CHAR(10),
"✔ Kemas dalam bentuk tabel agar rapi, mudah di baca dan dipahami, dengan kolom 'Judul Konten', 'Pilar', 'Format', 'Draft Script', 'CTA', 'Saran Visual', dan 'Full Caption'. (Kosongkan kolom Link Prompt jika ada)."
),
"")</f>
        <v/>
      </c>
      <c r="L650" s="199" t="n"/>
      <c r="M650" s="199" t="n"/>
      <c r="N650" s="102" t="n"/>
      <c r="O650" s="102" t="n"/>
      <c r="P650" s="102" t="n"/>
      <c r="Q650" s="102" t="n"/>
      <c r="R650" s="102" t="n"/>
      <c r="S650" s="102" t="n"/>
      <c r="T650" s="102" t="n"/>
      <c r="U650" s="102" t="n"/>
      <c r="V650" s="102" t="n"/>
      <c r="W650" s="102" t="n"/>
      <c r="X650" s="102" t="n"/>
      <c r="Y650" s="102" t="n"/>
      <c r="Z650" s="102" t="n"/>
      <c r="AA650" s="102" t="n"/>
      <c r="AB650" s="102" t="n"/>
      <c r="AC650" s="102" t="n"/>
      <c r="AD650" s="102" t="n"/>
    </row>
    <row r="651" ht="15.75" customHeight="1" s="205">
      <c r="A651" s="102" t="n"/>
      <c r="B651" s="142" t="n"/>
      <c r="C651" s="143" t="n"/>
      <c r="D651" s="143" t="n"/>
      <c r="E651" s="143" t="n"/>
      <c r="F651" s="143" t="n"/>
      <c r="G651" s="144" t="n"/>
      <c r="H651" s="145">
        <f>IF(K651&lt;&gt;"", HYPERLINK("https://chatgpt.com/?prompt=" &amp; SUBSTITUTE(SUBSTITUTE(K651, " ", "+"), "&amp;", "dan") &amp; "&amp;force-refresh=true&amp;timestamp=" &amp; TEXT(NOW(), "yyyymmddhhmmss"), "👉 Klik untuk Generate Script! 🔥"), "")</f>
        <v/>
      </c>
      <c r="I651" s="143" t="n"/>
      <c r="J651" s="146" t="n"/>
      <c r="K651" s="130">
        <f>IF(AND(B651&lt;&gt;"", C651&lt;&gt;"", D651&lt;&gt;"", E651&lt;&gt;"", F651&lt;&gt;"", G651&lt;&gt;"", J651&lt;&gt;"", 'CONTENT PILLAR MAPPING'!C554&lt;&gt;"", 'CONTENT PILLAR MAPPING'!E554&lt;&gt;"", 'CONTENT PILLAR MAPPING'!F554&lt;&gt;"", 'CONTENT PILLAR MAPPING'!C557&lt;&gt;"", 'CONTENT PILLAR MAPPING'!C562&lt;&gt;"", 'CONTENT PILLAR MAPPING'!D562&lt;&gt;"", 'CONTENT PILLAR MAPPING'!E562&lt;&gt;"", 'CONTENT PILLAR MAPPING'!D570&lt;&gt;"", 'CONTENT PILLAR MAPPING'!D571&lt;&gt;""),
CONCATENATE(
"Sebagai seorang top konten kreator dengan niche utama '", 'CONTENT PILLAR MAPPING'!C554, "', spesifik kategori '", 'CONTENT PILLAR MAPPING'!E554, "', dan super spesifik '", 'CONTENT PILLAR MAPPING'!F554, "', yang dikenal sebagai '", 'CONTENT PILLAR MAPPING'!C557, "'.", CHAR(10),
"Saya memiliki Tone of Voice: '", 'CONTENT PILLAR MAPPING'!C562, "', Brand Archetype: '", 'CONTENT PILLAR MAPPING'!D562, "', dan Deskripsi Gaya Komunikasi: '", 'CONTENT PILLAR MAPPING'!E562, "'.", CHAR(10),
"Target audiens saya adalah: '", 'CONTENT PILLAR MAPPING'!D570, "', dengan segmentasi audiens: '", 'CONTENT PILLAR MAPPING'!D571, "'.", CHAR(10), CHAR(10),
"Mohon buatkan script konten yang **sangat powerful, menarik, inovatif, dan siap pakai** dengan judul ide '", B651, "'.", CHAR(10),
"Konten ini memiliki pilar '", C651, "', nilai tambah utama '", F651, "', dan akan menggunakan storytelling framework '", G651, "'.", CHAR(10),
"Gambaran singkat ide kontennya adalah: '", J651, "'.", CHAR(10),
"Konten ini akan diunggah di platform '", E651, "' dengan format '", D651,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MAPPING'!C557, "'.** Sesuaikan dengan gaya komunikasi saya, dengan fokus pada nilai tambah '", F651,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MAPPING'!D570, ", khusus ", 'CONTENT PILLAR MAPPING'!D571, ") dan membantu mereka menyelesaikan masalah atau mencapai tujuan mereka.", CHAR(10),
"✔ Membantuku membangun personal branding yang kuat dan sustainable, sesuai dengan Positioning saya sebagai '", 'CONTENT PILLAR MAPPING'!C557, "' dan Brand Archetype '", 'CONTENT PILLAR MAPPING'!D562, "'.", CHAR(10),
"✔ Kemas dalam bentuk tabel agar rapi, mudah di baca dan dipahami, dengan kolom 'Judul Konten', 'Pilar', 'Format', 'Draft Script', 'CTA', 'Saran Visual', dan 'Full Caption'. (Kosongkan kolom Link Prompt jika ada)."
),
"")</f>
        <v/>
      </c>
      <c r="L651" s="91" t="n"/>
      <c r="M651" s="91" t="n"/>
      <c r="N651" s="102" t="n"/>
      <c r="O651" s="102" t="n"/>
      <c r="P651" s="102" t="n"/>
      <c r="Q651" s="102" t="n"/>
      <c r="R651" s="102" t="n"/>
      <c r="S651" s="102" t="n"/>
      <c r="T651" s="102" t="n"/>
      <c r="U651" s="102" t="n"/>
      <c r="V651" s="102" t="n"/>
      <c r="W651" s="102" t="n"/>
      <c r="X651" s="102" t="n"/>
      <c r="Y651" s="102" t="n"/>
      <c r="Z651" s="102" t="n"/>
      <c r="AA651" s="102" t="n"/>
      <c r="AB651" s="102" t="n"/>
      <c r="AC651" s="102" t="n"/>
      <c r="AD651" s="102" t="n"/>
    </row>
    <row r="652" ht="15.75" customHeight="1" s="205">
      <c r="A652" s="102" t="n"/>
      <c r="B652" s="147" t="n"/>
      <c r="C652" s="144" t="n"/>
      <c r="D652" s="144" t="n"/>
      <c r="E652" s="144" t="n"/>
      <c r="F652" s="144" t="n"/>
      <c r="G652" s="144" t="n"/>
      <c r="H652" s="141">
        <f>IF(K652&lt;&gt;"", HYPERLINK("https://chatgpt.com/?prompt=" &amp; SUBSTITUTE(SUBSTITUTE(K652, " ", "+"), "&amp;", "dan") &amp; "&amp;force-refresh=true&amp;timestamp=" &amp; TEXT(NOW(), "yyyymmddhhmmss"), "👉 Klik untuk Generate Script! 🔥"), "")</f>
        <v/>
      </c>
      <c r="I652" s="144" t="n"/>
      <c r="J652" s="148" t="n"/>
      <c r="K652" s="140">
        <f>IF(AND(B652&lt;&gt;"", C652&lt;&gt;"", D652&lt;&gt;"", E652&lt;&gt;"", F652&lt;&gt;"", G652&lt;&gt;"", J652&lt;&gt;"", 'CONTENT PILLAR MAPPING'!C554&lt;&gt;"", 'CONTENT PILLAR MAPPING'!E554&lt;&gt;"", 'CONTENT PILLAR MAPPING'!F554&lt;&gt;"", 'CONTENT PILLAR MAPPING'!C557&lt;&gt;"", 'CONTENT PILLAR MAPPING'!C562&lt;&gt;"", 'CONTENT PILLAR MAPPING'!D562&lt;&gt;"", 'CONTENT PILLAR MAPPING'!E562&lt;&gt;"", 'CONTENT PILLAR MAPPING'!D570&lt;&gt;"", 'CONTENT PILLAR MAPPING'!D571&lt;&gt;""),
CONCATENATE(
"Sebagai seorang top konten kreator dengan niche utama '", 'CONTENT PILLAR MAPPING'!C554, "', spesifik kategori '", 'CONTENT PILLAR MAPPING'!E554, "', dan super spesifik '", 'CONTENT PILLAR MAPPING'!F554, "', yang dikenal sebagai '", 'CONTENT PILLAR MAPPING'!C557, "'.", CHAR(10),
"Saya memiliki Tone of Voice: '", 'CONTENT PILLAR MAPPING'!C562, "', Brand Archetype: '", 'CONTENT PILLAR MAPPING'!D562, "', dan Deskripsi Gaya Komunikasi: '", 'CONTENT PILLAR MAPPING'!E562, "'.", CHAR(10),
"Target audiens saya adalah: '", 'CONTENT PILLAR MAPPING'!D570, "', dengan segmentasi audiens: '", 'CONTENT PILLAR MAPPING'!D571, "'.", CHAR(10), CHAR(10),
"Mohon buatkan script konten yang **sangat powerful, menarik, inovatif, dan siap pakai** dengan judul ide '", B652, "'.", CHAR(10),
"Konten ini memiliki pilar '", C652, "', nilai tambah utama '", F652, "', dan akan menggunakan storytelling framework '", G652, "'.", CHAR(10),
"Gambaran singkat ide kontennya adalah: '", J652, "'.", CHAR(10),
"Konten ini akan diunggah di platform '", E652, "' dengan format '", D652,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MAPPING'!C557, "'.** Sesuaikan dengan gaya komunikasi saya, dengan fokus pada nilai tambah '", F652,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MAPPING'!D570, ", khusus ", 'CONTENT PILLAR MAPPING'!D571, ") dan membantu mereka menyelesaikan masalah atau mencapai tujuan mereka.", CHAR(10),
"✔ Membantuku membangun personal branding yang kuat dan sustainable, sesuai dengan Positioning saya sebagai '", 'CONTENT PILLAR MAPPING'!C557, "' dan Brand Archetype '", 'CONTENT PILLAR MAPPING'!D562, "'.", CHAR(10),
"✔ Kemas dalam bentuk tabel agar rapi, mudah di baca dan dipahami, dengan kolom 'Judul Konten', 'Pilar', 'Format', 'Draft Script', 'CTA', 'Saran Visual', dan 'Full Caption'. (Kosongkan kolom Link Prompt jika ada)."
),
"")</f>
        <v/>
      </c>
      <c r="L652" s="199" t="n"/>
      <c r="M652" s="199" t="n"/>
      <c r="N652" s="102" t="n"/>
      <c r="O652" s="102" t="n"/>
      <c r="P652" s="102" t="n"/>
      <c r="Q652" s="102" t="n"/>
      <c r="R652" s="102" t="n"/>
      <c r="S652" s="102" t="n"/>
      <c r="T652" s="102" t="n"/>
      <c r="U652" s="102" t="n"/>
      <c r="V652" s="102" t="n"/>
      <c r="W652" s="102" t="n"/>
      <c r="X652" s="102" t="n"/>
      <c r="Y652" s="102" t="n"/>
      <c r="Z652" s="102" t="n"/>
      <c r="AA652" s="102" t="n"/>
      <c r="AB652" s="102" t="n"/>
      <c r="AC652" s="102" t="n"/>
      <c r="AD652" s="102" t="n"/>
    </row>
    <row r="653" ht="15.75" customHeight="1" s="205">
      <c r="A653" s="102" t="n"/>
      <c r="B653" s="142" t="n"/>
      <c r="C653" s="143" t="n"/>
      <c r="D653" s="143" t="n"/>
      <c r="E653" s="143" t="n"/>
      <c r="F653" s="143" t="n"/>
      <c r="G653" s="144" t="n"/>
      <c r="H653" s="145">
        <f>IF(K653&lt;&gt;"", HYPERLINK("https://chatgpt.com/?prompt=" &amp; SUBSTITUTE(SUBSTITUTE(K653, " ", "+"), "&amp;", "dan") &amp; "&amp;force-refresh=true&amp;timestamp=" &amp; TEXT(NOW(), "yyyymmddhhmmss"), "👉 Klik untuk Generate Script! 🔥"), "")</f>
        <v/>
      </c>
      <c r="I653" s="143" t="n"/>
      <c r="J653" s="146" t="n"/>
      <c r="K653" s="130">
        <f>IF(AND(B653&lt;&gt;"", C653&lt;&gt;"", D653&lt;&gt;"", E653&lt;&gt;"", F653&lt;&gt;"", G653&lt;&gt;"", J653&lt;&gt;"", 'CONTENT PILLAR MAPPING'!C556&lt;&gt;"", 'CONTENT PILLAR MAPPING'!E556&lt;&gt;"", 'CONTENT PILLAR MAPPING'!F556&lt;&gt;"", 'CONTENT PILLAR MAPPING'!C559&lt;&gt;"", 'CONTENT PILLAR MAPPING'!C564&lt;&gt;"", 'CONTENT PILLAR MAPPING'!D564&lt;&gt;"", 'CONTENT PILLAR MAPPING'!E564&lt;&gt;"", 'CONTENT PILLAR MAPPING'!D572&lt;&gt;"", 'CONTENT PILLAR MAPPING'!D573&lt;&gt;""),
CONCATENATE(
"Sebagai seorang top konten kreator dengan niche utama '", 'CONTENT PILLAR MAPPING'!C556, "', spesifik kategori '", 'CONTENT PILLAR MAPPING'!E556, "', dan super spesifik '", 'CONTENT PILLAR MAPPING'!F556, "', yang dikenal sebagai '", 'CONTENT PILLAR MAPPING'!C559, "'.", CHAR(10),
"Saya memiliki Tone of Voice: '", 'CONTENT PILLAR MAPPING'!C564, "', Brand Archetype: '", 'CONTENT PILLAR MAPPING'!D564, "', dan Deskripsi Gaya Komunikasi: '", 'CONTENT PILLAR MAPPING'!E564, "'.", CHAR(10),
"Target audiens saya adalah: '", 'CONTENT PILLAR MAPPING'!D572, "', dengan segmentasi audiens: '", 'CONTENT PILLAR MAPPING'!D573, "'.", CHAR(10), CHAR(10),
"Mohon buatkan script konten yang **sangat powerful, menarik, inovatif, dan siap pakai** dengan judul ide '", B653, "'.", CHAR(10),
"Konten ini memiliki pilar '", C653, "', nilai tambah utama '", F653, "', dan akan menggunakan storytelling framework '", G653, "'.", CHAR(10),
"Gambaran singkat ide kontennya adalah: '", J653, "'.", CHAR(10),
"Konten ini akan diunggah di platform '", E653, "' dengan format '", D653,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MAPPING'!C559, "'.** Sesuaikan dengan gaya komunikasi saya, dengan fokus pada nilai tambah '", F653,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MAPPING'!D572, ", khusus ", 'CONTENT PILLAR MAPPING'!D573, ") dan membantu mereka menyelesaikan masalah atau mencapai tujuan mereka.", CHAR(10),
"✔ Membantuku membangun personal branding yang kuat dan sustainable, sesuai dengan Positioning saya sebagai '", 'CONTENT PILLAR MAPPING'!C559, "' dan Brand Archetype '", 'CONTENT PILLAR MAPPING'!D564, "'.", CHAR(10),
"✔ Kemas dalam bentuk tabel agar rapi, mudah di baca dan dipahami, dengan kolom 'Judul Konten', 'Pilar', 'Format', 'Draft Script', 'CTA', 'Saran Visual', dan 'Full Caption'. (Kosongkan kolom Link Prompt jika ada)."
),
"")</f>
        <v/>
      </c>
      <c r="L653" s="91" t="n"/>
      <c r="M653" s="91" t="n"/>
      <c r="N653" s="102" t="n"/>
      <c r="O653" s="102" t="n"/>
      <c r="P653" s="102" t="n"/>
      <c r="Q653" s="102" t="n"/>
      <c r="R653" s="102" t="n"/>
      <c r="S653" s="102" t="n"/>
      <c r="T653" s="102" t="n"/>
      <c r="U653" s="102" t="n"/>
      <c r="V653" s="102" t="n"/>
      <c r="W653" s="102" t="n"/>
      <c r="X653" s="102" t="n"/>
      <c r="Y653" s="102" t="n"/>
      <c r="Z653" s="102" t="n"/>
      <c r="AA653" s="102" t="n"/>
      <c r="AB653" s="102" t="n"/>
      <c r="AC653" s="102" t="n"/>
      <c r="AD653" s="102" t="n"/>
    </row>
    <row r="654" ht="15.75" customHeight="1" s="205">
      <c r="A654" s="102" t="n"/>
      <c r="B654" s="147" t="n"/>
      <c r="C654" s="144" t="n"/>
      <c r="D654" s="144" t="n"/>
      <c r="E654" s="144" t="n"/>
      <c r="F654" s="144" t="n"/>
      <c r="G654" s="144" t="n"/>
      <c r="H654" s="141">
        <f>IF(K654&lt;&gt;"", HYPERLINK("https://chatgpt.com/?prompt=" &amp; SUBSTITUTE(SUBSTITUTE(K654, " ", "+"), "&amp;", "dan") &amp; "&amp;force-refresh=true&amp;timestamp=" &amp; TEXT(NOW(), "yyyymmddhhmmss"), "👉 Klik untuk Generate Script! 🔥"), "")</f>
        <v/>
      </c>
      <c r="I654" s="144" t="n"/>
      <c r="J654" s="148" t="n"/>
      <c r="K654" s="140">
        <f>IF(AND(B654&lt;&gt;"", C654&lt;&gt;"", D654&lt;&gt;"", E654&lt;&gt;"", F654&lt;&gt;"", G654&lt;&gt;"", J654&lt;&gt;"", 'CONTENT PILLAR MAPPING'!C556&lt;&gt;"", 'CONTENT PILLAR MAPPING'!E556&lt;&gt;"", 'CONTENT PILLAR MAPPING'!F556&lt;&gt;"", 'CONTENT PILLAR MAPPING'!C559&lt;&gt;"", 'CONTENT PILLAR MAPPING'!C564&lt;&gt;"", 'CONTENT PILLAR MAPPING'!D564&lt;&gt;"", 'CONTENT PILLAR MAPPING'!E564&lt;&gt;"", 'CONTENT PILLAR MAPPING'!D572&lt;&gt;"", 'CONTENT PILLAR MAPPING'!D573&lt;&gt;""),
CONCATENATE(
"Sebagai seorang top konten kreator dengan niche utama '", 'CONTENT PILLAR MAPPING'!C556, "', spesifik kategori '", 'CONTENT PILLAR MAPPING'!E556, "', dan super spesifik '", 'CONTENT PILLAR MAPPING'!F556, "', yang dikenal sebagai '", 'CONTENT PILLAR MAPPING'!C559, "'.", CHAR(10),
"Saya memiliki Tone of Voice: '", 'CONTENT PILLAR MAPPING'!C564, "', Brand Archetype: '", 'CONTENT PILLAR MAPPING'!D564, "', dan Deskripsi Gaya Komunikasi: '", 'CONTENT PILLAR MAPPING'!E564, "'.", CHAR(10),
"Target audiens saya adalah: '", 'CONTENT PILLAR MAPPING'!D572, "', dengan segmentasi audiens: '", 'CONTENT PILLAR MAPPING'!D573, "'.", CHAR(10), CHAR(10),
"Mohon buatkan script konten yang **sangat powerful, menarik, inovatif, dan siap pakai** dengan judul ide '", B654, "'.", CHAR(10),
"Konten ini memiliki pilar '", C654, "', nilai tambah utama '", F654, "', dan akan menggunakan storytelling framework '", G654, "'.", CHAR(10),
"Gambaran singkat ide kontennya adalah: '", J654, "'.", CHAR(10),
"Konten ini akan diunggah di platform '", E654, "' dengan format '", D654,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MAPPING'!C559, "'.** Sesuaikan dengan gaya komunikasi saya, dengan fokus pada nilai tambah '", F654,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MAPPING'!D572, ", khusus ", 'CONTENT PILLAR MAPPING'!D573, ") dan membantu mereka menyelesaikan masalah atau mencapai tujuan mereka.", CHAR(10),
"✔ Membantuku membangun personal branding yang kuat dan sustainable, sesuai dengan Positioning saya sebagai '", 'CONTENT PILLAR MAPPING'!C559, "' dan Brand Archetype '", 'CONTENT PILLAR MAPPING'!D564, "'.", CHAR(10),
"✔ Kemas dalam bentuk tabel agar rapi, mudah di baca dan dipahami, dengan kolom 'Judul Konten', 'Pilar', 'Format', 'Draft Script', 'CTA', 'Saran Visual', dan 'Full Caption'. (Kosongkan kolom Link Prompt jika ada)."
),
"")</f>
        <v/>
      </c>
      <c r="L654" s="199" t="n"/>
      <c r="M654" s="199" t="n"/>
      <c r="N654" s="102" t="n"/>
      <c r="O654" s="102" t="n"/>
      <c r="P654" s="102" t="n"/>
      <c r="Q654" s="102" t="n"/>
      <c r="R654" s="102" t="n"/>
      <c r="S654" s="102" t="n"/>
      <c r="T654" s="102" t="n"/>
      <c r="U654" s="102" t="n"/>
      <c r="V654" s="102" t="n"/>
      <c r="W654" s="102" t="n"/>
      <c r="X654" s="102" t="n"/>
      <c r="Y654" s="102" t="n"/>
      <c r="Z654" s="102" t="n"/>
      <c r="AA654" s="102" t="n"/>
      <c r="AB654" s="102" t="n"/>
      <c r="AC654" s="102" t="n"/>
      <c r="AD654" s="102" t="n"/>
    </row>
    <row r="655" ht="15.75" customHeight="1" s="205">
      <c r="A655" s="102" t="n"/>
      <c r="B655" s="142" t="n"/>
      <c r="C655" s="143" t="n"/>
      <c r="D655" s="143" t="n"/>
      <c r="E655" s="143" t="n"/>
      <c r="F655" s="143" t="n"/>
      <c r="G655" s="144" t="n"/>
      <c r="H655" s="145">
        <f>IF(K655&lt;&gt;"", HYPERLINK("https://chatgpt.com/?prompt=" &amp; SUBSTITUTE(SUBSTITUTE(K655, " ", "+"), "&amp;", "dan") &amp; "&amp;force-refresh=true&amp;timestamp=" &amp; TEXT(NOW(), "yyyymmddhhmmss"), "👉 Klik untuk Generate Script! 🔥"), "")</f>
        <v/>
      </c>
      <c r="I655" s="143" t="n"/>
      <c r="J655" s="146" t="n"/>
      <c r="K655" s="130">
        <f>IF(AND(B655&lt;&gt;"", C655&lt;&gt;"", D655&lt;&gt;"", E655&lt;&gt;"", F655&lt;&gt;"", G655&lt;&gt;"", J655&lt;&gt;"", 'CONTENT PILLAR MAPPING'!C558&lt;&gt;"", 'CONTENT PILLAR MAPPING'!E558&lt;&gt;"", 'CONTENT PILLAR MAPPING'!F558&lt;&gt;"", 'CONTENT PILLAR MAPPING'!C561&lt;&gt;"", 'CONTENT PILLAR MAPPING'!C566&lt;&gt;"", 'CONTENT PILLAR MAPPING'!D566&lt;&gt;"", 'CONTENT PILLAR MAPPING'!E566&lt;&gt;"", 'CONTENT PILLAR MAPPING'!D574&lt;&gt;"", 'CONTENT PILLAR MAPPING'!D575&lt;&gt;""),
CONCATENATE(
"Sebagai seorang top konten kreator dengan niche utama '", 'CONTENT PILLAR MAPPING'!C558, "', spesifik kategori '", 'CONTENT PILLAR MAPPING'!E558, "', dan super spesifik '", 'CONTENT PILLAR MAPPING'!F558, "', yang dikenal sebagai '", 'CONTENT PILLAR MAPPING'!C561, "'.", CHAR(10),
"Saya memiliki Tone of Voice: '", 'CONTENT PILLAR MAPPING'!C566, "', Brand Archetype: '", 'CONTENT PILLAR MAPPING'!D566, "', dan Deskripsi Gaya Komunikasi: '", 'CONTENT PILLAR MAPPING'!E566, "'.", CHAR(10),
"Target audiens saya adalah: '", 'CONTENT PILLAR MAPPING'!D574, "', dengan segmentasi audiens: '", 'CONTENT PILLAR MAPPING'!D575, "'.", CHAR(10), CHAR(10),
"Mohon buatkan script konten yang **sangat powerful, menarik, inovatif, dan siap pakai** dengan judul ide '", B655, "'.", CHAR(10),
"Konten ini memiliki pilar '", C655, "', nilai tambah utama '", F655, "', dan akan menggunakan storytelling framework '", G655, "'.", CHAR(10),
"Gambaran singkat ide kontennya adalah: '", J655, "'.", CHAR(10),
"Konten ini akan diunggah di platform '", E655, "' dengan format '", D655,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MAPPING'!C561, "'.** Sesuaikan dengan gaya komunikasi saya, dengan fokus pada nilai tambah '", F655,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MAPPING'!D574, ", khusus ", 'CONTENT PILLAR MAPPING'!D575, ") dan membantu mereka menyelesaikan masalah atau mencapai tujuan mereka.", CHAR(10),
"✔ Membantuku membangun personal branding yang kuat dan sustainable, sesuai dengan Positioning saya sebagai '", 'CONTENT PILLAR MAPPING'!C561, "' dan Brand Archetype '", 'CONTENT PILLAR MAPPING'!D566, "'.", CHAR(10),
"✔ Kemas dalam bentuk tabel agar rapi, mudah di baca dan dipahami, dengan kolom 'Judul Konten', 'Pilar', 'Format', 'Draft Script', 'CTA', 'Saran Visual', dan 'Full Caption'. (Kosongkan kolom Link Prompt jika ada)."
),
"")</f>
        <v/>
      </c>
      <c r="L655" s="91" t="n"/>
      <c r="M655" s="91" t="n"/>
      <c r="N655" s="102" t="n"/>
      <c r="O655" s="102" t="n"/>
      <c r="P655" s="102" t="n"/>
      <c r="Q655" s="102" t="n"/>
      <c r="R655" s="102" t="n"/>
      <c r="S655" s="102" t="n"/>
      <c r="T655" s="102" t="n"/>
      <c r="U655" s="102" t="n"/>
      <c r="V655" s="102" t="n"/>
      <c r="W655" s="102" t="n"/>
      <c r="X655" s="102" t="n"/>
      <c r="Y655" s="102" t="n"/>
      <c r="Z655" s="102" t="n"/>
      <c r="AA655" s="102" t="n"/>
      <c r="AB655" s="102" t="n"/>
      <c r="AC655" s="102" t="n"/>
      <c r="AD655" s="102" t="n"/>
    </row>
    <row r="656" ht="15.75" customHeight="1" s="205">
      <c r="A656" s="102" t="n"/>
      <c r="B656" s="147" t="n"/>
      <c r="C656" s="144" t="n"/>
      <c r="D656" s="144" t="n"/>
      <c r="E656" s="144" t="n"/>
      <c r="F656" s="144" t="n"/>
      <c r="G656" s="144" t="n"/>
      <c r="H656" s="141">
        <f>IF(K656&lt;&gt;"", HYPERLINK("https://chatgpt.com/?prompt=" &amp; SUBSTITUTE(SUBSTITUTE(K656, " ", "+"), "&amp;", "dan") &amp; "&amp;force-refresh=true&amp;timestamp=" &amp; TEXT(NOW(), "yyyymmddhhmmss"), "👉 Klik untuk Generate Script! 🔥"), "")</f>
        <v/>
      </c>
      <c r="I656" s="144" t="n"/>
      <c r="J656" s="148" t="n"/>
      <c r="K656" s="140">
        <f>IF(AND(B656&lt;&gt;"", C656&lt;&gt;"", D656&lt;&gt;"", E656&lt;&gt;"", F656&lt;&gt;"", G656&lt;&gt;"", J656&lt;&gt;"", 'CONTENT PILLAR MAPPING'!C558&lt;&gt;"", 'CONTENT PILLAR MAPPING'!E558&lt;&gt;"", 'CONTENT PILLAR MAPPING'!F558&lt;&gt;"", 'CONTENT PILLAR MAPPING'!C561&lt;&gt;"", 'CONTENT PILLAR MAPPING'!C566&lt;&gt;"", 'CONTENT PILLAR MAPPING'!D566&lt;&gt;"", 'CONTENT PILLAR MAPPING'!E566&lt;&gt;"", 'CONTENT PILLAR MAPPING'!D574&lt;&gt;"", 'CONTENT PILLAR MAPPING'!D575&lt;&gt;""),
CONCATENATE(
"Sebagai seorang top konten kreator dengan niche utama '", 'CONTENT PILLAR MAPPING'!C558, "', spesifik kategori '", 'CONTENT PILLAR MAPPING'!E558, "', dan super spesifik '", 'CONTENT PILLAR MAPPING'!F558, "', yang dikenal sebagai '", 'CONTENT PILLAR MAPPING'!C561, "'.", CHAR(10),
"Saya memiliki Tone of Voice: '", 'CONTENT PILLAR MAPPING'!C566, "', Brand Archetype: '", 'CONTENT PILLAR MAPPING'!D566, "', dan Deskripsi Gaya Komunikasi: '", 'CONTENT PILLAR MAPPING'!E566, "'.", CHAR(10),
"Target audiens saya adalah: '", 'CONTENT PILLAR MAPPING'!D574, "', dengan segmentasi audiens: '", 'CONTENT PILLAR MAPPING'!D575, "'.", CHAR(10), CHAR(10),
"Mohon buatkan script konten yang **sangat powerful, menarik, inovatif, dan siap pakai** dengan judul ide '", B656, "'.", CHAR(10),
"Konten ini memiliki pilar '", C656, "', nilai tambah utama '", F656, "', dan akan menggunakan storytelling framework '", G656, "'.", CHAR(10),
"Gambaran singkat ide kontennya adalah: '", J656, "'.", CHAR(10),
"Konten ini akan diunggah di platform '", E656, "' dengan format '", D656,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MAPPING'!C561, "'.** Sesuaikan dengan gaya komunikasi saya, dengan fokus pada nilai tambah '", F656,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MAPPING'!D574, ", khusus ", 'CONTENT PILLAR MAPPING'!D575, ") dan membantu mereka menyelesaikan masalah atau mencapai tujuan mereka.", CHAR(10),
"✔ Membantuku membangun personal branding yang kuat dan sustainable, sesuai dengan Positioning saya sebagai '", 'CONTENT PILLAR MAPPING'!C561, "' dan Brand Archetype '", 'CONTENT PILLAR MAPPING'!D566, "'.", CHAR(10),
"✔ Kemas dalam bentuk tabel agar rapi, mudah di baca dan dipahami, dengan kolom 'Judul Konten', 'Pilar', 'Format', 'Draft Script', 'CTA', 'Saran Visual', dan 'Full Caption'. (Kosongkan kolom Link Prompt jika ada)."
),
"")</f>
        <v/>
      </c>
      <c r="L656" s="199" t="n"/>
      <c r="M656" s="199" t="n"/>
      <c r="N656" s="102" t="n"/>
      <c r="O656" s="102" t="n"/>
      <c r="P656" s="102" t="n"/>
      <c r="Q656" s="102" t="n"/>
      <c r="R656" s="102" t="n"/>
      <c r="S656" s="102" t="n"/>
      <c r="T656" s="102" t="n"/>
      <c r="U656" s="102" t="n"/>
      <c r="V656" s="102" t="n"/>
      <c r="W656" s="102" t="n"/>
      <c r="X656" s="102" t="n"/>
      <c r="Y656" s="102" t="n"/>
      <c r="Z656" s="102" t="n"/>
      <c r="AA656" s="102" t="n"/>
      <c r="AB656" s="102" t="n"/>
      <c r="AC656" s="102" t="n"/>
      <c r="AD656" s="102" t="n"/>
    </row>
    <row r="657" ht="15.75" customHeight="1" s="205">
      <c r="A657" s="102" t="n"/>
      <c r="B657" s="142" t="n"/>
      <c r="C657" s="143" t="n"/>
      <c r="D657" s="143" t="n"/>
      <c r="E657" s="143" t="n"/>
      <c r="F657" s="143" t="n"/>
      <c r="G657" s="144" t="n"/>
      <c r="H657" s="145">
        <f>IF(K657&lt;&gt;"", HYPERLINK("https://chatgpt.com/?prompt=" &amp; SUBSTITUTE(SUBSTITUTE(K657, " ", "+"), "&amp;", "dan") &amp; "&amp;force-refresh=true&amp;timestamp=" &amp; TEXT(NOW(), "yyyymmddhhmmss"), "👉 Klik untuk Generate Script! 🔥"), "")</f>
        <v/>
      </c>
      <c r="I657" s="143" t="n"/>
      <c r="J657" s="146" t="n"/>
      <c r="K657" s="130">
        <f>IF(AND(B657&lt;&gt;"", C657&lt;&gt;"", D657&lt;&gt;"", E657&lt;&gt;"", F657&lt;&gt;"", G657&lt;&gt;"", J657&lt;&gt;"", 'CONTENT PILLAR MAPPING'!C560&lt;&gt;"", 'CONTENT PILLAR MAPPING'!E560&lt;&gt;"", 'CONTENT PILLAR MAPPING'!F560&lt;&gt;"", 'CONTENT PILLAR MAPPING'!C563&lt;&gt;"", 'CONTENT PILLAR MAPPING'!C568&lt;&gt;"", 'CONTENT PILLAR MAPPING'!D568&lt;&gt;"", 'CONTENT PILLAR MAPPING'!E568&lt;&gt;"", 'CONTENT PILLAR MAPPING'!D576&lt;&gt;"", 'CONTENT PILLAR MAPPING'!D577&lt;&gt;""),
CONCATENATE(
"Sebagai seorang top konten kreator dengan niche utama '", 'CONTENT PILLAR MAPPING'!C560, "', spesifik kategori '", 'CONTENT PILLAR MAPPING'!E560, "', dan super spesifik '", 'CONTENT PILLAR MAPPING'!F560, "', yang dikenal sebagai '", 'CONTENT PILLAR MAPPING'!C563, "'.", CHAR(10),
"Saya memiliki Tone of Voice: '", 'CONTENT PILLAR MAPPING'!C568, "', Brand Archetype: '", 'CONTENT PILLAR MAPPING'!D568, "', dan Deskripsi Gaya Komunikasi: '", 'CONTENT PILLAR MAPPING'!E568, "'.", CHAR(10),
"Target audiens saya adalah: '", 'CONTENT PILLAR MAPPING'!D576, "', dengan segmentasi audiens: '", 'CONTENT PILLAR MAPPING'!D577, "'.", CHAR(10), CHAR(10),
"Mohon buatkan script konten yang **sangat powerful, menarik, inovatif, dan siap pakai** dengan judul ide '", B657, "'.", CHAR(10),
"Konten ini memiliki pilar '", C657, "', nilai tambah utama '", F657, "', dan akan menggunakan storytelling framework '", G657, "'.", CHAR(10),
"Gambaran singkat ide kontennya adalah: '", J657, "'.", CHAR(10),
"Konten ini akan diunggah di platform '", E657, "' dengan format '", D657,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MAPPING'!C563, "'.** Sesuaikan dengan gaya komunikasi saya, dengan fokus pada nilai tambah '", F657,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MAPPING'!D576, ", khusus ", 'CONTENT PILLAR MAPPING'!D577, ") dan membantu mereka menyelesaikan masalah atau mencapai tujuan mereka.", CHAR(10),
"✔ Membantuku membangun personal branding yang kuat dan sustainable, sesuai dengan Positioning saya sebagai '", 'CONTENT PILLAR MAPPING'!C563, "' dan Brand Archetype '", 'CONTENT PILLAR MAPPING'!D568, "'.", CHAR(10),
"✔ Kemas dalam bentuk tabel agar rapi, mudah di baca dan dipahami, dengan kolom 'Judul Konten', 'Pilar', 'Format', 'Draft Script', 'CTA', 'Saran Visual', dan 'Full Caption'. (Kosongkan kolom Link Prompt jika ada)."
),
"")</f>
        <v/>
      </c>
      <c r="L657" s="91" t="n"/>
      <c r="M657" s="91" t="n"/>
      <c r="N657" s="102" t="n"/>
      <c r="O657" s="102" t="n"/>
      <c r="P657" s="102" t="n"/>
      <c r="Q657" s="102" t="n"/>
      <c r="R657" s="102" t="n"/>
      <c r="S657" s="102" t="n"/>
      <c r="T657" s="102" t="n"/>
      <c r="U657" s="102" t="n"/>
      <c r="V657" s="102" t="n"/>
      <c r="W657" s="102" t="n"/>
      <c r="X657" s="102" t="n"/>
      <c r="Y657" s="102" t="n"/>
      <c r="Z657" s="102" t="n"/>
      <c r="AA657" s="102" t="n"/>
      <c r="AB657" s="102" t="n"/>
      <c r="AC657" s="102" t="n"/>
      <c r="AD657" s="102" t="n"/>
    </row>
    <row r="658" ht="15.75" customHeight="1" s="205">
      <c r="A658" s="102" t="n"/>
      <c r="B658" s="147" t="n"/>
      <c r="C658" s="144" t="n"/>
      <c r="D658" s="144" t="n"/>
      <c r="E658" s="144" t="n"/>
      <c r="F658" s="144" t="n"/>
      <c r="G658" s="144" t="n"/>
      <c r="H658" s="141">
        <f>IF(K658&lt;&gt;"", HYPERLINK("https://chatgpt.com/?prompt=" &amp; SUBSTITUTE(SUBSTITUTE(K658, " ", "+"), "&amp;", "dan") &amp; "&amp;force-refresh=true&amp;timestamp=" &amp; TEXT(NOW(), "yyyymmddhhmmss"), "👉 Klik untuk Generate Script! 🔥"), "")</f>
        <v/>
      </c>
      <c r="I658" s="144" t="n"/>
      <c r="J658" s="148" t="n"/>
      <c r="K658" s="140">
        <f>IF(AND(B658&lt;&gt;"", C658&lt;&gt;"", D658&lt;&gt;"", E658&lt;&gt;"", F658&lt;&gt;"", G658&lt;&gt;"", J658&lt;&gt;"", 'CONTENT PILLAR MAPPING'!C560&lt;&gt;"", 'CONTENT PILLAR MAPPING'!E560&lt;&gt;"", 'CONTENT PILLAR MAPPING'!F560&lt;&gt;"", 'CONTENT PILLAR MAPPING'!C563&lt;&gt;"", 'CONTENT PILLAR MAPPING'!C568&lt;&gt;"", 'CONTENT PILLAR MAPPING'!D568&lt;&gt;"", 'CONTENT PILLAR MAPPING'!E568&lt;&gt;"", 'CONTENT PILLAR MAPPING'!D576&lt;&gt;"", 'CONTENT PILLAR MAPPING'!D577&lt;&gt;""),
CONCATENATE(
"Sebagai seorang top konten kreator dengan niche utama '", 'CONTENT PILLAR MAPPING'!C560, "', spesifik kategori '", 'CONTENT PILLAR MAPPING'!E560, "', dan super spesifik '", 'CONTENT PILLAR MAPPING'!F560, "', yang dikenal sebagai '", 'CONTENT PILLAR MAPPING'!C563, "'.", CHAR(10),
"Saya memiliki Tone of Voice: '", 'CONTENT PILLAR MAPPING'!C568, "', Brand Archetype: '", 'CONTENT PILLAR MAPPING'!D568, "', dan Deskripsi Gaya Komunikasi: '", 'CONTENT PILLAR MAPPING'!E568, "'.", CHAR(10),
"Target audiens saya adalah: '", 'CONTENT PILLAR MAPPING'!D576, "', dengan segmentasi audiens: '", 'CONTENT PILLAR MAPPING'!D577, "'.", CHAR(10), CHAR(10),
"Mohon buatkan script konten yang **sangat powerful, menarik, inovatif, dan siap pakai** dengan judul ide '", B658, "'.", CHAR(10),
"Konten ini memiliki pilar '", C658, "', nilai tambah utama '", F658, "', dan akan menggunakan storytelling framework '", G658, "'.", CHAR(10),
"Gambaran singkat ide kontennya adalah: '", J658, "'.", CHAR(10),
"Konten ini akan diunggah di platform '", E658, "' dengan format '", D658,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MAPPING'!C563, "'.** Sesuaikan dengan gaya komunikasi saya, dengan fokus pada nilai tambah '", F658,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MAPPING'!D576, ", khusus ", 'CONTENT PILLAR MAPPING'!D577, ") dan membantu mereka menyelesaikan masalah atau mencapai tujuan mereka.", CHAR(10),
"✔ Membantuku membangun personal branding yang kuat dan sustainable, sesuai dengan Positioning saya sebagai '", 'CONTENT PILLAR MAPPING'!C563, "' dan Brand Archetype '", 'CONTENT PILLAR MAPPING'!D568, "'.", CHAR(10),
"✔ Kemas dalam bentuk tabel agar rapi, mudah di baca dan dipahami, dengan kolom 'Judul Konten', 'Pilar', 'Format', 'Draft Script', 'CTA', 'Saran Visual', dan 'Full Caption'. (Kosongkan kolom Link Prompt jika ada)."
),
"")</f>
        <v/>
      </c>
      <c r="L658" s="199" t="n"/>
      <c r="M658" s="199" t="n"/>
      <c r="N658" s="102" t="n"/>
      <c r="O658" s="102" t="n"/>
      <c r="P658" s="102" t="n"/>
      <c r="Q658" s="102" t="n"/>
      <c r="R658" s="102" t="n"/>
      <c r="S658" s="102" t="n"/>
      <c r="T658" s="102" t="n"/>
      <c r="U658" s="102" t="n"/>
      <c r="V658" s="102" t="n"/>
      <c r="W658" s="102" t="n"/>
      <c r="X658" s="102" t="n"/>
      <c r="Y658" s="102" t="n"/>
      <c r="Z658" s="102" t="n"/>
      <c r="AA658" s="102" t="n"/>
      <c r="AB658" s="102" t="n"/>
      <c r="AC658" s="102" t="n"/>
      <c r="AD658" s="102" t="n"/>
    </row>
    <row r="659" ht="15.75" customHeight="1" s="205">
      <c r="A659" s="102" t="n"/>
      <c r="B659" s="142" t="n"/>
      <c r="C659" s="143" t="n"/>
      <c r="D659" s="143" t="n"/>
      <c r="E659" s="143" t="n"/>
      <c r="F659" s="143" t="n"/>
      <c r="G659" s="144" t="n"/>
      <c r="H659" s="145">
        <f>IF(K659&lt;&gt;"", HYPERLINK("https://chatgpt.com/?prompt=" &amp; SUBSTITUTE(SUBSTITUTE(K659, " ", "+"), "&amp;", "dan") &amp; "&amp;force-refresh=true&amp;timestamp=" &amp; TEXT(NOW(), "yyyymmddhhmmss"), "👉 Klik untuk Generate Script! 🔥"), "")</f>
        <v/>
      </c>
      <c r="I659" s="143" t="n"/>
      <c r="J659" s="146" t="n"/>
      <c r="K659" s="130">
        <f>IF(AND(B659&lt;&gt;"", C659&lt;&gt;"", D659&lt;&gt;"", E659&lt;&gt;"", F659&lt;&gt;"", G659&lt;&gt;"", J659&lt;&gt;"", 'CONTENT PILLAR MAPPING'!C562&lt;&gt;"", 'CONTENT PILLAR MAPPING'!E562&lt;&gt;"", 'CONTENT PILLAR MAPPING'!F562&lt;&gt;"", 'CONTENT PILLAR MAPPING'!C565&lt;&gt;"", 'CONTENT PILLAR MAPPING'!C570&lt;&gt;"", 'CONTENT PILLAR MAPPING'!D570&lt;&gt;"", 'CONTENT PILLAR MAPPING'!E570&lt;&gt;"", 'CONTENT PILLAR MAPPING'!D578&lt;&gt;"", 'CONTENT PILLAR MAPPING'!D579&lt;&gt;""),
CONCATENATE(
"Sebagai seorang top konten kreator dengan niche utama '", 'CONTENT PILLAR MAPPING'!C562, "', spesifik kategori '", 'CONTENT PILLAR MAPPING'!E562, "', dan super spesifik '", 'CONTENT PILLAR MAPPING'!F562, "', yang dikenal sebagai '", 'CONTENT PILLAR MAPPING'!C565, "'.", CHAR(10),
"Saya memiliki Tone of Voice: '", 'CONTENT PILLAR MAPPING'!C570, "', Brand Archetype: '", 'CONTENT PILLAR MAPPING'!D570, "', dan Deskripsi Gaya Komunikasi: '", 'CONTENT PILLAR MAPPING'!E570, "'.", CHAR(10),
"Target audiens saya adalah: '", 'CONTENT PILLAR MAPPING'!D578, "', dengan segmentasi audiens: '", 'CONTENT PILLAR MAPPING'!D579, "'.", CHAR(10), CHAR(10),
"Mohon buatkan script konten yang **sangat powerful, menarik, inovatif, dan siap pakai** dengan judul ide '", B659, "'.", CHAR(10),
"Konten ini memiliki pilar '", C659, "', nilai tambah utama '", F659, "', dan akan menggunakan storytelling framework '", G659, "'.", CHAR(10),
"Gambaran singkat ide kontennya adalah: '", J659, "'.", CHAR(10),
"Konten ini akan diunggah di platform '", E659, "' dengan format '", D659,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MAPPING'!C565, "'.** Sesuaikan dengan gaya komunikasi saya, dengan fokus pada nilai tambah '", F659,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MAPPING'!D578, ", khusus ", 'CONTENT PILLAR MAPPING'!D579, ") dan membantu mereka menyelesaikan masalah atau mencapai tujuan mereka.", CHAR(10),
"✔ Membantuku membangun personal branding yang kuat dan sustainable, sesuai dengan Positioning saya sebagai '", 'CONTENT PILLAR MAPPING'!C565, "' dan Brand Archetype '", 'CONTENT PILLAR MAPPING'!D570, "'.", CHAR(10),
"✔ Kemas dalam bentuk tabel agar rapi, mudah di baca dan dipahami, dengan kolom 'Judul Konten', 'Pilar', 'Format', 'Draft Script', 'CTA', 'Saran Visual', dan 'Full Caption'. (Kosongkan kolom Link Prompt jika ada)."
),
"")</f>
        <v/>
      </c>
      <c r="L659" s="91" t="n"/>
      <c r="M659" s="91" t="n"/>
      <c r="N659" s="102" t="n"/>
      <c r="O659" s="102" t="n"/>
      <c r="P659" s="102" t="n"/>
      <c r="Q659" s="102" t="n"/>
      <c r="R659" s="102" t="n"/>
      <c r="S659" s="102" t="n"/>
      <c r="T659" s="102" t="n"/>
      <c r="U659" s="102" t="n"/>
      <c r="V659" s="102" t="n"/>
      <c r="W659" s="102" t="n"/>
      <c r="X659" s="102" t="n"/>
      <c r="Y659" s="102" t="n"/>
      <c r="Z659" s="102" t="n"/>
      <c r="AA659" s="102" t="n"/>
      <c r="AB659" s="102" t="n"/>
      <c r="AC659" s="102" t="n"/>
      <c r="AD659" s="102" t="n"/>
    </row>
    <row r="660" ht="15.75" customHeight="1" s="205">
      <c r="A660" s="102" t="n"/>
      <c r="B660" s="147" t="n"/>
      <c r="C660" s="144" t="n"/>
      <c r="D660" s="144" t="n"/>
      <c r="E660" s="144" t="n"/>
      <c r="F660" s="144" t="n"/>
      <c r="G660" s="144" t="n"/>
      <c r="H660" s="141">
        <f>IF(K660&lt;&gt;"", HYPERLINK("https://chatgpt.com/?prompt=" &amp; SUBSTITUTE(SUBSTITUTE(K660, " ", "+"), "&amp;", "dan") &amp; "&amp;force-refresh=true&amp;timestamp=" &amp; TEXT(NOW(), "yyyymmddhhmmss"), "👉 Klik untuk Generate Script! 🔥"), "")</f>
        <v/>
      </c>
      <c r="I660" s="144" t="n"/>
      <c r="J660" s="148" t="n"/>
      <c r="K660" s="140">
        <f>IF(AND(B660&lt;&gt;"", C660&lt;&gt;"", D660&lt;&gt;"", E660&lt;&gt;"", F660&lt;&gt;"", G660&lt;&gt;"", J660&lt;&gt;"", 'CONTENT PILLAR MAPPING'!C562&lt;&gt;"", 'CONTENT PILLAR MAPPING'!E562&lt;&gt;"", 'CONTENT PILLAR MAPPING'!F562&lt;&gt;"", 'CONTENT PILLAR MAPPING'!C565&lt;&gt;"", 'CONTENT PILLAR MAPPING'!C570&lt;&gt;"", 'CONTENT PILLAR MAPPING'!D570&lt;&gt;"", 'CONTENT PILLAR MAPPING'!E570&lt;&gt;"", 'CONTENT PILLAR MAPPING'!D578&lt;&gt;"", 'CONTENT PILLAR MAPPING'!D579&lt;&gt;""),
CONCATENATE(
"Sebagai seorang top konten kreator dengan niche utama '", 'CONTENT PILLAR MAPPING'!C562, "', spesifik kategori '", 'CONTENT PILLAR MAPPING'!E562, "', dan super spesifik '", 'CONTENT PILLAR MAPPING'!F562, "', yang dikenal sebagai '", 'CONTENT PILLAR MAPPING'!C565, "'.", CHAR(10),
"Saya memiliki Tone of Voice: '", 'CONTENT PILLAR MAPPING'!C570, "', Brand Archetype: '", 'CONTENT PILLAR MAPPING'!D570, "', dan Deskripsi Gaya Komunikasi: '", 'CONTENT PILLAR MAPPING'!E570, "'.", CHAR(10),
"Target audiens saya adalah: '", 'CONTENT PILLAR MAPPING'!D578, "', dengan segmentasi audiens: '", 'CONTENT PILLAR MAPPING'!D579, "'.", CHAR(10), CHAR(10),
"Mohon buatkan script konten yang **sangat powerful, menarik, inovatif, dan siap pakai** dengan judul ide '", B660, "'.", CHAR(10),
"Konten ini memiliki pilar '", C660, "', nilai tambah utama '", F660, "', dan akan menggunakan storytelling framework '", G660, "'.", CHAR(10),
"Gambaran singkat ide kontennya adalah: '", J660, "'.", CHAR(10),
"Konten ini akan diunggah di platform '", E660, "' dengan format '", D660,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MAPPING'!C565, "'.** Sesuaikan dengan gaya komunikasi saya, dengan fokus pada nilai tambah '", F660,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MAPPING'!D578, ", khusus ", 'CONTENT PILLAR MAPPING'!D579, ") dan membantu mereka menyelesaikan masalah atau mencapai tujuan mereka.", CHAR(10),
"✔ Membantuku membangun personal branding yang kuat dan sustainable, sesuai dengan Positioning saya sebagai '", 'CONTENT PILLAR MAPPING'!C565, "' dan Brand Archetype '", 'CONTENT PILLAR MAPPING'!D570, "'.", CHAR(10),
"✔ Kemas dalam bentuk tabel agar rapi, mudah di baca dan dipahami, dengan kolom 'Judul Konten', 'Pilar', 'Format', 'Draft Script', 'CTA', 'Saran Visual', dan 'Full Caption'. (Kosongkan kolom Link Prompt jika ada)."
),
"")</f>
        <v/>
      </c>
      <c r="L660" s="199" t="n"/>
      <c r="M660" s="199" t="n"/>
      <c r="N660" s="102" t="n"/>
      <c r="O660" s="102" t="n"/>
      <c r="P660" s="102" t="n"/>
      <c r="Q660" s="102" t="n"/>
      <c r="R660" s="102" t="n"/>
      <c r="S660" s="102" t="n"/>
      <c r="T660" s="102" t="n"/>
      <c r="U660" s="102" t="n"/>
      <c r="V660" s="102" t="n"/>
      <c r="W660" s="102" t="n"/>
      <c r="X660" s="102" t="n"/>
      <c r="Y660" s="102" t="n"/>
      <c r="Z660" s="102" t="n"/>
      <c r="AA660" s="102" t="n"/>
      <c r="AB660" s="102" t="n"/>
      <c r="AC660" s="102" t="n"/>
      <c r="AD660" s="102" t="n"/>
    </row>
    <row r="661" ht="15.75" customHeight="1" s="205">
      <c r="A661" s="102" t="n"/>
      <c r="B661" s="142" t="n"/>
      <c r="C661" s="143" t="n"/>
      <c r="D661" s="143" t="n"/>
      <c r="E661" s="143" t="n"/>
      <c r="F661" s="143" t="n"/>
      <c r="G661" s="144" t="n"/>
      <c r="H661" s="145">
        <f>IF(K661&lt;&gt;"", HYPERLINK("https://chatgpt.com/?prompt=" &amp; SUBSTITUTE(SUBSTITUTE(K661, " ", "+"), "&amp;", "dan") &amp; "&amp;force-refresh=true&amp;timestamp=" &amp; TEXT(NOW(), "yyyymmddhhmmss"), "👉 Klik untuk Generate Script! 🔥"), "")</f>
        <v/>
      </c>
      <c r="I661" s="143" t="n"/>
      <c r="J661" s="146" t="n"/>
      <c r="K661" s="130">
        <f>IF(AND(B661&lt;&gt;"", C661&lt;&gt;"", D661&lt;&gt;"", E661&lt;&gt;"", F661&lt;&gt;"", G661&lt;&gt;"", J661&lt;&gt;"", 'CONTENT PILLAR MAPPING'!C564&lt;&gt;"", 'CONTENT PILLAR MAPPING'!E564&lt;&gt;"", 'CONTENT PILLAR MAPPING'!F564&lt;&gt;"", 'CONTENT PILLAR MAPPING'!C567&lt;&gt;"", 'CONTENT PILLAR MAPPING'!C572&lt;&gt;"", 'CONTENT PILLAR MAPPING'!D572&lt;&gt;"", 'CONTENT PILLAR MAPPING'!E572&lt;&gt;"", 'CONTENT PILLAR MAPPING'!D580&lt;&gt;"", 'CONTENT PILLAR MAPPING'!D581&lt;&gt;""),
CONCATENATE(
"Sebagai seorang top konten kreator dengan niche utama '", 'CONTENT PILLAR MAPPING'!C564, "', spesifik kategori '", 'CONTENT PILLAR MAPPING'!E564, "', dan super spesifik '", 'CONTENT PILLAR MAPPING'!F564, "', yang dikenal sebagai '", 'CONTENT PILLAR MAPPING'!C567, "'.", CHAR(10),
"Saya memiliki Tone of Voice: '", 'CONTENT PILLAR MAPPING'!C572, "', Brand Archetype: '", 'CONTENT PILLAR MAPPING'!D572, "', dan Deskripsi Gaya Komunikasi: '", 'CONTENT PILLAR MAPPING'!E572, "'.", CHAR(10),
"Target audiens saya adalah: '", 'CONTENT PILLAR MAPPING'!D580, "', dengan segmentasi audiens: '", 'CONTENT PILLAR MAPPING'!D581, "'.", CHAR(10), CHAR(10),
"Mohon buatkan script konten yang **sangat powerful, menarik, inovatif, dan siap pakai** dengan judul ide '", B661, "'.", CHAR(10),
"Konten ini memiliki pilar '", C661, "', nilai tambah utama '", F661, "', dan akan menggunakan storytelling framework '", G661, "'.", CHAR(10),
"Gambaran singkat ide kontennya adalah: '", J661, "'.", CHAR(10),
"Konten ini akan diunggah di platform '", E661, "' dengan format '", D661,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MAPPING'!C567, "'.** Sesuaikan dengan gaya komunikasi saya, dengan fokus pada nilai tambah '", F661,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MAPPING'!D580, ", khusus ", 'CONTENT PILLAR MAPPING'!D581, ") dan membantu mereka menyelesaikan masalah atau mencapai tujuan mereka.", CHAR(10),
"✔ Membantuku membangun personal branding yang kuat dan sustainable, sesuai dengan Positioning saya sebagai '", 'CONTENT PILLAR MAPPING'!C567, "' dan Brand Archetype '", 'CONTENT PILLAR MAPPING'!D572, "'.", CHAR(10),
"✔ Kemas dalam bentuk tabel agar rapi, mudah di baca dan dipahami, dengan kolom 'Judul Konten', 'Pilar', 'Format', 'Draft Script', 'CTA', 'Saran Visual', dan 'Full Caption'. (Kosongkan kolom Link Prompt jika ada)."
),
"")</f>
        <v/>
      </c>
      <c r="L661" s="91" t="n"/>
      <c r="M661" s="91" t="n"/>
      <c r="N661" s="102" t="n"/>
      <c r="O661" s="102" t="n"/>
      <c r="P661" s="102" t="n"/>
      <c r="Q661" s="102" t="n"/>
      <c r="R661" s="102" t="n"/>
      <c r="S661" s="102" t="n"/>
      <c r="T661" s="102" t="n"/>
      <c r="U661" s="102" t="n"/>
      <c r="V661" s="102" t="n"/>
      <c r="W661" s="102" t="n"/>
      <c r="X661" s="102" t="n"/>
      <c r="Y661" s="102" t="n"/>
      <c r="Z661" s="102" t="n"/>
      <c r="AA661" s="102" t="n"/>
      <c r="AB661" s="102" t="n"/>
      <c r="AC661" s="102" t="n"/>
      <c r="AD661" s="102" t="n"/>
    </row>
    <row r="662" ht="15.75" customHeight="1" s="205">
      <c r="A662" s="102" t="n"/>
      <c r="B662" s="147" t="n"/>
      <c r="C662" s="144" t="n"/>
      <c r="D662" s="144" t="n"/>
      <c r="E662" s="144" t="n"/>
      <c r="F662" s="144" t="n"/>
      <c r="G662" s="144" t="n"/>
      <c r="H662" s="141">
        <f>IF(K662&lt;&gt;"", HYPERLINK("https://chatgpt.com/?prompt=" &amp; SUBSTITUTE(SUBSTITUTE(K662, " ", "+"), "&amp;", "dan") &amp; "&amp;force-refresh=true&amp;timestamp=" &amp; TEXT(NOW(), "yyyymmddhhmmss"), "👉 Klik untuk Generate Script! 🔥"), "")</f>
        <v/>
      </c>
      <c r="I662" s="144" t="n"/>
      <c r="J662" s="148" t="n"/>
      <c r="K662" s="140">
        <f>IF(AND(B662&lt;&gt;"", C662&lt;&gt;"", D662&lt;&gt;"", E662&lt;&gt;"", F662&lt;&gt;"", G662&lt;&gt;"", J662&lt;&gt;"", 'CONTENT PILLAR MAPPING'!C564&lt;&gt;"", 'CONTENT PILLAR MAPPING'!E564&lt;&gt;"", 'CONTENT PILLAR MAPPING'!F564&lt;&gt;"", 'CONTENT PILLAR MAPPING'!C567&lt;&gt;"", 'CONTENT PILLAR MAPPING'!C572&lt;&gt;"", 'CONTENT PILLAR MAPPING'!D572&lt;&gt;"", 'CONTENT PILLAR MAPPING'!E572&lt;&gt;"", 'CONTENT PILLAR MAPPING'!D580&lt;&gt;"", 'CONTENT PILLAR MAPPING'!D581&lt;&gt;""),
CONCATENATE(
"Sebagai seorang top konten kreator dengan niche utama '", 'CONTENT PILLAR MAPPING'!C564, "', spesifik kategori '", 'CONTENT PILLAR MAPPING'!E564, "', dan super spesifik '", 'CONTENT PILLAR MAPPING'!F564, "', yang dikenal sebagai '", 'CONTENT PILLAR MAPPING'!C567, "'.", CHAR(10),
"Saya memiliki Tone of Voice: '", 'CONTENT PILLAR MAPPING'!C572, "', Brand Archetype: '", 'CONTENT PILLAR MAPPING'!D572, "', dan Deskripsi Gaya Komunikasi: '", 'CONTENT PILLAR MAPPING'!E572, "'.", CHAR(10),
"Target audiens saya adalah: '", 'CONTENT PILLAR MAPPING'!D580, "', dengan segmentasi audiens: '", 'CONTENT PILLAR MAPPING'!D581, "'.", CHAR(10), CHAR(10),
"Mohon buatkan script konten yang **sangat powerful, menarik, inovatif, dan siap pakai** dengan judul ide '", B662, "'.", CHAR(10),
"Konten ini memiliki pilar '", C662, "', nilai tambah utama '", F662, "', dan akan menggunakan storytelling framework '", G662, "'.", CHAR(10),
"Gambaran singkat ide kontennya adalah: '", J662, "'.", CHAR(10),
"Konten ini akan diunggah di platform '", E662, "' dengan format '", D662,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MAPPING'!C567, "'.** Sesuaikan dengan gaya komunikasi saya, dengan fokus pada nilai tambah '", F662,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MAPPING'!D580, ", khusus ", 'CONTENT PILLAR MAPPING'!D581, ") dan membantu mereka menyelesaikan masalah atau mencapai tujuan mereka.", CHAR(10),
"✔ Membantuku membangun personal branding yang kuat dan sustainable, sesuai dengan Positioning saya sebagai '", 'CONTENT PILLAR MAPPING'!C567, "' dan Brand Archetype '", 'CONTENT PILLAR MAPPING'!D572, "'.", CHAR(10),
"✔ Kemas dalam bentuk tabel agar rapi, mudah di baca dan dipahami, dengan kolom 'Judul Konten', 'Pilar', 'Format', 'Draft Script', 'CTA', 'Saran Visual', dan 'Full Caption'. (Kosongkan kolom Link Prompt jika ada)."
),
"")</f>
        <v/>
      </c>
      <c r="L662" s="199" t="n"/>
      <c r="M662" s="199" t="n"/>
      <c r="N662" s="102" t="n"/>
      <c r="O662" s="102" t="n"/>
      <c r="P662" s="102" t="n"/>
      <c r="Q662" s="102" t="n"/>
      <c r="R662" s="102" t="n"/>
      <c r="S662" s="102" t="n"/>
      <c r="T662" s="102" t="n"/>
      <c r="U662" s="102" t="n"/>
      <c r="V662" s="102" t="n"/>
      <c r="W662" s="102" t="n"/>
      <c r="X662" s="102" t="n"/>
      <c r="Y662" s="102" t="n"/>
      <c r="Z662" s="102" t="n"/>
      <c r="AA662" s="102" t="n"/>
      <c r="AB662" s="102" t="n"/>
      <c r="AC662" s="102" t="n"/>
      <c r="AD662" s="102" t="n"/>
    </row>
    <row r="663" ht="15.75" customHeight="1" s="205">
      <c r="A663" s="102" t="n"/>
      <c r="B663" s="142" t="n"/>
      <c r="C663" s="143" t="n"/>
      <c r="D663" s="143" t="n"/>
      <c r="E663" s="143" t="n"/>
      <c r="F663" s="143" t="n"/>
      <c r="G663" s="144" t="n"/>
      <c r="H663" s="145">
        <f>IF(K663&lt;&gt;"", HYPERLINK("https://chatgpt.com/?prompt=" &amp; SUBSTITUTE(SUBSTITUTE(K663, " ", "+"), "&amp;", "dan") &amp; "&amp;force-refresh=true&amp;timestamp=" &amp; TEXT(NOW(), "yyyymmddhhmmss"), "👉 Klik untuk Generate Script! 🔥"), "")</f>
        <v/>
      </c>
      <c r="I663" s="143" t="n"/>
      <c r="J663" s="146" t="n"/>
      <c r="K663" s="130">
        <f>IF(AND(B663&lt;&gt;"", C663&lt;&gt;"", D663&lt;&gt;"", E663&lt;&gt;"", F663&lt;&gt;"", G663&lt;&gt;"", J663&lt;&gt;"", 'CONTENT PILLAR MAPPING'!C566&lt;&gt;"", 'CONTENT PILLAR MAPPING'!E566&lt;&gt;"", 'CONTENT PILLAR MAPPING'!F566&lt;&gt;"", 'CONTENT PILLAR MAPPING'!C569&lt;&gt;"", 'CONTENT PILLAR MAPPING'!C574&lt;&gt;"", 'CONTENT PILLAR MAPPING'!D574&lt;&gt;"", 'CONTENT PILLAR MAPPING'!E574&lt;&gt;"", 'CONTENT PILLAR MAPPING'!D582&lt;&gt;"", 'CONTENT PILLAR MAPPING'!D583&lt;&gt;""),
CONCATENATE(
"Sebagai seorang top konten kreator dengan niche utama '", 'CONTENT PILLAR MAPPING'!C566, "', spesifik kategori '", 'CONTENT PILLAR MAPPING'!E566, "', dan super spesifik '", 'CONTENT PILLAR MAPPING'!F566, "', yang dikenal sebagai '", 'CONTENT PILLAR MAPPING'!C569, "'.", CHAR(10),
"Saya memiliki Tone of Voice: '", 'CONTENT PILLAR MAPPING'!C574, "', Brand Archetype: '", 'CONTENT PILLAR MAPPING'!D574, "', dan Deskripsi Gaya Komunikasi: '", 'CONTENT PILLAR MAPPING'!E574, "'.", CHAR(10),
"Target audiens saya adalah: '", 'CONTENT PILLAR MAPPING'!D582, "', dengan segmentasi audiens: '", 'CONTENT PILLAR MAPPING'!D583, "'.", CHAR(10), CHAR(10),
"Mohon buatkan script konten yang **sangat powerful, menarik, inovatif, dan siap pakai** dengan judul ide '", B663, "'.", CHAR(10),
"Konten ini memiliki pilar '", C663, "', nilai tambah utama '", F663, "', dan akan menggunakan storytelling framework '", G663, "'.", CHAR(10),
"Gambaran singkat ide kontennya adalah: '", J663, "'.", CHAR(10),
"Konten ini akan diunggah di platform '", E663, "' dengan format '", D663,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MAPPING'!C569, "'.** Sesuaikan dengan gaya komunikasi saya, dengan fokus pada nilai tambah '", F663,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MAPPING'!D582, ", khusus ", 'CONTENT PILLAR MAPPING'!D583, ") dan membantu mereka menyelesaikan masalah atau mencapai tujuan mereka.", CHAR(10),
"✔ Membantuku membangun personal branding yang kuat dan sustainable, sesuai dengan Positioning saya sebagai '", 'CONTENT PILLAR MAPPING'!C569, "' dan Brand Archetype '", 'CONTENT PILLAR MAPPING'!D574, "'.", CHAR(10),
"✔ Kemas dalam bentuk tabel agar rapi, mudah di baca dan dipahami, dengan kolom 'Judul Konten', 'Pilar', 'Format', 'Draft Script', 'CTA', 'Saran Visual', dan 'Full Caption'. (Kosongkan kolom Link Prompt jika ada)."
),
"")</f>
        <v/>
      </c>
      <c r="L663" s="91" t="n"/>
      <c r="M663" s="91" t="n"/>
      <c r="N663" s="102" t="n"/>
      <c r="O663" s="102" t="n"/>
      <c r="P663" s="102" t="n"/>
      <c r="Q663" s="102" t="n"/>
      <c r="R663" s="102" t="n"/>
      <c r="S663" s="102" t="n"/>
      <c r="T663" s="102" t="n"/>
      <c r="U663" s="102" t="n"/>
      <c r="V663" s="102" t="n"/>
      <c r="W663" s="102" t="n"/>
      <c r="X663" s="102" t="n"/>
      <c r="Y663" s="102" t="n"/>
      <c r="Z663" s="102" t="n"/>
      <c r="AA663" s="102" t="n"/>
      <c r="AB663" s="102" t="n"/>
      <c r="AC663" s="102" t="n"/>
      <c r="AD663" s="102" t="n"/>
    </row>
    <row r="664" ht="15.75" customHeight="1" s="205">
      <c r="A664" s="102" t="n"/>
      <c r="B664" s="147" t="n"/>
      <c r="C664" s="144" t="n"/>
      <c r="D664" s="144" t="n"/>
      <c r="E664" s="144" t="n"/>
      <c r="F664" s="144" t="n"/>
      <c r="G664" s="144" t="n"/>
      <c r="H664" s="141">
        <f>IF(K664&lt;&gt;"", HYPERLINK("https://chatgpt.com/?prompt=" &amp; SUBSTITUTE(SUBSTITUTE(K664, " ", "+"), "&amp;", "dan") &amp; "&amp;force-refresh=true&amp;timestamp=" &amp; TEXT(NOW(), "yyyymmddhhmmss"), "👉 Klik untuk Generate Script! 🔥"), "")</f>
        <v/>
      </c>
      <c r="I664" s="144" t="n"/>
      <c r="J664" s="148" t="n"/>
      <c r="K664" s="140">
        <f>IF(AND(B664&lt;&gt;"", C664&lt;&gt;"", D664&lt;&gt;"", E664&lt;&gt;"", F664&lt;&gt;"", G664&lt;&gt;"", J664&lt;&gt;"", 'CONTENT PILLAR MAPPING'!C566&lt;&gt;"", 'CONTENT PILLAR MAPPING'!E566&lt;&gt;"", 'CONTENT PILLAR MAPPING'!F566&lt;&gt;"", 'CONTENT PILLAR MAPPING'!C569&lt;&gt;"", 'CONTENT PILLAR MAPPING'!C574&lt;&gt;"", 'CONTENT PILLAR MAPPING'!D574&lt;&gt;"", 'CONTENT PILLAR MAPPING'!E574&lt;&gt;"", 'CONTENT PILLAR MAPPING'!D582&lt;&gt;"", 'CONTENT PILLAR MAPPING'!D583&lt;&gt;""),
CONCATENATE(
"Sebagai seorang top konten kreator dengan niche utama '", 'CONTENT PILLAR MAPPING'!C566, "', spesifik kategori '", 'CONTENT PILLAR MAPPING'!E566, "', dan super spesifik '", 'CONTENT PILLAR MAPPING'!F566, "', yang dikenal sebagai '", 'CONTENT PILLAR MAPPING'!C569, "'.", CHAR(10),
"Saya memiliki Tone of Voice: '", 'CONTENT PILLAR MAPPING'!C574, "', Brand Archetype: '", 'CONTENT PILLAR MAPPING'!D574, "', dan Deskripsi Gaya Komunikasi: '", 'CONTENT PILLAR MAPPING'!E574, "'.", CHAR(10),
"Target audiens saya adalah: '", 'CONTENT PILLAR MAPPING'!D582, "', dengan segmentasi audiens: '", 'CONTENT PILLAR MAPPING'!D583, "'.", CHAR(10), CHAR(10),
"Mohon buatkan script konten yang **sangat powerful, menarik, inovatif, dan siap pakai** dengan judul ide '", B664, "'.", CHAR(10),
"Konten ini memiliki pilar '", C664, "', nilai tambah utama '", F664, "', dan akan menggunakan storytelling framework '", G664, "'.", CHAR(10),
"Gambaran singkat ide kontennya adalah: '", J664, "'.", CHAR(10),
"Konten ini akan diunggah di platform '", E664, "' dengan format '", D664,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MAPPING'!C569, "'.** Sesuaikan dengan gaya komunikasi saya, dengan fokus pada nilai tambah '", F664,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MAPPING'!D582, ", khusus ", 'CONTENT PILLAR MAPPING'!D583, ") dan membantu mereka menyelesaikan masalah atau mencapai tujuan mereka.", CHAR(10),
"✔ Membantuku membangun personal branding yang kuat dan sustainable, sesuai dengan Positioning saya sebagai '", 'CONTENT PILLAR MAPPING'!C569, "' dan Brand Archetype '", 'CONTENT PILLAR MAPPING'!D574, "'.", CHAR(10),
"✔ Kemas dalam bentuk tabel agar rapi, mudah di baca dan dipahami, dengan kolom 'Judul Konten', 'Pilar', 'Format', 'Draft Script', 'CTA', 'Saran Visual', dan 'Full Caption'. (Kosongkan kolom Link Prompt jika ada)."
),
"")</f>
        <v/>
      </c>
      <c r="L664" s="199" t="n"/>
      <c r="M664" s="199" t="n"/>
      <c r="N664" s="102" t="n"/>
      <c r="O664" s="102" t="n"/>
      <c r="P664" s="102" t="n"/>
      <c r="Q664" s="102" t="n"/>
      <c r="R664" s="102" t="n"/>
      <c r="S664" s="102" t="n"/>
      <c r="T664" s="102" t="n"/>
      <c r="U664" s="102" t="n"/>
      <c r="V664" s="102" t="n"/>
      <c r="W664" s="102" t="n"/>
      <c r="X664" s="102" t="n"/>
      <c r="Y664" s="102" t="n"/>
      <c r="Z664" s="102" t="n"/>
      <c r="AA664" s="102" t="n"/>
      <c r="AB664" s="102" t="n"/>
      <c r="AC664" s="102" t="n"/>
      <c r="AD664" s="102" t="n"/>
    </row>
    <row r="665" ht="15.75" customHeight="1" s="205">
      <c r="A665" s="102" t="n"/>
      <c r="B665" s="142" t="n"/>
      <c r="C665" s="143" t="n"/>
      <c r="D665" s="143" t="n"/>
      <c r="E665" s="143" t="n"/>
      <c r="F665" s="143" t="n"/>
      <c r="G665" s="144" t="n"/>
      <c r="H665" s="145">
        <f>IF(K665&lt;&gt;"", HYPERLINK("https://chatgpt.com/?prompt=" &amp; SUBSTITUTE(SUBSTITUTE(K665, " ", "+"), "&amp;", "dan") &amp; "&amp;force-refresh=true&amp;timestamp=" &amp; TEXT(NOW(), "yyyymmddhhmmss"), "👉 Klik untuk Generate Script! 🔥"), "")</f>
        <v/>
      </c>
      <c r="I665" s="143" t="n"/>
      <c r="J665" s="146" t="n"/>
      <c r="K665" s="130">
        <f>IF(AND(B665&lt;&gt;"", C665&lt;&gt;"", D665&lt;&gt;"", E665&lt;&gt;"", F665&lt;&gt;"", G665&lt;&gt;"", J665&lt;&gt;"", 'CONTENT PILLAR MAPPING'!C568&lt;&gt;"", 'CONTENT PILLAR MAPPING'!E568&lt;&gt;"", 'CONTENT PILLAR MAPPING'!F568&lt;&gt;"", 'CONTENT PILLAR MAPPING'!C571&lt;&gt;"", 'CONTENT PILLAR MAPPING'!C576&lt;&gt;"", 'CONTENT PILLAR MAPPING'!D576&lt;&gt;"", 'CONTENT PILLAR MAPPING'!E576&lt;&gt;"", 'CONTENT PILLAR MAPPING'!D584&lt;&gt;"", 'CONTENT PILLAR MAPPING'!D585&lt;&gt;""),
CONCATENATE(
"Sebagai seorang top konten kreator dengan niche utama '", 'CONTENT PILLAR MAPPING'!C568, "', spesifik kategori '", 'CONTENT PILLAR MAPPING'!E568, "', dan super spesifik '", 'CONTENT PILLAR MAPPING'!F568, "', yang dikenal sebagai '", 'CONTENT PILLAR MAPPING'!C571, "'.", CHAR(10),
"Saya memiliki Tone of Voice: '", 'CONTENT PILLAR MAPPING'!C576, "', Brand Archetype: '", 'CONTENT PILLAR MAPPING'!D576, "', dan Deskripsi Gaya Komunikasi: '", 'CONTENT PILLAR MAPPING'!E576, "'.", CHAR(10),
"Target audiens saya adalah: '", 'CONTENT PILLAR MAPPING'!D584, "', dengan segmentasi audiens: '", 'CONTENT PILLAR MAPPING'!D585, "'.", CHAR(10), CHAR(10),
"Mohon buatkan script konten yang **sangat powerful, menarik, inovatif, dan siap pakai** dengan judul ide '", B665, "'.", CHAR(10),
"Konten ini memiliki pilar '", C665, "', nilai tambah utama '", F665, "', dan akan menggunakan storytelling framework '", G665, "'.", CHAR(10),
"Gambaran singkat ide kontennya adalah: '", J665, "'.", CHAR(10),
"Konten ini akan diunggah di platform '", E665, "' dengan format '", D665,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MAPPING'!C571, "'.** Sesuaikan dengan gaya komunikasi saya, dengan fokus pada nilai tambah '", F665,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MAPPING'!D584, ", khusus ", 'CONTENT PILLAR MAPPING'!D585, ") dan membantu mereka menyelesaikan masalah atau mencapai tujuan mereka.", CHAR(10),
"✔ Membantuku membangun personal branding yang kuat dan sustainable, sesuai dengan Positioning saya sebagai '", 'CONTENT PILLAR MAPPING'!C571, "' dan Brand Archetype '", 'CONTENT PILLAR MAPPING'!D576, "'.", CHAR(10),
"✔ Kemas dalam bentuk tabel agar rapi, mudah di baca dan dipahami, dengan kolom 'Judul Konten', 'Pilar', 'Format', 'Draft Script', 'CTA', 'Saran Visual', dan 'Full Caption'. (Kosongkan kolom Link Prompt jika ada)."
),
"")</f>
        <v/>
      </c>
      <c r="L665" s="91" t="n"/>
      <c r="M665" s="91" t="n"/>
      <c r="N665" s="102" t="n"/>
      <c r="O665" s="102" t="n"/>
      <c r="P665" s="102" t="n"/>
      <c r="Q665" s="102" t="n"/>
      <c r="R665" s="102" t="n"/>
      <c r="S665" s="102" t="n"/>
      <c r="T665" s="102" t="n"/>
      <c r="U665" s="102" t="n"/>
      <c r="V665" s="102" t="n"/>
      <c r="W665" s="102" t="n"/>
      <c r="X665" s="102" t="n"/>
      <c r="Y665" s="102" t="n"/>
      <c r="Z665" s="102" t="n"/>
      <c r="AA665" s="102" t="n"/>
      <c r="AB665" s="102" t="n"/>
      <c r="AC665" s="102" t="n"/>
      <c r="AD665" s="102" t="n"/>
    </row>
    <row r="666" ht="15.75" customHeight="1" s="205">
      <c r="A666" s="102" t="n"/>
      <c r="B666" s="147" t="n"/>
      <c r="C666" s="144" t="n"/>
      <c r="D666" s="144" t="n"/>
      <c r="E666" s="144" t="n"/>
      <c r="F666" s="144" t="n"/>
      <c r="G666" s="144" t="n"/>
      <c r="H666" s="141">
        <f>IF(K666&lt;&gt;"", HYPERLINK("https://chatgpt.com/?prompt=" &amp; SUBSTITUTE(SUBSTITUTE(K666, " ", "+"), "&amp;", "dan") &amp; "&amp;force-refresh=true&amp;timestamp=" &amp; TEXT(NOW(), "yyyymmddhhmmss"), "👉 Klik untuk Generate Script! 🔥"), "")</f>
        <v/>
      </c>
      <c r="I666" s="144" t="n"/>
      <c r="J666" s="148" t="n"/>
      <c r="K666" s="140">
        <f>IF(AND(B666&lt;&gt;"", C666&lt;&gt;"", D666&lt;&gt;"", E666&lt;&gt;"", F666&lt;&gt;"", G666&lt;&gt;"", J666&lt;&gt;"", 'CONTENT PILLAR MAPPING'!C568&lt;&gt;"", 'CONTENT PILLAR MAPPING'!E568&lt;&gt;"", 'CONTENT PILLAR MAPPING'!F568&lt;&gt;"", 'CONTENT PILLAR MAPPING'!C571&lt;&gt;"", 'CONTENT PILLAR MAPPING'!C576&lt;&gt;"", 'CONTENT PILLAR MAPPING'!D576&lt;&gt;"", 'CONTENT PILLAR MAPPING'!E576&lt;&gt;"", 'CONTENT PILLAR MAPPING'!D584&lt;&gt;"", 'CONTENT PILLAR MAPPING'!D585&lt;&gt;""),
CONCATENATE(
"Sebagai seorang top konten kreator dengan niche utama '", 'CONTENT PILLAR MAPPING'!C568, "', spesifik kategori '", 'CONTENT PILLAR MAPPING'!E568, "', dan super spesifik '", 'CONTENT PILLAR MAPPING'!F568, "', yang dikenal sebagai '", 'CONTENT PILLAR MAPPING'!C571, "'.", CHAR(10),
"Saya memiliki Tone of Voice: '", 'CONTENT PILLAR MAPPING'!C576, "', Brand Archetype: '", 'CONTENT PILLAR MAPPING'!D576, "', dan Deskripsi Gaya Komunikasi: '", 'CONTENT PILLAR MAPPING'!E576, "'.", CHAR(10),
"Target audiens saya adalah: '", 'CONTENT PILLAR MAPPING'!D584, "', dengan segmentasi audiens: '", 'CONTENT PILLAR MAPPING'!D585, "'.", CHAR(10), CHAR(10),
"Mohon buatkan script konten yang **sangat powerful, menarik, inovatif, dan siap pakai** dengan judul ide '", B666, "'.", CHAR(10),
"Konten ini memiliki pilar '", C666, "', nilai tambah utama '", F666, "', dan akan menggunakan storytelling framework '", G666, "'.", CHAR(10),
"Gambaran singkat ide kontennya adalah: '", J666, "'.", CHAR(10),
"Konten ini akan diunggah di platform '", E666, "' dengan format '", D666,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MAPPING'!C571, "'.** Sesuaikan dengan gaya komunikasi saya, dengan fokus pada nilai tambah '", F666,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MAPPING'!D584, ", khusus ", 'CONTENT PILLAR MAPPING'!D585, ") dan membantu mereka menyelesaikan masalah atau mencapai tujuan mereka.", CHAR(10),
"✔ Membantuku membangun personal branding yang kuat dan sustainable, sesuai dengan Positioning saya sebagai '", 'CONTENT PILLAR MAPPING'!C571, "' dan Brand Archetype '", 'CONTENT PILLAR MAPPING'!D576, "'.", CHAR(10),
"✔ Kemas dalam bentuk tabel agar rapi, mudah di baca dan dipahami, dengan kolom 'Judul Konten', 'Pilar', 'Format', 'Draft Script', 'CTA', 'Saran Visual', dan 'Full Caption'. (Kosongkan kolom Link Prompt jika ada)."
),
"")</f>
        <v/>
      </c>
      <c r="L666" s="199" t="n"/>
      <c r="M666" s="199" t="n"/>
      <c r="N666" s="102" t="n"/>
      <c r="O666" s="102" t="n"/>
      <c r="P666" s="102" t="n"/>
      <c r="Q666" s="102" t="n"/>
      <c r="R666" s="102" t="n"/>
      <c r="S666" s="102" t="n"/>
      <c r="T666" s="102" t="n"/>
      <c r="U666" s="102" t="n"/>
      <c r="V666" s="102" t="n"/>
      <c r="W666" s="102" t="n"/>
      <c r="X666" s="102" t="n"/>
      <c r="Y666" s="102" t="n"/>
      <c r="Z666" s="102" t="n"/>
      <c r="AA666" s="102" t="n"/>
      <c r="AB666" s="102" t="n"/>
      <c r="AC666" s="102" t="n"/>
      <c r="AD666" s="102" t="n"/>
    </row>
    <row r="667" ht="15.75" customHeight="1" s="205">
      <c r="A667" s="102" t="n"/>
      <c r="B667" s="142" t="n"/>
      <c r="C667" s="143" t="n"/>
      <c r="D667" s="143" t="n"/>
      <c r="E667" s="143" t="n"/>
      <c r="F667" s="143" t="n"/>
      <c r="G667" s="144" t="n"/>
      <c r="H667" s="145">
        <f>IF(K667&lt;&gt;"", HYPERLINK("https://chatgpt.com/?prompt=" &amp; SUBSTITUTE(SUBSTITUTE(K667, " ", "+"), "&amp;", "dan") &amp; "&amp;force-refresh=true&amp;timestamp=" &amp; TEXT(NOW(), "yyyymmddhhmmss"), "👉 Klik untuk Generate Script! 🔥"), "")</f>
        <v/>
      </c>
      <c r="I667" s="143" t="n"/>
      <c r="J667" s="146" t="n"/>
      <c r="K667" s="130">
        <f>IF(AND(B667&lt;&gt;"", C667&lt;&gt;"", D667&lt;&gt;"", E667&lt;&gt;"", F667&lt;&gt;"", G667&lt;&gt;"", J667&lt;&gt;"", 'CONTENT PILLAR MAPPING'!C570&lt;&gt;"", 'CONTENT PILLAR MAPPING'!E570&lt;&gt;"", 'CONTENT PILLAR MAPPING'!F570&lt;&gt;"", 'CONTENT PILLAR MAPPING'!C573&lt;&gt;"", 'CONTENT PILLAR MAPPING'!C578&lt;&gt;"", 'CONTENT PILLAR MAPPING'!D578&lt;&gt;"", 'CONTENT PILLAR MAPPING'!E578&lt;&gt;"", 'CONTENT PILLAR MAPPING'!D586&lt;&gt;"", 'CONTENT PILLAR MAPPING'!D587&lt;&gt;""),
CONCATENATE(
"Sebagai seorang top konten kreator dengan niche utama '", 'CONTENT PILLAR MAPPING'!C570, "', spesifik kategori '", 'CONTENT PILLAR MAPPING'!E570, "', dan super spesifik '", 'CONTENT PILLAR MAPPING'!F570, "', yang dikenal sebagai '", 'CONTENT PILLAR MAPPING'!C573, "'.", CHAR(10),
"Saya memiliki Tone of Voice: '", 'CONTENT PILLAR MAPPING'!C578, "', Brand Archetype: '", 'CONTENT PILLAR MAPPING'!D578, "', dan Deskripsi Gaya Komunikasi: '", 'CONTENT PILLAR MAPPING'!E578, "'.", CHAR(10),
"Target audiens saya adalah: '", 'CONTENT PILLAR MAPPING'!D586, "', dengan segmentasi audiens: '", 'CONTENT PILLAR MAPPING'!D587, "'.", CHAR(10), CHAR(10),
"Mohon buatkan script konten yang **sangat powerful, menarik, inovatif, dan siap pakai** dengan judul ide '", B667, "'.", CHAR(10),
"Konten ini memiliki pilar '", C667, "', nilai tambah utama '", F667, "', dan akan menggunakan storytelling framework '", G667, "'.", CHAR(10),
"Gambaran singkat ide kontennya adalah: '", J667, "'.", CHAR(10),
"Konten ini akan diunggah di platform '", E667, "' dengan format '", D667,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MAPPING'!C573, "'.** Sesuaikan dengan gaya komunikasi saya, dengan fokus pada nilai tambah '", F667,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MAPPING'!D586, ", khusus ", 'CONTENT PILLAR MAPPING'!D587, ") dan membantu mereka menyelesaikan masalah atau mencapai tujuan mereka.", CHAR(10),
"✔ Membantuku membangun personal branding yang kuat dan sustainable, sesuai dengan Positioning saya sebagai '", 'CONTENT PILLAR MAPPING'!C573, "' dan Brand Archetype '", 'CONTENT PILLAR MAPPING'!D578, "'.", CHAR(10),
"✔ Kemas dalam bentuk tabel agar rapi, mudah di baca dan dipahami, dengan kolom 'Judul Konten', 'Pilar', 'Format', 'Draft Script', 'CTA', 'Saran Visual', dan 'Full Caption'. (Kosongkan kolom Link Prompt jika ada)."
),
"")</f>
        <v/>
      </c>
      <c r="L667" s="91" t="n"/>
      <c r="M667" s="91" t="n"/>
      <c r="N667" s="102" t="n"/>
      <c r="O667" s="102" t="n"/>
      <c r="P667" s="102" t="n"/>
      <c r="Q667" s="102" t="n"/>
      <c r="R667" s="102" t="n"/>
      <c r="S667" s="102" t="n"/>
      <c r="T667" s="102" t="n"/>
      <c r="U667" s="102" t="n"/>
      <c r="V667" s="102" t="n"/>
      <c r="W667" s="102" t="n"/>
      <c r="X667" s="102" t="n"/>
      <c r="Y667" s="102" t="n"/>
      <c r="Z667" s="102" t="n"/>
      <c r="AA667" s="102" t="n"/>
      <c r="AB667" s="102" t="n"/>
      <c r="AC667" s="102" t="n"/>
      <c r="AD667" s="102" t="n"/>
    </row>
    <row r="668" ht="15.75" customHeight="1" s="205">
      <c r="A668" s="102" t="n"/>
      <c r="B668" s="147" t="n"/>
      <c r="C668" s="144" t="n"/>
      <c r="D668" s="144" t="n"/>
      <c r="E668" s="144" t="n"/>
      <c r="F668" s="144" t="n"/>
      <c r="G668" s="144" t="n"/>
      <c r="H668" s="141">
        <f>IF(K668&lt;&gt;"", HYPERLINK("https://chatgpt.com/?prompt=" &amp; SUBSTITUTE(SUBSTITUTE(K668, " ", "+"), "&amp;", "dan") &amp; "&amp;force-refresh=true&amp;timestamp=" &amp; TEXT(NOW(), "yyyymmddhhmmss"), "👉 Klik untuk Generate Script! 🔥"), "")</f>
        <v/>
      </c>
      <c r="I668" s="144" t="n"/>
      <c r="J668" s="148" t="n"/>
      <c r="K668" s="140">
        <f>IF(AND(B668&lt;&gt;"", C668&lt;&gt;"", D668&lt;&gt;"", E668&lt;&gt;"", F668&lt;&gt;"", G668&lt;&gt;"", J668&lt;&gt;"", 'CONTENT PILLAR MAPPING'!C570&lt;&gt;"", 'CONTENT PILLAR MAPPING'!E570&lt;&gt;"", 'CONTENT PILLAR MAPPING'!F570&lt;&gt;"", 'CONTENT PILLAR MAPPING'!C573&lt;&gt;"", 'CONTENT PILLAR MAPPING'!C578&lt;&gt;"", 'CONTENT PILLAR MAPPING'!D578&lt;&gt;"", 'CONTENT PILLAR MAPPING'!E578&lt;&gt;"", 'CONTENT PILLAR MAPPING'!D586&lt;&gt;"", 'CONTENT PILLAR MAPPING'!D587&lt;&gt;""),
CONCATENATE(
"Sebagai seorang top konten kreator dengan niche utama '", 'CONTENT PILLAR MAPPING'!C570, "', spesifik kategori '", 'CONTENT PILLAR MAPPING'!E570, "', dan super spesifik '", 'CONTENT PILLAR MAPPING'!F570, "', yang dikenal sebagai '", 'CONTENT PILLAR MAPPING'!C573, "'.", CHAR(10),
"Saya memiliki Tone of Voice: '", 'CONTENT PILLAR MAPPING'!C578, "', Brand Archetype: '", 'CONTENT PILLAR MAPPING'!D578, "', dan Deskripsi Gaya Komunikasi: '", 'CONTENT PILLAR MAPPING'!E578, "'.", CHAR(10),
"Target audiens saya adalah: '", 'CONTENT PILLAR MAPPING'!D586, "', dengan segmentasi audiens: '", 'CONTENT PILLAR MAPPING'!D587, "'.", CHAR(10), CHAR(10),
"Mohon buatkan script konten yang **sangat powerful, menarik, inovatif, dan siap pakai** dengan judul ide '", B668, "'.", CHAR(10),
"Konten ini memiliki pilar '", C668, "', nilai tambah utama '", F668, "', dan akan menggunakan storytelling framework '", G668, "'.", CHAR(10),
"Gambaran singkat ide kontennya adalah: '", J668, "'.", CHAR(10),
"Konten ini akan diunggah di platform '", E668, "' dengan format '", D668,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MAPPING'!C573, "'.** Sesuaikan dengan gaya komunikasi saya, dengan fokus pada nilai tambah '", F668,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MAPPING'!D586, ", khusus ", 'CONTENT PILLAR MAPPING'!D587, ") dan membantu mereka menyelesaikan masalah atau mencapai tujuan mereka.", CHAR(10),
"✔ Membantuku membangun personal branding yang kuat dan sustainable, sesuai dengan Positioning saya sebagai '", 'CONTENT PILLAR MAPPING'!C573, "' dan Brand Archetype '", 'CONTENT PILLAR MAPPING'!D578, "'.", CHAR(10),
"✔ Kemas dalam bentuk tabel agar rapi, mudah di baca dan dipahami, dengan kolom 'Judul Konten', 'Pilar', 'Format', 'Draft Script', 'CTA', 'Saran Visual', dan 'Full Caption'. (Kosongkan kolom Link Prompt jika ada)."
),
"")</f>
        <v/>
      </c>
      <c r="L668" s="199" t="n"/>
      <c r="M668" s="199" t="n"/>
      <c r="N668" s="102" t="n"/>
      <c r="O668" s="102" t="n"/>
      <c r="P668" s="102" t="n"/>
      <c r="Q668" s="102" t="n"/>
      <c r="R668" s="102" t="n"/>
      <c r="S668" s="102" t="n"/>
      <c r="T668" s="102" t="n"/>
      <c r="U668" s="102" t="n"/>
      <c r="V668" s="102" t="n"/>
      <c r="W668" s="102" t="n"/>
      <c r="X668" s="102" t="n"/>
      <c r="Y668" s="102" t="n"/>
      <c r="Z668" s="102" t="n"/>
      <c r="AA668" s="102" t="n"/>
      <c r="AB668" s="102" t="n"/>
      <c r="AC668" s="102" t="n"/>
      <c r="AD668" s="102" t="n"/>
    </row>
    <row r="669" ht="15.75" customHeight="1" s="205">
      <c r="A669" s="102" t="n"/>
      <c r="B669" s="142" t="n"/>
      <c r="C669" s="143" t="n"/>
      <c r="D669" s="143" t="n"/>
      <c r="E669" s="143" t="n"/>
      <c r="F669" s="143" t="n"/>
      <c r="G669" s="144" t="n"/>
      <c r="H669" s="145">
        <f>IF(K669&lt;&gt;"", HYPERLINK("https://chatgpt.com/?prompt=" &amp; SUBSTITUTE(SUBSTITUTE(K669, " ", "+"), "&amp;", "dan") &amp; "&amp;force-refresh=true&amp;timestamp=" &amp; TEXT(NOW(), "yyyymmddhhmmss"), "👉 Klik untuk Generate Script! 🔥"), "")</f>
        <v/>
      </c>
      <c r="I669" s="143" t="n"/>
      <c r="J669" s="146" t="n"/>
      <c r="K669" s="130">
        <f>IF(AND(B669&lt;&gt;"", C669&lt;&gt;"", D669&lt;&gt;"", E669&lt;&gt;"", F669&lt;&gt;"", G669&lt;&gt;"", J669&lt;&gt;"", 'CONTENT PILLAR MAPPING'!C572&lt;&gt;"", 'CONTENT PILLAR MAPPING'!E572&lt;&gt;"", 'CONTENT PILLAR MAPPING'!F572&lt;&gt;"", 'CONTENT PILLAR MAPPING'!C575&lt;&gt;"", 'CONTENT PILLAR MAPPING'!C580&lt;&gt;"", 'CONTENT PILLAR MAPPING'!D580&lt;&gt;"", 'CONTENT PILLAR MAPPING'!E580&lt;&gt;"", 'CONTENT PILLAR MAPPING'!D588&lt;&gt;"", 'CONTENT PILLAR MAPPING'!D589&lt;&gt;""),
CONCATENATE(
"Sebagai seorang top konten kreator dengan niche utama '", 'CONTENT PILLAR MAPPING'!C572, "', spesifik kategori '", 'CONTENT PILLAR MAPPING'!E572, "', dan super spesifik '", 'CONTENT PILLAR MAPPING'!F572, "', yang dikenal sebagai '", 'CONTENT PILLAR MAPPING'!C575, "'.", CHAR(10),
"Saya memiliki Tone of Voice: '", 'CONTENT PILLAR MAPPING'!C580, "', Brand Archetype: '", 'CONTENT PILLAR MAPPING'!D580, "', dan Deskripsi Gaya Komunikasi: '", 'CONTENT PILLAR MAPPING'!E580, "'.", CHAR(10),
"Target audiens saya adalah: '", 'CONTENT PILLAR MAPPING'!D588, "', dengan segmentasi audiens: '", 'CONTENT PILLAR MAPPING'!D589, "'.", CHAR(10), CHAR(10),
"Mohon buatkan script konten yang **sangat powerful, menarik, inovatif, dan siap pakai** dengan judul ide '", B669, "'.", CHAR(10),
"Konten ini memiliki pilar '", C669, "', nilai tambah utama '", F669, "', dan akan menggunakan storytelling framework '", G669, "'.", CHAR(10),
"Gambaran singkat ide kontennya adalah: '", J669, "'.", CHAR(10),
"Konten ini akan diunggah di platform '", E669, "' dengan format '", D669,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MAPPING'!C575, "'.** Sesuaikan dengan gaya komunikasi saya, dengan fokus pada nilai tambah '", F669,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MAPPING'!D588, ", khusus ", 'CONTENT PILLAR MAPPING'!D589, ") dan membantu mereka menyelesaikan masalah atau mencapai tujuan mereka.", CHAR(10),
"✔ Membantuku membangun personal branding yang kuat dan sustainable, sesuai dengan Positioning saya sebagai '", 'CONTENT PILLAR MAPPING'!C575, "' dan Brand Archetype '", 'CONTENT PILLAR MAPPING'!D580, "'.", CHAR(10),
"✔ Kemas dalam bentuk tabel agar rapi, mudah di baca dan dipahami, dengan kolom 'Judul Konten', 'Pilar', 'Format', 'Draft Script', 'CTA', 'Saran Visual', dan 'Full Caption'. (Kosongkan kolom Link Prompt jika ada)."
),
"")</f>
        <v/>
      </c>
      <c r="L669" s="91" t="n"/>
      <c r="M669" s="91" t="n"/>
      <c r="N669" s="102" t="n"/>
      <c r="O669" s="102" t="n"/>
      <c r="P669" s="102" t="n"/>
      <c r="Q669" s="102" t="n"/>
      <c r="R669" s="102" t="n"/>
      <c r="S669" s="102" t="n"/>
      <c r="T669" s="102" t="n"/>
      <c r="U669" s="102" t="n"/>
      <c r="V669" s="102" t="n"/>
      <c r="W669" s="102" t="n"/>
      <c r="X669" s="102" t="n"/>
      <c r="Y669" s="102" t="n"/>
      <c r="Z669" s="102" t="n"/>
      <c r="AA669" s="102" t="n"/>
      <c r="AB669" s="102" t="n"/>
      <c r="AC669" s="102" t="n"/>
      <c r="AD669" s="102" t="n"/>
    </row>
    <row r="670" ht="15.75" customHeight="1" s="205">
      <c r="A670" s="102" t="n"/>
      <c r="B670" s="147" t="n"/>
      <c r="C670" s="144" t="n"/>
      <c r="D670" s="144" t="n"/>
      <c r="E670" s="144" t="n"/>
      <c r="F670" s="144" t="n"/>
      <c r="G670" s="144" t="n"/>
      <c r="H670" s="141">
        <f>IF(K670&lt;&gt;"", HYPERLINK("https://chatgpt.com/?prompt=" &amp; SUBSTITUTE(SUBSTITUTE(K670, " ", "+"), "&amp;", "dan") &amp; "&amp;force-refresh=true&amp;timestamp=" &amp; TEXT(NOW(), "yyyymmddhhmmss"), "👉 Klik untuk Generate Script! 🔥"), "")</f>
        <v/>
      </c>
      <c r="I670" s="144" t="n"/>
      <c r="J670" s="148" t="n"/>
      <c r="K670" s="140">
        <f>IF(AND(B670&lt;&gt;"", C670&lt;&gt;"", D670&lt;&gt;"", E670&lt;&gt;"", F670&lt;&gt;"", G670&lt;&gt;"", J670&lt;&gt;"", 'CONTENT PILLAR MAPPING'!C572&lt;&gt;"", 'CONTENT PILLAR MAPPING'!E572&lt;&gt;"", 'CONTENT PILLAR MAPPING'!F572&lt;&gt;"", 'CONTENT PILLAR MAPPING'!C575&lt;&gt;"", 'CONTENT PILLAR MAPPING'!C580&lt;&gt;"", 'CONTENT PILLAR MAPPING'!D580&lt;&gt;"", 'CONTENT PILLAR MAPPING'!E580&lt;&gt;"", 'CONTENT PILLAR MAPPING'!D588&lt;&gt;"", 'CONTENT PILLAR MAPPING'!D589&lt;&gt;""),
CONCATENATE(
"Sebagai seorang top konten kreator dengan niche utama '", 'CONTENT PILLAR MAPPING'!C572, "', spesifik kategori '", 'CONTENT PILLAR MAPPING'!E572, "', dan super spesifik '", 'CONTENT PILLAR MAPPING'!F572, "', yang dikenal sebagai '", 'CONTENT PILLAR MAPPING'!C575, "'.", CHAR(10),
"Saya memiliki Tone of Voice: '", 'CONTENT PILLAR MAPPING'!C580, "', Brand Archetype: '", 'CONTENT PILLAR MAPPING'!D580, "', dan Deskripsi Gaya Komunikasi: '", 'CONTENT PILLAR MAPPING'!E580, "'.", CHAR(10),
"Target audiens saya adalah: '", 'CONTENT PILLAR MAPPING'!D588, "', dengan segmentasi audiens: '", 'CONTENT PILLAR MAPPING'!D589, "'.", CHAR(10), CHAR(10),
"Mohon buatkan script konten yang **sangat powerful, menarik, inovatif, dan siap pakai** dengan judul ide '", B670, "'.", CHAR(10),
"Konten ini memiliki pilar '", C670, "', nilai tambah utama '", F670, "', dan akan menggunakan storytelling framework '", G670, "'.", CHAR(10),
"Gambaran singkat ide kontennya adalah: '", J670, "'.", CHAR(10),
"Konten ini akan diunggah di platform '", E670, "' dengan format '", D670,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MAPPING'!C575, "'.** Sesuaikan dengan gaya komunikasi saya, dengan fokus pada nilai tambah '", F670,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MAPPING'!D588, ", khusus ", 'CONTENT PILLAR MAPPING'!D589, ") dan membantu mereka menyelesaikan masalah atau mencapai tujuan mereka.", CHAR(10),
"✔ Membantuku membangun personal branding yang kuat dan sustainable, sesuai dengan Positioning saya sebagai '", 'CONTENT PILLAR MAPPING'!C575, "' dan Brand Archetype '", 'CONTENT PILLAR MAPPING'!D580, "'.", CHAR(10),
"✔ Kemas dalam bentuk tabel agar rapi, mudah di baca dan dipahami, dengan kolom 'Judul Konten', 'Pilar', 'Format', 'Draft Script', 'CTA', 'Saran Visual', dan 'Full Caption'. (Kosongkan kolom Link Prompt jika ada)."
),
"")</f>
        <v/>
      </c>
      <c r="L670" s="199" t="n"/>
      <c r="M670" s="199" t="n"/>
      <c r="N670" s="102" t="n"/>
      <c r="O670" s="102" t="n"/>
      <c r="P670" s="102" t="n"/>
      <c r="Q670" s="102" t="n"/>
      <c r="R670" s="102" t="n"/>
      <c r="S670" s="102" t="n"/>
      <c r="T670" s="102" t="n"/>
      <c r="U670" s="102" t="n"/>
      <c r="V670" s="102" t="n"/>
      <c r="W670" s="102" t="n"/>
      <c r="X670" s="102" t="n"/>
      <c r="Y670" s="102" t="n"/>
      <c r="Z670" s="102" t="n"/>
      <c r="AA670" s="102" t="n"/>
      <c r="AB670" s="102" t="n"/>
      <c r="AC670" s="102" t="n"/>
      <c r="AD670" s="102" t="n"/>
    </row>
    <row r="671" ht="15.75" customHeight="1" s="205">
      <c r="A671" s="102" t="n"/>
      <c r="B671" s="142" t="n"/>
      <c r="C671" s="143" t="n"/>
      <c r="D671" s="143" t="n"/>
      <c r="E671" s="143" t="n"/>
      <c r="F671" s="143" t="n"/>
      <c r="G671" s="144" t="n"/>
      <c r="H671" s="145">
        <f>IF(K671&lt;&gt;"", HYPERLINK("https://chatgpt.com/?prompt=" &amp; SUBSTITUTE(SUBSTITUTE(K671, " ", "+"), "&amp;", "dan") &amp; "&amp;force-refresh=true&amp;timestamp=" &amp; TEXT(NOW(), "yyyymmddhhmmss"), "👉 Klik untuk Generate Script! 🔥"), "")</f>
        <v/>
      </c>
      <c r="I671" s="143" t="n"/>
      <c r="J671" s="146" t="n"/>
      <c r="K671" s="130">
        <f>IF(AND(B671&lt;&gt;"", C671&lt;&gt;"", D671&lt;&gt;"", E671&lt;&gt;"", F671&lt;&gt;"", G671&lt;&gt;"", J671&lt;&gt;"", 'CONTENT PILLAR MAPPING'!C574&lt;&gt;"", 'CONTENT PILLAR MAPPING'!E574&lt;&gt;"", 'CONTENT PILLAR MAPPING'!F574&lt;&gt;"", 'CONTENT PILLAR MAPPING'!C577&lt;&gt;"", 'CONTENT PILLAR MAPPING'!C582&lt;&gt;"", 'CONTENT PILLAR MAPPING'!D582&lt;&gt;"", 'CONTENT PILLAR MAPPING'!E582&lt;&gt;"", 'CONTENT PILLAR MAPPING'!D590&lt;&gt;"", 'CONTENT PILLAR MAPPING'!D591&lt;&gt;""),
CONCATENATE(
"Sebagai seorang top konten kreator dengan niche utama '", 'CONTENT PILLAR MAPPING'!C574, "', spesifik kategori '", 'CONTENT PILLAR MAPPING'!E574, "', dan super spesifik '", 'CONTENT PILLAR MAPPING'!F574, "', yang dikenal sebagai '", 'CONTENT PILLAR MAPPING'!C577, "'.", CHAR(10),
"Saya memiliki Tone of Voice: '", 'CONTENT PILLAR MAPPING'!C582, "', Brand Archetype: '", 'CONTENT PILLAR MAPPING'!D582, "', dan Deskripsi Gaya Komunikasi: '", 'CONTENT PILLAR MAPPING'!E582, "'.", CHAR(10),
"Target audiens saya adalah: '", 'CONTENT PILLAR MAPPING'!D590, "', dengan segmentasi audiens: '", 'CONTENT PILLAR MAPPING'!D591, "'.", CHAR(10), CHAR(10),
"Mohon buatkan script konten yang **sangat powerful, menarik, inovatif, dan siap pakai** dengan judul ide '", B671, "'.", CHAR(10),
"Konten ini memiliki pilar '", C671, "', nilai tambah utama '", F671, "', dan akan menggunakan storytelling framework '", G671, "'.", CHAR(10),
"Gambaran singkat ide kontennya adalah: '", J671, "'.", CHAR(10),
"Konten ini akan diunggah di platform '", E671, "' dengan format '", D671,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MAPPING'!C577, "'.** Sesuaikan dengan gaya komunikasi saya, dengan fokus pada nilai tambah '", F671,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MAPPING'!D590, ", khusus ", 'CONTENT PILLAR MAPPING'!D591, ") dan membantu mereka menyelesaikan masalah atau mencapai tujuan mereka.", CHAR(10),
"✔ Membantuku membangun personal branding yang kuat dan sustainable, sesuai dengan Positioning saya sebagai '", 'CONTENT PILLAR MAPPING'!C577, "' dan Brand Archetype '", 'CONTENT PILLAR MAPPING'!D582, "'.", CHAR(10),
"✔ Kemas dalam bentuk tabel agar rapi, mudah di baca dan dipahami, dengan kolom 'Judul Konten', 'Pilar', 'Format', 'Draft Script', 'CTA', 'Saran Visual', dan 'Full Caption'. (Kosongkan kolom Link Prompt jika ada)."
),
"")</f>
        <v/>
      </c>
      <c r="L671" s="91" t="n"/>
      <c r="M671" s="91" t="n"/>
      <c r="N671" s="102" t="n"/>
      <c r="O671" s="102" t="n"/>
      <c r="P671" s="102" t="n"/>
      <c r="Q671" s="102" t="n"/>
      <c r="R671" s="102" t="n"/>
      <c r="S671" s="102" t="n"/>
      <c r="T671" s="102" t="n"/>
      <c r="U671" s="102" t="n"/>
      <c r="V671" s="102" t="n"/>
      <c r="W671" s="102" t="n"/>
      <c r="X671" s="102" t="n"/>
      <c r="Y671" s="102" t="n"/>
      <c r="Z671" s="102" t="n"/>
      <c r="AA671" s="102" t="n"/>
      <c r="AB671" s="102" t="n"/>
      <c r="AC671" s="102" t="n"/>
      <c r="AD671" s="102" t="n"/>
    </row>
    <row r="672" ht="15.75" customHeight="1" s="205">
      <c r="A672" s="102" t="n"/>
      <c r="B672" s="147" t="n"/>
      <c r="C672" s="144" t="n"/>
      <c r="D672" s="144" t="n"/>
      <c r="E672" s="144" t="n"/>
      <c r="F672" s="144" t="n"/>
      <c r="G672" s="144" t="n"/>
      <c r="H672" s="141">
        <f>IF(K672&lt;&gt;"", HYPERLINK("https://chatgpt.com/?prompt=" &amp; SUBSTITUTE(SUBSTITUTE(K672, " ", "+"), "&amp;", "dan") &amp; "&amp;force-refresh=true&amp;timestamp=" &amp; TEXT(NOW(), "yyyymmddhhmmss"), "👉 Klik untuk Generate Script! 🔥"), "")</f>
        <v/>
      </c>
      <c r="I672" s="144" t="n"/>
      <c r="J672" s="148" t="n"/>
      <c r="K672" s="140">
        <f>IF(AND(B672&lt;&gt;"", C672&lt;&gt;"", D672&lt;&gt;"", E672&lt;&gt;"", F672&lt;&gt;"", G672&lt;&gt;"", J672&lt;&gt;"", 'CONTENT PILLAR MAPPING'!C574&lt;&gt;"", 'CONTENT PILLAR MAPPING'!E574&lt;&gt;"", 'CONTENT PILLAR MAPPING'!F574&lt;&gt;"", 'CONTENT PILLAR MAPPING'!C577&lt;&gt;"", 'CONTENT PILLAR MAPPING'!C582&lt;&gt;"", 'CONTENT PILLAR MAPPING'!D582&lt;&gt;"", 'CONTENT PILLAR MAPPING'!E582&lt;&gt;"", 'CONTENT PILLAR MAPPING'!D590&lt;&gt;"", 'CONTENT PILLAR MAPPING'!D591&lt;&gt;""),
CONCATENATE(
"Sebagai seorang top konten kreator dengan niche utama '", 'CONTENT PILLAR MAPPING'!C574, "', spesifik kategori '", 'CONTENT PILLAR MAPPING'!E574, "', dan super spesifik '", 'CONTENT PILLAR MAPPING'!F574, "', yang dikenal sebagai '", 'CONTENT PILLAR MAPPING'!C577, "'.", CHAR(10),
"Saya memiliki Tone of Voice: '", 'CONTENT PILLAR MAPPING'!C582, "', Brand Archetype: '", 'CONTENT PILLAR MAPPING'!D582, "', dan Deskripsi Gaya Komunikasi: '", 'CONTENT PILLAR MAPPING'!E582, "'.", CHAR(10),
"Target audiens saya adalah: '", 'CONTENT PILLAR MAPPING'!D590, "', dengan segmentasi audiens: '", 'CONTENT PILLAR MAPPING'!D591, "'.", CHAR(10), CHAR(10),
"Mohon buatkan script konten yang **sangat powerful, menarik, inovatif, dan siap pakai** dengan judul ide '", B672, "'.", CHAR(10),
"Konten ini memiliki pilar '", C672, "', nilai tambah utama '", F672, "', dan akan menggunakan storytelling framework '", G672, "'.", CHAR(10),
"Gambaran singkat ide kontennya adalah: '", J672, "'.", CHAR(10),
"Konten ini akan diunggah di platform '", E672, "' dengan format '", D672,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MAPPING'!C577, "'.** Sesuaikan dengan gaya komunikasi saya, dengan fokus pada nilai tambah '", F672,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MAPPING'!D590, ", khusus ", 'CONTENT PILLAR MAPPING'!D591, ") dan membantu mereka menyelesaikan masalah atau mencapai tujuan mereka.", CHAR(10),
"✔ Membantuku membangun personal branding yang kuat dan sustainable, sesuai dengan Positioning saya sebagai '", 'CONTENT PILLAR MAPPING'!C577, "' dan Brand Archetype '", 'CONTENT PILLAR MAPPING'!D582, "'.", CHAR(10),
"✔ Kemas dalam bentuk tabel agar rapi, mudah di baca dan dipahami, dengan kolom 'Judul Konten', 'Pilar', 'Format', 'Draft Script', 'CTA', 'Saran Visual', dan 'Full Caption'. (Kosongkan kolom Link Prompt jika ada)."
),
"")</f>
        <v/>
      </c>
      <c r="L672" s="199" t="n"/>
      <c r="M672" s="199" t="n"/>
      <c r="N672" s="102" t="n"/>
      <c r="O672" s="102" t="n"/>
      <c r="P672" s="102" t="n"/>
      <c r="Q672" s="102" t="n"/>
      <c r="R672" s="102" t="n"/>
      <c r="S672" s="102" t="n"/>
      <c r="T672" s="102" t="n"/>
      <c r="U672" s="102" t="n"/>
      <c r="V672" s="102" t="n"/>
      <c r="W672" s="102" t="n"/>
      <c r="X672" s="102" t="n"/>
      <c r="Y672" s="102" t="n"/>
      <c r="Z672" s="102" t="n"/>
      <c r="AA672" s="102" t="n"/>
      <c r="AB672" s="102" t="n"/>
      <c r="AC672" s="102" t="n"/>
      <c r="AD672" s="102" t="n"/>
    </row>
    <row r="673" ht="15.75" customHeight="1" s="205">
      <c r="A673" s="102" t="n"/>
      <c r="B673" s="142" t="n"/>
      <c r="C673" s="143" t="n"/>
      <c r="D673" s="143" t="n"/>
      <c r="E673" s="143" t="n"/>
      <c r="F673" s="143" t="n"/>
      <c r="G673" s="144" t="n"/>
      <c r="H673" s="145">
        <f>IF(K673&lt;&gt;"", HYPERLINK("https://chatgpt.com/?prompt=" &amp; SUBSTITUTE(SUBSTITUTE(K673, " ", "+"), "&amp;", "dan") &amp; "&amp;force-refresh=true&amp;timestamp=" &amp; TEXT(NOW(), "yyyymmddhhmmss"), "👉 Klik untuk Generate Script! 🔥"), "")</f>
        <v/>
      </c>
      <c r="I673" s="143" t="n"/>
      <c r="J673" s="146" t="n"/>
      <c r="K673" s="130">
        <f>IF(AND(B673&lt;&gt;"", C673&lt;&gt;"", D673&lt;&gt;"", E673&lt;&gt;"", F673&lt;&gt;"", G673&lt;&gt;"", J673&lt;&gt;"", 'CONTENT PILLAR MAPPING'!C576&lt;&gt;"", 'CONTENT PILLAR MAPPING'!E576&lt;&gt;"", 'CONTENT PILLAR MAPPING'!F576&lt;&gt;"", 'CONTENT PILLAR MAPPING'!C579&lt;&gt;"", 'CONTENT PILLAR MAPPING'!C584&lt;&gt;"", 'CONTENT PILLAR MAPPING'!D584&lt;&gt;"", 'CONTENT PILLAR MAPPING'!E584&lt;&gt;"", 'CONTENT PILLAR MAPPING'!D592&lt;&gt;"", 'CONTENT PILLAR MAPPING'!D593&lt;&gt;""),
CONCATENATE(
"Sebagai seorang top konten kreator dengan niche utama '", 'CONTENT PILLAR MAPPING'!C576, "', spesifik kategori '", 'CONTENT PILLAR MAPPING'!E576, "', dan super spesifik '", 'CONTENT PILLAR MAPPING'!F576, "', yang dikenal sebagai '", 'CONTENT PILLAR MAPPING'!C579, "'.", CHAR(10),
"Saya memiliki Tone of Voice: '", 'CONTENT PILLAR MAPPING'!C584, "', Brand Archetype: '", 'CONTENT PILLAR MAPPING'!D584, "', dan Deskripsi Gaya Komunikasi: '", 'CONTENT PILLAR MAPPING'!E584, "'.", CHAR(10),
"Target audiens saya adalah: '", 'CONTENT PILLAR MAPPING'!D592, "', dengan segmentasi audiens: '", 'CONTENT PILLAR MAPPING'!D593, "'.", CHAR(10), CHAR(10),
"Mohon buatkan script konten yang **sangat powerful, menarik, inovatif, dan siap pakai** dengan judul ide '", B673, "'.", CHAR(10),
"Konten ini memiliki pilar '", C673, "', nilai tambah utama '", F673, "', dan akan menggunakan storytelling framework '", G673, "'.", CHAR(10),
"Gambaran singkat ide kontennya adalah: '", J673, "'.", CHAR(10),
"Konten ini akan diunggah di platform '", E673, "' dengan format '", D673,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MAPPING'!C579, "'.** Sesuaikan dengan gaya komunikasi saya, dengan fokus pada nilai tambah '", F673,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MAPPING'!D592, ", khusus ", 'CONTENT PILLAR MAPPING'!D593, ") dan membantu mereka menyelesaikan masalah atau mencapai tujuan mereka.", CHAR(10),
"✔ Membantuku membangun personal branding yang kuat dan sustainable, sesuai dengan Positioning saya sebagai '", 'CONTENT PILLAR MAPPING'!C579, "' dan Brand Archetype '", 'CONTENT PILLAR MAPPING'!D584, "'.", CHAR(10),
"✔ Kemas dalam bentuk tabel agar rapi, mudah di baca dan dipahami, dengan kolom 'Judul Konten', 'Pilar', 'Format', 'Draft Script', 'CTA', 'Saran Visual', dan 'Full Caption'. (Kosongkan kolom Link Prompt jika ada)."
),
"")</f>
        <v/>
      </c>
      <c r="L673" s="91" t="n"/>
      <c r="M673" s="91" t="n"/>
      <c r="N673" s="102" t="n"/>
      <c r="O673" s="102" t="n"/>
      <c r="P673" s="102" t="n"/>
      <c r="Q673" s="102" t="n"/>
      <c r="R673" s="102" t="n"/>
      <c r="S673" s="102" t="n"/>
      <c r="T673" s="102" t="n"/>
      <c r="U673" s="102" t="n"/>
      <c r="V673" s="102" t="n"/>
      <c r="W673" s="102" t="n"/>
      <c r="X673" s="102" t="n"/>
      <c r="Y673" s="102" t="n"/>
      <c r="Z673" s="102" t="n"/>
      <c r="AA673" s="102" t="n"/>
      <c r="AB673" s="102" t="n"/>
      <c r="AC673" s="102" t="n"/>
      <c r="AD673" s="102" t="n"/>
    </row>
    <row r="674" ht="15.75" customHeight="1" s="205">
      <c r="A674" s="102" t="n"/>
      <c r="B674" s="147" t="n"/>
      <c r="C674" s="144" t="n"/>
      <c r="D674" s="144" t="n"/>
      <c r="E674" s="144" t="n"/>
      <c r="F674" s="144" t="n"/>
      <c r="G674" s="144" t="n"/>
      <c r="H674" s="141">
        <f>IF(K674&lt;&gt;"", HYPERLINK("https://chatgpt.com/?prompt=" &amp; SUBSTITUTE(SUBSTITUTE(K674, " ", "+"), "&amp;", "dan") &amp; "&amp;force-refresh=true&amp;timestamp=" &amp; TEXT(NOW(), "yyyymmddhhmmss"), "👉 Klik untuk Generate Script! 🔥"), "")</f>
        <v/>
      </c>
      <c r="I674" s="144" t="n"/>
      <c r="J674" s="148" t="n"/>
      <c r="K674" s="140">
        <f>IF(AND(B674&lt;&gt;"", C674&lt;&gt;"", D674&lt;&gt;"", E674&lt;&gt;"", F674&lt;&gt;"", G674&lt;&gt;"", J674&lt;&gt;"", 'CONTENT PILLAR MAPPING'!C576&lt;&gt;"", 'CONTENT PILLAR MAPPING'!E576&lt;&gt;"", 'CONTENT PILLAR MAPPING'!F576&lt;&gt;"", 'CONTENT PILLAR MAPPING'!C579&lt;&gt;"", 'CONTENT PILLAR MAPPING'!C584&lt;&gt;"", 'CONTENT PILLAR MAPPING'!D584&lt;&gt;"", 'CONTENT PILLAR MAPPING'!E584&lt;&gt;"", 'CONTENT PILLAR MAPPING'!D592&lt;&gt;"", 'CONTENT PILLAR MAPPING'!D593&lt;&gt;""),
CONCATENATE(
"Sebagai seorang top konten kreator dengan niche utama '", 'CONTENT PILLAR MAPPING'!C576, "', spesifik kategori '", 'CONTENT PILLAR MAPPING'!E576, "', dan super spesifik '", 'CONTENT PILLAR MAPPING'!F576, "', yang dikenal sebagai '", 'CONTENT PILLAR MAPPING'!C579, "'.", CHAR(10),
"Saya memiliki Tone of Voice: '", 'CONTENT PILLAR MAPPING'!C584, "', Brand Archetype: '", 'CONTENT PILLAR MAPPING'!D584, "', dan Deskripsi Gaya Komunikasi: '", 'CONTENT PILLAR MAPPING'!E584, "'.", CHAR(10),
"Target audiens saya adalah: '", 'CONTENT PILLAR MAPPING'!D592, "', dengan segmentasi audiens: '", 'CONTENT PILLAR MAPPING'!D593, "'.", CHAR(10), CHAR(10),
"Mohon buatkan script konten yang **sangat powerful, menarik, inovatif, dan siap pakai** dengan judul ide '", B674, "'.", CHAR(10),
"Konten ini memiliki pilar '", C674, "', nilai tambah utama '", F674, "', dan akan menggunakan storytelling framework '", G674, "'.", CHAR(10),
"Gambaran singkat ide kontennya adalah: '", J674, "'.", CHAR(10),
"Konten ini akan diunggah di platform '", E674, "' dengan format '", D674,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MAPPING'!C579, "'.** Sesuaikan dengan gaya komunikasi saya, dengan fokus pada nilai tambah '", F674,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MAPPING'!D592, ", khusus ", 'CONTENT PILLAR MAPPING'!D593, ") dan membantu mereka menyelesaikan masalah atau mencapai tujuan mereka.", CHAR(10),
"✔ Membantuku membangun personal branding yang kuat dan sustainable, sesuai dengan Positioning saya sebagai '", 'CONTENT PILLAR MAPPING'!C579, "' dan Brand Archetype '", 'CONTENT PILLAR MAPPING'!D584, "'.", CHAR(10),
"✔ Kemas dalam bentuk tabel agar rapi, mudah di baca dan dipahami, dengan kolom 'Judul Konten', 'Pilar', 'Format', 'Draft Script', 'CTA', 'Saran Visual', dan 'Full Caption'. (Kosongkan kolom Link Prompt jika ada)."
),
"")</f>
        <v/>
      </c>
      <c r="L674" s="199" t="n"/>
      <c r="M674" s="199" t="n"/>
      <c r="N674" s="102" t="n"/>
      <c r="O674" s="102" t="n"/>
      <c r="P674" s="102" t="n"/>
      <c r="Q674" s="102" t="n"/>
      <c r="R674" s="102" t="n"/>
      <c r="S674" s="102" t="n"/>
      <c r="T674" s="102" t="n"/>
      <c r="U674" s="102" t="n"/>
      <c r="V674" s="102" t="n"/>
      <c r="W674" s="102" t="n"/>
      <c r="X674" s="102" t="n"/>
      <c r="Y674" s="102" t="n"/>
      <c r="Z674" s="102" t="n"/>
      <c r="AA674" s="102" t="n"/>
      <c r="AB674" s="102" t="n"/>
      <c r="AC674" s="102" t="n"/>
      <c r="AD674" s="102" t="n"/>
    </row>
    <row r="675" ht="15.75" customHeight="1" s="205">
      <c r="A675" s="102" t="n"/>
      <c r="B675" s="142" t="n"/>
      <c r="C675" s="143" t="n"/>
      <c r="D675" s="143" t="n"/>
      <c r="E675" s="143" t="n"/>
      <c r="F675" s="143" t="n"/>
      <c r="G675" s="144" t="n"/>
      <c r="H675" s="145">
        <f>IF(K675&lt;&gt;"", HYPERLINK("https://chatgpt.com/?prompt=" &amp; SUBSTITUTE(SUBSTITUTE(K675, " ", "+"), "&amp;", "dan") &amp; "&amp;force-refresh=true&amp;timestamp=" &amp; TEXT(NOW(), "yyyymmddhhmmss"), "👉 Klik untuk Generate Script! 🔥"), "")</f>
        <v/>
      </c>
      <c r="I675" s="143" t="n"/>
      <c r="J675" s="146" t="n"/>
      <c r="K675" s="130">
        <f>IF(AND(B675&lt;&gt;"", C675&lt;&gt;"", D675&lt;&gt;"", E675&lt;&gt;"", F675&lt;&gt;"", G675&lt;&gt;"", J675&lt;&gt;"", 'CONTENT PILLAR MAPPING'!C578&lt;&gt;"", 'CONTENT PILLAR MAPPING'!E578&lt;&gt;"", 'CONTENT PILLAR MAPPING'!F578&lt;&gt;"", 'CONTENT PILLAR MAPPING'!C581&lt;&gt;"", 'CONTENT PILLAR MAPPING'!C586&lt;&gt;"", 'CONTENT PILLAR MAPPING'!D586&lt;&gt;"", 'CONTENT PILLAR MAPPING'!E586&lt;&gt;"", 'CONTENT PILLAR MAPPING'!D594&lt;&gt;"", 'CONTENT PILLAR MAPPING'!D595&lt;&gt;""),
CONCATENATE(
"Sebagai seorang top konten kreator dengan niche utama '", 'CONTENT PILLAR MAPPING'!C578, "', spesifik kategori '", 'CONTENT PILLAR MAPPING'!E578, "', dan super spesifik '", 'CONTENT PILLAR MAPPING'!F578, "', yang dikenal sebagai '", 'CONTENT PILLAR MAPPING'!C581, "'.", CHAR(10),
"Saya memiliki Tone of Voice: '", 'CONTENT PILLAR MAPPING'!C586, "', Brand Archetype: '", 'CONTENT PILLAR MAPPING'!D586, "', dan Deskripsi Gaya Komunikasi: '", 'CONTENT PILLAR MAPPING'!E586, "'.", CHAR(10),
"Target audiens saya adalah: '", 'CONTENT PILLAR MAPPING'!D594, "', dengan segmentasi audiens: '", 'CONTENT PILLAR MAPPING'!D595, "'.", CHAR(10), CHAR(10),
"Mohon buatkan script konten yang **sangat powerful, menarik, inovatif, dan siap pakai** dengan judul ide '", B675, "'.", CHAR(10),
"Konten ini memiliki pilar '", C675, "', nilai tambah utama '", F675, "', dan akan menggunakan storytelling framework '", G675, "'.", CHAR(10),
"Gambaran singkat ide kontennya adalah: '", J675, "'.", CHAR(10),
"Konten ini akan diunggah di platform '", E675, "' dengan format '", D675,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MAPPING'!C581, "'.** Sesuaikan dengan gaya komunikasi saya, dengan fokus pada nilai tambah '", F675,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MAPPING'!D594, ", khusus ", 'CONTENT PILLAR MAPPING'!D595, ") dan membantu mereka menyelesaikan masalah atau mencapai tujuan mereka.", CHAR(10),
"✔ Membantuku membangun personal branding yang kuat dan sustainable, sesuai dengan Positioning saya sebagai '", 'CONTENT PILLAR MAPPING'!C581, "' dan Brand Archetype '", 'CONTENT PILLAR MAPPING'!D586, "'.", CHAR(10),
"✔ Kemas dalam bentuk tabel agar rapi, mudah di baca dan dipahami, dengan kolom 'Judul Konten', 'Pilar', 'Format', 'Draft Script', 'CTA', 'Saran Visual', dan 'Full Caption'. (Kosongkan kolom Link Prompt jika ada)."
),
"")</f>
        <v/>
      </c>
      <c r="L675" s="91" t="n"/>
      <c r="M675" s="91" t="n"/>
      <c r="N675" s="102" t="n"/>
      <c r="O675" s="102" t="n"/>
      <c r="P675" s="102" t="n"/>
      <c r="Q675" s="102" t="n"/>
      <c r="R675" s="102" t="n"/>
      <c r="S675" s="102" t="n"/>
      <c r="T675" s="102" t="n"/>
      <c r="U675" s="102" t="n"/>
      <c r="V675" s="102" t="n"/>
      <c r="W675" s="102" t="n"/>
      <c r="X675" s="102" t="n"/>
      <c r="Y675" s="102" t="n"/>
      <c r="Z675" s="102" t="n"/>
      <c r="AA675" s="102" t="n"/>
      <c r="AB675" s="102" t="n"/>
      <c r="AC675" s="102" t="n"/>
      <c r="AD675" s="102" t="n"/>
    </row>
    <row r="676" ht="15.75" customHeight="1" s="205">
      <c r="A676" s="102" t="n"/>
      <c r="B676" s="147" t="n"/>
      <c r="C676" s="144" t="n"/>
      <c r="D676" s="144" t="n"/>
      <c r="E676" s="144" t="n"/>
      <c r="F676" s="144" t="n"/>
      <c r="G676" s="144" t="n"/>
      <c r="H676" s="141">
        <f>IF(K676&lt;&gt;"", HYPERLINK("https://chatgpt.com/?prompt=" &amp; SUBSTITUTE(SUBSTITUTE(K676, " ", "+"), "&amp;", "dan") &amp; "&amp;force-refresh=true&amp;timestamp=" &amp; TEXT(NOW(), "yyyymmddhhmmss"), "👉 Klik untuk Generate Script! 🔥"), "")</f>
        <v/>
      </c>
      <c r="I676" s="144" t="n"/>
      <c r="J676" s="148" t="n"/>
      <c r="K676" s="140">
        <f>IF(AND(B676&lt;&gt;"", C676&lt;&gt;"", D676&lt;&gt;"", E676&lt;&gt;"", F676&lt;&gt;"", G676&lt;&gt;"", J676&lt;&gt;"", 'CONTENT PILLAR MAPPING'!C578&lt;&gt;"", 'CONTENT PILLAR MAPPING'!E578&lt;&gt;"", 'CONTENT PILLAR MAPPING'!F578&lt;&gt;"", 'CONTENT PILLAR MAPPING'!C581&lt;&gt;"", 'CONTENT PILLAR MAPPING'!C586&lt;&gt;"", 'CONTENT PILLAR MAPPING'!D586&lt;&gt;"", 'CONTENT PILLAR MAPPING'!E586&lt;&gt;"", 'CONTENT PILLAR MAPPING'!D594&lt;&gt;"", 'CONTENT PILLAR MAPPING'!D595&lt;&gt;""),
CONCATENATE(
"Sebagai seorang top konten kreator dengan niche utama '", 'CONTENT PILLAR MAPPING'!C578, "', spesifik kategori '", 'CONTENT PILLAR MAPPING'!E578, "', dan super spesifik '", 'CONTENT PILLAR MAPPING'!F578, "', yang dikenal sebagai '", 'CONTENT PILLAR MAPPING'!C581, "'.", CHAR(10),
"Saya memiliki Tone of Voice: '", 'CONTENT PILLAR MAPPING'!C586, "', Brand Archetype: '", 'CONTENT PILLAR MAPPING'!D586, "', dan Deskripsi Gaya Komunikasi: '", 'CONTENT PILLAR MAPPING'!E586, "'.", CHAR(10),
"Target audiens saya adalah: '", 'CONTENT PILLAR MAPPING'!D594, "', dengan segmentasi audiens: '", 'CONTENT PILLAR MAPPING'!D595, "'.", CHAR(10), CHAR(10),
"Mohon buatkan script konten yang **sangat powerful, menarik, inovatif, dan siap pakai** dengan judul ide '", B676, "'.", CHAR(10),
"Konten ini memiliki pilar '", C676, "', nilai tambah utama '", F676, "', dan akan menggunakan storytelling framework '", G676, "'.", CHAR(10),
"Gambaran singkat ide kontennya adalah: '", J676, "'.", CHAR(10),
"Konten ini akan diunggah di platform '", E676, "' dengan format '", D676,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MAPPING'!C581, "'.** Sesuaikan dengan gaya komunikasi saya, dengan fokus pada nilai tambah '", F676,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MAPPING'!D594, ", khusus ", 'CONTENT PILLAR MAPPING'!D595, ") dan membantu mereka menyelesaikan masalah atau mencapai tujuan mereka.", CHAR(10),
"✔ Membantuku membangun personal branding yang kuat dan sustainable, sesuai dengan Positioning saya sebagai '", 'CONTENT PILLAR MAPPING'!C581, "' dan Brand Archetype '", 'CONTENT PILLAR MAPPING'!D586, "'.", CHAR(10),
"✔ Kemas dalam bentuk tabel agar rapi, mudah di baca dan dipahami, dengan kolom 'Judul Konten', 'Pilar', 'Format', 'Draft Script', 'CTA', 'Saran Visual', dan 'Full Caption'. (Kosongkan kolom Link Prompt jika ada)."
),
"")</f>
        <v/>
      </c>
      <c r="L676" s="199" t="n"/>
      <c r="M676" s="199" t="n"/>
      <c r="N676" s="102" t="n"/>
      <c r="O676" s="102" t="n"/>
      <c r="P676" s="102" t="n"/>
      <c r="Q676" s="102" t="n"/>
      <c r="R676" s="102" t="n"/>
      <c r="S676" s="102" t="n"/>
      <c r="T676" s="102" t="n"/>
      <c r="U676" s="102" t="n"/>
      <c r="V676" s="102" t="n"/>
      <c r="W676" s="102" t="n"/>
      <c r="X676" s="102" t="n"/>
      <c r="Y676" s="102" t="n"/>
      <c r="Z676" s="102" t="n"/>
      <c r="AA676" s="102" t="n"/>
      <c r="AB676" s="102" t="n"/>
      <c r="AC676" s="102" t="n"/>
      <c r="AD676" s="102" t="n"/>
    </row>
    <row r="677" ht="15.75" customHeight="1" s="205">
      <c r="A677" s="102" t="n"/>
      <c r="B677" s="142" t="n"/>
      <c r="C677" s="143" t="n"/>
      <c r="D677" s="143" t="n"/>
      <c r="E677" s="143" t="n"/>
      <c r="F677" s="143" t="n"/>
      <c r="G677" s="144" t="n"/>
      <c r="H677" s="145">
        <f>IF(K677&lt;&gt;"", HYPERLINK("https://chatgpt.com/?prompt=" &amp; SUBSTITUTE(SUBSTITUTE(K677, " ", "+"), "&amp;", "dan") &amp; "&amp;force-refresh=true&amp;timestamp=" &amp; TEXT(NOW(), "yyyymmddhhmmss"), "👉 Klik untuk Generate Script! 🔥"), "")</f>
        <v/>
      </c>
      <c r="I677" s="143" t="n"/>
      <c r="J677" s="146" t="n"/>
      <c r="K677" s="130">
        <f>IF(AND(B677&lt;&gt;"", C677&lt;&gt;"", D677&lt;&gt;"", E677&lt;&gt;"", F677&lt;&gt;"", G677&lt;&gt;"", J677&lt;&gt;"", 'CONTENT PILLAR MAPPING'!C580&lt;&gt;"", 'CONTENT PILLAR MAPPING'!E580&lt;&gt;"", 'CONTENT PILLAR MAPPING'!F580&lt;&gt;"", 'CONTENT PILLAR MAPPING'!C583&lt;&gt;"", 'CONTENT PILLAR MAPPING'!C588&lt;&gt;"", 'CONTENT PILLAR MAPPING'!D588&lt;&gt;"", 'CONTENT PILLAR MAPPING'!E588&lt;&gt;"", 'CONTENT PILLAR MAPPING'!D596&lt;&gt;"", 'CONTENT PILLAR MAPPING'!D597&lt;&gt;""),
CONCATENATE(
"Sebagai seorang top konten kreator dengan niche utama '", 'CONTENT PILLAR MAPPING'!C580, "', spesifik kategori '", 'CONTENT PILLAR MAPPING'!E580, "', dan super spesifik '", 'CONTENT PILLAR MAPPING'!F580, "', yang dikenal sebagai '", 'CONTENT PILLAR MAPPING'!C583, "'.", CHAR(10),
"Saya memiliki Tone of Voice: '", 'CONTENT PILLAR MAPPING'!C588, "', Brand Archetype: '", 'CONTENT PILLAR MAPPING'!D588, "', dan Deskripsi Gaya Komunikasi: '", 'CONTENT PILLAR MAPPING'!E588, "'.", CHAR(10),
"Target audiens saya adalah: '", 'CONTENT PILLAR MAPPING'!D596, "', dengan segmentasi audiens: '", 'CONTENT PILLAR MAPPING'!D597, "'.", CHAR(10), CHAR(10),
"Mohon buatkan script konten yang **sangat powerful, menarik, inovatif, dan siap pakai** dengan judul ide '", B677, "'.", CHAR(10),
"Konten ini memiliki pilar '", C677, "', nilai tambah utama '", F677, "', dan akan menggunakan storytelling framework '", G677, "'.", CHAR(10),
"Gambaran singkat ide kontennya adalah: '", J677, "'.", CHAR(10),
"Konten ini akan diunggah di platform '", E677, "' dengan format '", D677,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MAPPING'!C583, "'.** Sesuaikan dengan gaya komunikasi saya, dengan fokus pada nilai tambah '", F677,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MAPPING'!D596, ", khusus ", 'CONTENT PILLAR MAPPING'!D597, ") dan membantu mereka menyelesaikan masalah atau mencapai tujuan mereka.", CHAR(10),
"✔ Membantuku membangun personal branding yang kuat dan sustainable, sesuai dengan Positioning saya sebagai '", 'CONTENT PILLAR MAPPING'!C583, "' dan Brand Archetype '", 'CONTENT PILLAR MAPPING'!D588, "'.", CHAR(10),
"✔ Kemas dalam bentuk tabel agar rapi, mudah di baca dan dipahami, dengan kolom 'Judul Konten', 'Pilar', 'Format', 'Draft Script', 'CTA', 'Saran Visual', dan 'Full Caption'. (Kosongkan kolom Link Prompt jika ada)."
),
"")</f>
        <v/>
      </c>
      <c r="L677" s="91" t="n"/>
      <c r="M677" s="91" t="n"/>
      <c r="N677" s="102" t="n"/>
      <c r="O677" s="102" t="n"/>
      <c r="P677" s="102" t="n"/>
      <c r="Q677" s="102" t="n"/>
      <c r="R677" s="102" t="n"/>
      <c r="S677" s="102" t="n"/>
      <c r="T677" s="102" t="n"/>
      <c r="U677" s="102" t="n"/>
      <c r="V677" s="102" t="n"/>
      <c r="W677" s="102" t="n"/>
      <c r="X677" s="102" t="n"/>
      <c r="Y677" s="102" t="n"/>
      <c r="Z677" s="102" t="n"/>
      <c r="AA677" s="102" t="n"/>
      <c r="AB677" s="102" t="n"/>
      <c r="AC677" s="102" t="n"/>
      <c r="AD677" s="102" t="n"/>
    </row>
    <row r="678" ht="15.75" customHeight="1" s="205">
      <c r="A678" s="102" t="n"/>
      <c r="B678" s="147" t="n"/>
      <c r="C678" s="144" t="n"/>
      <c r="D678" s="144" t="n"/>
      <c r="E678" s="144" t="n"/>
      <c r="F678" s="144" t="n"/>
      <c r="G678" s="144" t="n"/>
      <c r="H678" s="141">
        <f>IF(K678&lt;&gt;"", HYPERLINK("https://chatgpt.com/?prompt=" &amp; SUBSTITUTE(SUBSTITUTE(K678, " ", "+"), "&amp;", "dan") &amp; "&amp;force-refresh=true&amp;timestamp=" &amp; TEXT(NOW(), "yyyymmddhhmmss"), "👉 Klik untuk Generate Script! 🔥"), "")</f>
        <v/>
      </c>
      <c r="I678" s="144" t="n"/>
      <c r="J678" s="148" t="n"/>
      <c r="K678" s="140">
        <f>IF(AND(B678&lt;&gt;"", C678&lt;&gt;"", D678&lt;&gt;"", E678&lt;&gt;"", F678&lt;&gt;"", G678&lt;&gt;"", J678&lt;&gt;"", 'CONTENT PILLAR MAPPING'!C580&lt;&gt;"", 'CONTENT PILLAR MAPPING'!E580&lt;&gt;"", 'CONTENT PILLAR MAPPING'!F580&lt;&gt;"", 'CONTENT PILLAR MAPPING'!C583&lt;&gt;"", 'CONTENT PILLAR MAPPING'!C588&lt;&gt;"", 'CONTENT PILLAR MAPPING'!D588&lt;&gt;"", 'CONTENT PILLAR MAPPING'!E588&lt;&gt;"", 'CONTENT PILLAR MAPPING'!D596&lt;&gt;"", 'CONTENT PILLAR MAPPING'!D597&lt;&gt;""),
CONCATENATE(
"Sebagai seorang top konten kreator dengan niche utama '", 'CONTENT PILLAR MAPPING'!C580, "', spesifik kategori '", 'CONTENT PILLAR MAPPING'!E580, "', dan super spesifik '", 'CONTENT PILLAR MAPPING'!F580, "', yang dikenal sebagai '", 'CONTENT PILLAR MAPPING'!C583, "'.", CHAR(10),
"Saya memiliki Tone of Voice: '", 'CONTENT PILLAR MAPPING'!C588, "', Brand Archetype: '", 'CONTENT PILLAR MAPPING'!D588, "', dan Deskripsi Gaya Komunikasi: '", 'CONTENT PILLAR MAPPING'!E588, "'.", CHAR(10),
"Target audiens saya adalah: '", 'CONTENT PILLAR MAPPING'!D596, "', dengan segmentasi audiens: '", 'CONTENT PILLAR MAPPING'!D597, "'.", CHAR(10), CHAR(10),
"Mohon buatkan script konten yang **sangat powerful, menarik, inovatif, dan siap pakai** dengan judul ide '", B678, "'.", CHAR(10),
"Konten ini memiliki pilar '", C678, "', nilai tambah utama '", F678, "', dan akan menggunakan storytelling framework '", G678, "'.", CHAR(10),
"Gambaran singkat ide kontennya adalah: '", J678, "'.", CHAR(10),
"Konten ini akan diunggah di platform '", E678, "' dengan format '", D678,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MAPPING'!C583, "'.** Sesuaikan dengan gaya komunikasi saya, dengan fokus pada nilai tambah '", F678,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MAPPING'!D596, ", khusus ", 'CONTENT PILLAR MAPPING'!D597, ") dan membantu mereka menyelesaikan masalah atau mencapai tujuan mereka.", CHAR(10),
"✔ Membantuku membangun personal branding yang kuat dan sustainable, sesuai dengan Positioning saya sebagai '", 'CONTENT PILLAR MAPPING'!C583, "' dan Brand Archetype '", 'CONTENT PILLAR MAPPING'!D588, "'.", CHAR(10),
"✔ Kemas dalam bentuk tabel agar rapi, mudah di baca dan dipahami, dengan kolom 'Judul Konten', 'Pilar', 'Format', 'Draft Script', 'CTA', 'Saran Visual', dan 'Full Caption'. (Kosongkan kolom Link Prompt jika ada)."
),
"")</f>
        <v/>
      </c>
      <c r="L678" s="199" t="n"/>
      <c r="M678" s="199" t="n"/>
      <c r="N678" s="102" t="n"/>
      <c r="O678" s="102" t="n"/>
      <c r="P678" s="102" t="n"/>
      <c r="Q678" s="102" t="n"/>
      <c r="R678" s="102" t="n"/>
      <c r="S678" s="102" t="n"/>
      <c r="T678" s="102" t="n"/>
      <c r="U678" s="102" t="n"/>
      <c r="V678" s="102" t="n"/>
      <c r="W678" s="102" t="n"/>
      <c r="X678" s="102" t="n"/>
      <c r="Y678" s="102" t="n"/>
      <c r="Z678" s="102" t="n"/>
      <c r="AA678" s="102" t="n"/>
      <c r="AB678" s="102" t="n"/>
      <c r="AC678" s="102" t="n"/>
      <c r="AD678" s="102" t="n"/>
    </row>
    <row r="679" ht="15.75" customHeight="1" s="205">
      <c r="A679" s="102" t="n"/>
      <c r="B679" s="142" t="n"/>
      <c r="C679" s="143" t="n"/>
      <c r="D679" s="143" t="n"/>
      <c r="E679" s="143" t="n"/>
      <c r="F679" s="143" t="n"/>
      <c r="G679" s="144" t="n"/>
      <c r="H679" s="145">
        <f>IF(K679&lt;&gt;"", HYPERLINK("https://chatgpt.com/?prompt=" &amp; SUBSTITUTE(SUBSTITUTE(K679, " ", "+"), "&amp;", "dan") &amp; "&amp;force-refresh=true&amp;timestamp=" &amp; TEXT(NOW(), "yyyymmddhhmmss"), "👉 Klik untuk Generate Script! 🔥"), "")</f>
        <v/>
      </c>
      <c r="I679" s="143" t="n"/>
      <c r="J679" s="146" t="n"/>
      <c r="K679" s="130">
        <f>IF(AND(B679&lt;&gt;"", C679&lt;&gt;"", D679&lt;&gt;"", E679&lt;&gt;"", F679&lt;&gt;"", G679&lt;&gt;"", J679&lt;&gt;"", 'CONTENT PILLAR MAPPING'!C582&lt;&gt;"", 'CONTENT PILLAR MAPPING'!E582&lt;&gt;"", 'CONTENT PILLAR MAPPING'!F582&lt;&gt;"", 'CONTENT PILLAR MAPPING'!C585&lt;&gt;"", 'CONTENT PILLAR MAPPING'!C590&lt;&gt;"", 'CONTENT PILLAR MAPPING'!D590&lt;&gt;"", 'CONTENT PILLAR MAPPING'!E590&lt;&gt;"", 'CONTENT PILLAR MAPPING'!D598&lt;&gt;"", 'CONTENT PILLAR MAPPING'!D599&lt;&gt;""),
CONCATENATE(
"Sebagai seorang top konten kreator dengan niche utama '", 'CONTENT PILLAR MAPPING'!C582, "', spesifik kategori '", 'CONTENT PILLAR MAPPING'!E582, "', dan super spesifik '", 'CONTENT PILLAR MAPPING'!F582, "', yang dikenal sebagai '", 'CONTENT PILLAR MAPPING'!C585, "'.", CHAR(10),
"Saya memiliki Tone of Voice: '", 'CONTENT PILLAR MAPPING'!C590, "', Brand Archetype: '", 'CONTENT PILLAR MAPPING'!D590, "', dan Deskripsi Gaya Komunikasi: '", 'CONTENT PILLAR MAPPING'!E590, "'.", CHAR(10),
"Target audiens saya adalah: '", 'CONTENT PILLAR MAPPING'!D598, "', dengan segmentasi audiens: '", 'CONTENT PILLAR MAPPING'!D599, "'.", CHAR(10), CHAR(10),
"Mohon buatkan script konten yang **sangat powerful, menarik, inovatif, dan siap pakai** dengan judul ide '", B679, "'.", CHAR(10),
"Konten ini memiliki pilar '", C679, "', nilai tambah utama '", F679, "', dan akan menggunakan storytelling framework '", G679, "'.", CHAR(10),
"Gambaran singkat ide kontennya adalah: '", J679, "'.", CHAR(10),
"Konten ini akan diunggah di platform '", E679, "' dengan format '", D679,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MAPPING'!C585, "'.** Sesuaikan dengan gaya komunikasi saya, dengan fokus pada nilai tambah '", F679,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MAPPING'!D598, ", khusus ", 'CONTENT PILLAR MAPPING'!D599, ") dan membantu mereka menyelesaikan masalah atau mencapai tujuan mereka.", CHAR(10),
"✔ Membantuku membangun personal branding yang kuat dan sustainable, sesuai dengan Positioning saya sebagai '", 'CONTENT PILLAR MAPPING'!C585, "' dan Brand Archetype '", 'CONTENT PILLAR MAPPING'!D590, "'.", CHAR(10),
"✔ Kemas dalam bentuk tabel agar rapi, mudah di baca dan dipahami, dengan kolom 'Judul Konten', 'Pilar', 'Format', 'Draft Script', 'CTA', 'Saran Visual', dan 'Full Caption'. (Kosongkan kolom Link Prompt jika ada)."
),
"")</f>
        <v/>
      </c>
      <c r="L679" s="91" t="n"/>
      <c r="M679" s="91" t="n"/>
      <c r="N679" s="102" t="n"/>
      <c r="O679" s="102" t="n"/>
      <c r="P679" s="102" t="n"/>
      <c r="Q679" s="102" t="n"/>
      <c r="R679" s="102" t="n"/>
      <c r="S679" s="102" t="n"/>
      <c r="T679" s="102" t="n"/>
      <c r="U679" s="102" t="n"/>
      <c r="V679" s="102" t="n"/>
      <c r="W679" s="102" t="n"/>
      <c r="X679" s="102" t="n"/>
      <c r="Y679" s="102" t="n"/>
      <c r="Z679" s="102" t="n"/>
      <c r="AA679" s="102" t="n"/>
      <c r="AB679" s="102" t="n"/>
      <c r="AC679" s="102" t="n"/>
      <c r="AD679" s="102" t="n"/>
    </row>
    <row r="680" ht="15.75" customHeight="1" s="205">
      <c r="A680" s="102" t="n"/>
      <c r="B680" s="147" t="n"/>
      <c r="C680" s="144" t="n"/>
      <c r="D680" s="144" t="n"/>
      <c r="E680" s="144" t="n"/>
      <c r="F680" s="144" t="n"/>
      <c r="G680" s="144" t="n"/>
      <c r="H680" s="141">
        <f>IF(K680&lt;&gt;"", HYPERLINK("https://chatgpt.com/?prompt=" &amp; SUBSTITUTE(SUBSTITUTE(K680, " ", "+"), "&amp;", "dan") &amp; "&amp;force-refresh=true&amp;timestamp=" &amp; TEXT(NOW(), "yyyymmddhhmmss"), "👉 Klik untuk Generate Script! 🔥"), "")</f>
        <v/>
      </c>
      <c r="I680" s="144" t="n"/>
      <c r="J680" s="148" t="n"/>
      <c r="K680" s="140">
        <f>IF(AND(B680&lt;&gt;"", C680&lt;&gt;"", D680&lt;&gt;"", E680&lt;&gt;"", F680&lt;&gt;"", G680&lt;&gt;"", J680&lt;&gt;"", 'CONTENT PILLAR MAPPING'!C582&lt;&gt;"", 'CONTENT PILLAR MAPPING'!E582&lt;&gt;"", 'CONTENT PILLAR MAPPING'!F582&lt;&gt;"", 'CONTENT PILLAR MAPPING'!C585&lt;&gt;"", 'CONTENT PILLAR MAPPING'!C590&lt;&gt;"", 'CONTENT PILLAR MAPPING'!D590&lt;&gt;"", 'CONTENT PILLAR MAPPING'!E590&lt;&gt;"", 'CONTENT PILLAR MAPPING'!D598&lt;&gt;"", 'CONTENT PILLAR MAPPING'!D599&lt;&gt;""),
CONCATENATE(
"Sebagai seorang top konten kreator dengan niche utama '", 'CONTENT PILLAR MAPPING'!C582, "', spesifik kategori '", 'CONTENT PILLAR MAPPING'!E582, "', dan super spesifik '", 'CONTENT PILLAR MAPPING'!F582, "', yang dikenal sebagai '", 'CONTENT PILLAR MAPPING'!C585, "'.", CHAR(10),
"Saya memiliki Tone of Voice: '", 'CONTENT PILLAR MAPPING'!C590, "', Brand Archetype: '", 'CONTENT PILLAR MAPPING'!D590, "', dan Deskripsi Gaya Komunikasi: '", 'CONTENT PILLAR MAPPING'!E590, "'.", CHAR(10),
"Target audiens saya adalah: '", 'CONTENT PILLAR MAPPING'!D598, "', dengan segmentasi audiens: '", 'CONTENT PILLAR MAPPING'!D599, "'.", CHAR(10), CHAR(10),
"Mohon buatkan script konten yang **sangat powerful, menarik, inovatif, dan siap pakai** dengan judul ide '", B680, "'.", CHAR(10),
"Konten ini memiliki pilar '", C680, "', nilai tambah utama '", F680, "', dan akan menggunakan storytelling framework '", G680, "'.", CHAR(10),
"Gambaran singkat ide kontennya adalah: '", J680, "'.", CHAR(10),
"Konten ini akan diunggah di platform '", E680, "' dengan format '", D680,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MAPPING'!C585, "'.** Sesuaikan dengan gaya komunikasi saya, dengan fokus pada nilai tambah '", F680,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MAPPING'!D598, ", khusus ", 'CONTENT PILLAR MAPPING'!D599, ") dan membantu mereka menyelesaikan masalah atau mencapai tujuan mereka.", CHAR(10),
"✔ Membantuku membangun personal branding yang kuat dan sustainable, sesuai dengan Positioning saya sebagai '", 'CONTENT PILLAR MAPPING'!C585, "' dan Brand Archetype '", 'CONTENT PILLAR MAPPING'!D590, "'.", CHAR(10),
"✔ Kemas dalam bentuk tabel agar rapi, mudah di baca dan dipahami, dengan kolom 'Judul Konten', 'Pilar', 'Format', 'Draft Script', 'CTA', 'Saran Visual', dan 'Full Caption'. (Kosongkan kolom Link Prompt jika ada)."
),
"")</f>
        <v/>
      </c>
      <c r="L680" s="199" t="n"/>
      <c r="M680" s="199" t="n"/>
      <c r="N680" s="102" t="n"/>
      <c r="O680" s="102" t="n"/>
      <c r="P680" s="102" t="n"/>
      <c r="Q680" s="102" t="n"/>
      <c r="R680" s="102" t="n"/>
      <c r="S680" s="102" t="n"/>
      <c r="T680" s="102" t="n"/>
      <c r="U680" s="102" t="n"/>
      <c r="V680" s="102" t="n"/>
      <c r="W680" s="102" t="n"/>
      <c r="X680" s="102" t="n"/>
      <c r="Y680" s="102" t="n"/>
      <c r="Z680" s="102" t="n"/>
      <c r="AA680" s="102" t="n"/>
      <c r="AB680" s="102" t="n"/>
      <c r="AC680" s="102" t="n"/>
      <c r="AD680" s="102" t="n"/>
    </row>
    <row r="681" ht="15.75" customHeight="1" s="205">
      <c r="A681" s="102" t="n"/>
      <c r="B681" s="142" t="n"/>
      <c r="C681" s="143" t="n"/>
      <c r="D681" s="143" t="n"/>
      <c r="E681" s="143" t="n"/>
      <c r="F681" s="143" t="n"/>
      <c r="G681" s="144" t="n"/>
      <c r="H681" s="145">
        <f>IF(K681&lt;&gt;"", HYPERLINK("https://chatgpt.com/?prompt=" &amp; SUBSTITUTE(SUBSTITUTE(K681, " ", "+"), "&amp;", "dan") &amp; "&amp;force-refresh=true&amp;timestamp=" &amp; TEXT(NOW(), "yyyymmddhhmmss"), "👉 Klik untuk Generate Script! 🔥"), "")</f>
        <v/>
      </c>
      <c r="I681" s="143" t="n"/>
      <c r="J681" s="146" t="n"/>
      <c r="K681" s="130">
        <f>IF(AND(B681&lt;&gt;"", C681&lt;&gt;"", D681&lt;&gt;"", E681&lt;&gt;"", F681&lt;&gt;"", G681&lt;&gt;"", J681&lt;&gt;"", 'CONTENT PILLAR MAPPING'!C584&lt;&gt;"", 'CONTENT PILLAR MAPPING'!E584&lt;&gt;"", 'CONTENT PILLAR MAPPING'!F584&lt;&gt;"", 'CONTENT PILLAR MAPPING'!C587&lt;&gt;"", 'CONTENT PILLAR MAPPING'!C592&lt;&gt;"", 'CONTENT PILLAR MAPPING'!D592&lt;&gt;"", 'CONTENT PILLAR MAPPING'!E592&lt;&gt;"", 'CONTENT PILLAR MAPPING'!D600&lt;&gt;"", 'CONTENT PILLAR MAPPING'!D601&lt;&gt;""),
CONCATENATE(
"Sebagai seorang top konten kreator dengan niche utama '", 'CONTENT PILLAR MAPPING'!C584, "', spesifik kategori '", 'CONTENT PILLAR MAPPING'!E584, "', dan super spesifik '", 'CONTENT PILLAR MAPPING'!F584, "', yang dikenal sebagai '", 'CONTENT PILLAR MAPPING'!C587, "'.", CHAR(10),
"Saya memiliki Tone of Voice: '", 'CONTENT PILLAR MAPPING'!C592, "', Brand Archetype: '", 'CONTENT PILLAR MAPPING'!D592, "', dan Deskripsi Gaya Komunikasi: '", 'CONTENT PILLAR MAPPING'!E592, "'.", CHAR(10),
"Target audiens saya adalah: '", 'CONTENT PILLAR MAPPING'!D600, "', dengan segmentasi audiens: '", 'CONTENT PILLAR MAPPING'!D601, "'.", CHAR(10), CHAR(10),
"Mohon buatkan script konten yang **sangat powerful, menarik, inovatif, dan siap pakai** dengan judul ide '", B681, "'.", CHAR(10),
"Konten ini memiliki pilar '", C681, "', nilai tambah utama '", F681, "', dan akan menggunakan storytelling framework '", G681, "'.", CHAR(10),
"Gambaran singkat ide kontennya adalah: '", J681, "'.", CHAR(10),
"Konten ini akan diunggah di platform '", E681, "' dengan format '", D681,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MAPPING'!C587, "'.** Sesuaikan dengan gaya komunikasi saya, dengan fokus pada nilai tambah '", F681,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MAPPING'!D600, ", khusus ", 'CONTENT PILLAR MAPPING'!D601, ") dan membantu mereka menyelesaikan masalah atau mencapai tujuan mereka.", CHAR(10),
"✔ Membantuku membangun personal branding yang kuat dan sustainable, sesuai dengan Positioning saya sebagai '", 'CONTENT PILLAR MAPPING'!C587, "' dan Brand Archetype '", 'CONTENT PILLAR MAPPING'!D592, "'.", CHAR(10),
"✔ Kemas dalam bentuk tabel agar rapi, mudah di baca dan dipahami, dengan kolom 'Judul Konten', 'Pilar', 'Format', 'Draft Script', 'CTA', 'Saran Visual', dan 'Full Caption'. (Kosongkan kolom Link Prompt jika ada)."
),
"")</f>
        <v/>
      </c>
      <c r="L681" s="91" t="n"/>
      <c r="M681" s="91" t="n"/>
      <c r="N681" s="102" t="n"/>
      <c r="O681" s="102" t="n"/>
      <c r="P681" s="102" t="n"/>
      <c r="Q681" s="102" t="n"/>
      <c r="R681" s="102" t="n"/>
      <c r="S681" s="102" t="n"/>
      <c r="T681" s="102" t="n"/>
      <c r="U681" s="102" t="n"/>
      <c r="V681" s="102" t="n"/>
      <c r="W681" s="102" t="n"/>
      <c r="X681" s="102" t="n"/>
      <c r="Y681" s="102" t="n"/>
      <c r="Z681" s="102" t="n"/>
      <c r="AA681" s="102" t="n"/>
      <c r="AB681" s="102" t="n"/>
      <c r="AC681" s="102" t="n"/>
      <c r="AD681" s="102" t="n"/>
    </row>
    <row r="682" ht="15.75" customHeight="1" s="205">
      <c r="A682" s="102" t="n"/>
      <c r="B682" s="147" t="n"/>
      <c r="C682" s="144" t="n"/>
      <c r="D682" s="144" t="n"/>
      <c r="E682" s="144" t="n"/>
      <c r="F682" s="144" t="n"/>
      <c r="G682" s="144" t="n"/>
      <c r="H682" s="141">
        <f>IF(K682&lt;&gt;"", HYPERLINK("https://chatgpt.com/?prompt=" &amp; SUBSTITUTE(SUBSTITUTE(K682, " ", "+"), "&amp;", "dan") &amp; "&amp;force-refresh=true&amp;timestamp=" &amp; TEXT(NOW(), "yyyymmddhhmmss"), "👉 Klik untuk Generate Script! 🔥"), "")</f>
        <v/>
      </c>
      <c r="I682" s="144" t="n"/>
      <c r="J682" s="148" t="n"/>
      <c r="K682" s="140">
        <f>IF(AND(B682&lt;&gt;"", C682&lt;&gt;"", D682&lt;&gt;"", E682&lt;&gt;"", F682&lt;&gt;"", G682&lt;&gt;"", J682&lt;&gt;"", 'CONTENT PILLAR MAPPING'!C584&lt;&gt;"", 'CONTENT PILLAR MAPPING'!E584&lt;&gt;"", 'CONTENT PILLAR MAPPING'!F584&lt;&gt;"", 'CONTENT PILLAR MAPPING'!C587&lt;&gt;"", 'CONTENT PILLAR MAPPING'!C592&lt;&gt;"", 'CONTENT PILLAR MAPPING'!D592&lt;&gt;"", 'CONTENT PILLAR MAPPING'!E592&lt;&gt;"", 'CONTENT PILLAR MAPPING'!D600&lt;&gt;"", 'CONTENT PILLAR MAPPING'!D601&lt;&gt;""),
CONCATENATE(
"Sebagai seorang top konten kreator dengan niche utama '", 'CONTENT PILLAR MAPPING'!C584, "', spesifik kategori '", 'CONTENT PILLAR MAPPING'!E584, "', dan super spesifik '", 'CONTENT PILLAR MAPPING'!F584, "', yang dikenal sebagai '", 'CONTENT PILLAR MAPPING'!C587, "'.", CHAR(10),
"Saya memiliki Tone of Voice: '", 'CONTENT PILLAR MAPPING'!C592, "', Brand Archetype: '", 'CONTENT PILLAR MAPPING'!D592, "', dan Deskripsi Gaya Komunikasi: '", 'CONTENT PILLAR MAPPING'!E592, "'.", CHAR(10),
"Target audiens saya adalah: '", 'CONTENT PILLAR MAPPING'!D600, "', dengan segmentasi audiens: '", 'CONTENT PILLAR MAPPING'!D601, "'.", CHAR(10), CHAR(10),
"Mohon buatkan script konten yang **sangat powerful, menarik, inovatif, dan siap pakai** dengan judul ide '", B682, "'.", CHAR(10),
"Konten ini memiliki pilar '", C682, "', nilai tambah utama '", F682, "', dan akan menggunakan storytelling framework '", G682, "'.", CHAR(10),
"Gambaran singkat ide kontennya adalah: '", J682, "'.", CHAR(10),
"Konten ini akan diunggah di platform '", E682, "' dengan format '", D682,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MAPPING'!C587, "'.** Sesuaikan dengan gaya komunikasi saya, dengan fokus pada nilai tambah '", F682,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MAPPING'!D600, ", khusus ", 'CONTENT PILLAR MAPPING'!D601, ") dan membantu mereka menyelesaikan masalah atau mencapai tujuan mereka.", CHAR(10),
"✔ Membantuku membangun personal branding yang kuat dan sustainable, sesuai dengan Positioning saya sebagai '", 'CONTENT PILLAR MAPPING'!C587, "' dan Brand Archetype '", 'CONTENT PILLAR MAPPING'!D592, "'.", CHAR(10),
"✔ Kemas dalam bentuk tabel agar rapi, mudah di baca dan dipahami, dengan kolom 'Judul Konten', 'Pilar', 'Format', 'Draft Script', 'CTA', 'Saran Visual', dan 'Full Caption'. (Kosongkan kolom Link Prompt jika ada)."
),
"")</f>
        <v/>
      </c>
      <c r="L682" s="199" t="n"/>
      <c r="M682" s="199" t="n"/>
      <c r="N682" s="102" t="n"/>
      <c r="O682" s="102" t="n"/>
      <c r="P682" s="102" t="n"/>
      <c r="Q682" s="102" t="n"/>
      <c r="R682" s="102" t="n"/>
      <c r="S682" s="102" t="n"/>
      <c r="T682" s="102" t="n"/>
      <c r="U682" s="102" t="n"/>
      <c r="V682" s="102" t="n"/>
      <c r="W682" s="102" t="n"/>
      <c r="X682" s="102" t="n"/>
      <c r="Y682" s="102" t="n"/>
      <c r="Z682" s="102" t="n"/>
      <c r="AA682" s="102" t="n"/>
      <c r="AB682" s="102" t="n"/>
      <c r="AC682" s="102" t="n"/>
      <c r="AD682" s="102" t="n"/>
    </row>
    <row r="683" ht="15.75" customHeight="1" s="205">
      <c r="A683" s="102" t="n"/>
      <c r="B683" s="142" t="n"/>
      <c r="C683" s="143" t="n"/>
      <c r="D683" s="143" t="n"/>
      <c r="E683" s="143" t="n"/>
      <c r="F683" s="143" t="n"/>
      <c r="G683" s="144" t="n"/>
      <c r="H683" s="145">
        <f>IF(K683&lt;&gt;"", HYPERLINK("https://chatgpt.com/?prompt=" &amp; SUBSTITUTE(SUBSTITUTE(K683, " ", "+"), "&amp;", "dan") &amp; "&amp;force-refresh=true&amp;timestamp=" &amp; TEXT(NOW(), "yyyymmddhhmmss"), "👉 Klik untuk Generate Script! 🔥"), "")</f>
        <v/>
      </c>
      <c r="I683" s="143" t="n"/>
      <c r="J683" s="146" t="n"/>
      <c r="K683" s="130">
        <f>IF(AND(B683&lt;&gt;"", C683&lt;&gt;"", D683&lt;&gt;"", E683&lt;&gt;"", F683&lt;&gt;"", G683&lt;&gt;"", J683&lt;&gt;"", 'CONTENT PILLAR MAPPING'!C586&lt;&gt;"", 'CONTENT PILLAR MAPPING'!E586&lt;&gt;"", 'CONTENT PILLAR MAPPING'!F586&lt;&gt;"", 'CONTENT PILLAR MAPPING'!C589&lt;&gt;"", 'CONTENT PILLAR MAPPING'!C594&lt;&gt;"", 'CONTENT PILLAR MAPPING'!D594&lt;&gt;"", 'CONTENT PILLAR MAPPING'!E594&lt;&gt;"", 'CONTENT PILLAR MAPPING'!D602&lt;&gt;"", 'CONTENT PILLAR MAPPING'!D603&lt;&gt;""),
CONCATENATE(
"Sebagai seorang top konten kreator dengan niche utama '", 'CONTENT PILLAR MAPPING'!C586, "', spesifik kategori '", 'CONTENT PILLAR MAPPING'!E586, "', dan super spesifik '", 'CONTENT PILLAR MAPPING'!F586, "', yang dikenal sebagai '", 'CONTENT PILLAR MAPPING'!C589, "'.", CHAR(10),
"Saya memiliki Tone of Voice: '", 'CONTENT PILLAR MAPPING'!C594, "', Brand Archetype: '", 'CONTENT PILLAR MAPPING'!D594, "', dan Deskripsi Gaya Komunikasi: '", 'CONTENT PILLAR MAPPING'!E594, "'.", CHAR(10),
"Target audiens saya adalah: '", 'CONTENT PILLAR MAPPING'!D602, "', dengan segmentasi audiens: '", 'CONTENT PILLAR MAPPING'!D603, "'.", CHAR(10), CHAR(10),
"Mohon buatkan script konten yang **sangat powerful, menarik, inovatif, dan siap pakai** dengan judul ide '", B683, "'.", CHAR(10),
"Konten ini memiliki pilar '", C683, "', nilai tambah utama '", F683, "', dan akan menggunakan storytelling framework '", G683, "'.", CHAR(10),
"Gambaran singkat ide kontennya adalah: '", J683, "'.", CHAR(10),
"Konten ini akan diunggah di platform '", E683, "' dengan format '", D683,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MAPPING'!C589, "'.** Sesuaikan dengan gaya komunikasi saya, dengan fokus pada nilai tambah '", F683,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MAPPING'!D602, ", khusus ", 'CONTENT PILLAR MAPPING'!D603, ") dan membantu mereka menyelesaikan masalah atau mencapai tujuan mereka.", CHAR(10),
"✔ Membantuku membangun personal branding yang kuat dan sustainable, sesuai dengan Positioning saya sebagai '", 'CONTENT PILLAR MAPPING'!C589, "' dan Brand Archetype '", 'CONTENT PILLAR MAPPING'!D594, "'.", CHAR(10),
"✔ Kemas dalam bentuk tabel agar rapi, mudah di baca dan dipahami, dengan kolom 'Judul Konten', 'Pilar', 'Format', 'Draft Script', 'CTA', 'Saran Visual', dan 'Full Caption'. (Kosongkan kolom Link Prompt jika ada)."
),
"")</f>
        <v/>
      </c>
      <c r="L683" s="91" t="n"/>
      <c r="M683" s="91" t="n"/>
      <c r="N683" s="102" t="n"/>
      <c r="O683" s="102" t="n"/>
      <c r="P683" s="102" t="n"/>
      <c r="Q683" s="102" t="n"/>
      <c r="R683" s="102" t="n"/>
      <c r="S683" s="102" t="n"/>
      <c r="T683" s="102" t="n"/>
      <c r="U683" s="102" t="n"/>
      <c r="V683" s="102" t="n"/>
      <c r="W683" s="102" t="n"/>
      <c r="X683" s="102" t="n"/>
      <c r="Y683" s="102" t="n"/>
      <c r="Z683" s="102" t="n"/>
      <c r="AA683" s="102" t="n"/>
      <c r="AB683" s="102" t="n"/>
      <c r="AC683" s="102" t="n"/>
      <c r="AD683" s="102" t="n"/>
    </row>
    <row r="684" ht="15.75" customHeight="1" s="205">
      <c r="A684" s="102" t="n"/>
      <c r="B684" s="147" t="n"/>
      <c r="C684" s="144" t="n"/>
      <c r="D684" s="144" t="n"/>
      <c r="E684" s="144" t="n"/>
      <c r="F684" s="144" t="n"/>
      <c r="G684" s="144" t="n"/>
      <c r="H684" s="141">
        <f>IF(K684&lt;&gt;"", HYPERLINK("https://chatgpt.com/?prompt=" &amp; SUBSTITUTE(SUBSTITUTE(K684, " ", "+"), "&amp;", "dan") &amp; "&amp;force-refresh=true&amp;timestamp=" &amp; TEXT(NOW(), "yyyymmddhhmmss"), "👉 Klik untuk Generate Script! 🔥"), "")</f>
        <v/>
      </c>
      <c r="I684" s="144" t="n"/>
      <c r="J684" s="148" t="n"/>
      <c r="K684" s="140">
        <f>IF(AND(B684&lt;&gt;"", C684&lt;&gt;"", D684&lt;&gt;"", E684&lt;&gt;"", F684&lt;&gt;"", G684&lt;&gt;"", J684&lt;&gt;"", 'CONTENT PILLAR MAPPING'!C586&lt;&gt;"", 'CONTENT PILLAR MAPPING'!E586&lt;&gt;"", 'CONTENT PILLAR MAPPING'!F586&lt;&gt;"", 'CONTENT PILLAR MAPPING'!C589&lt;&gt;"", 'CONTENT PILLAR MAPPING'!C594&lt;&gt;"", 'CONTENT PILLAR MAPPING'!D594&lt;&gt;"", 'CONTENT PILLAR MAPPING'!E594&lt;&gt;"", 'CONTENT PILLAR MAPPING'!D602&lt;&gt;"", 'CONTENT PILLAR MAPPING'!D603&lt;&gt;""),
CONCATENATE(
"Sebagai seorang top konten kreator dengan niche utama '", 'CONTENT PILLAR MAPPING'!C586, "', spesifik kategori '", 'CONTENT PILLAR MAPPING'!E586, "', dan super spesifik '", 'CONTENT PILLAR MAPPING'!F586, "', yang dikenal sebagai '", 'CONTENT PILLAR MAPPING'!C589, "'.", CHAR(10),
"Saya memiliki Tone of Voice: '", 'CONTENT PILLAR MAPPING'!C594, "', Brand Archetype: '", 'CONTENT PILLAR MAPPING'!D594, "', dan Deskripsi Gaya Komunikasi: '", 'CONTENT PILLAR MAPPING'!E594, "'.", CHAR(10),
"Target audiens saya adalah: '", 'CONTENT PILLAR MAPPING'!D602, "', dengan segmentasi audiens: '", 'CONTENT PILLAR MAPPING'!D603, "'.", CHAR(10), CHAR(10),
"Mohon buatkan script konten yang **sangat powerful, menarik, inovatif, dan siap pakai** dengan judul ide '", B684, "'.", CHAR(10),
"Konten ini memiliki pilar '", C684, "', nilai tambah utama '", F684, "', dan akan menggunakan storytelling framework '", G684, "'.", CHAR(10),
"Gambaran singkat ide kontennya adalah: '", J684, "'.", CHAR(10),
"Konten ini akan diunggah di platform '", E684, "' dengan format '", D684,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MAPPING'!C589, "'.** Sesuaikan dengan gaya komunikasi saya, dengan fokus pada nilai tambah '", F684,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MAPPING'!D602, ", khusus ", 'CONTENT PILLAR MAPPING'!D603, ") dan membantu mereka menyelesaikan masalah atau mencapai tujuan mereka.", CHAR(10),
"✔ Membantuku membangun personal branding yang kuat dan sustainable, sesuai dengan Positioning saya sebagai '", 'CONTENT PILLAR MAPPING'!C589, "' dan Brand Archetype '", 'CONTENT PILLAR MAPPING'!D594, "'.", CHAR(10),
"✔ Kemas dalam bentuk tabel agar rapi, mudah di baca dan dipahami, dengan kolom 'Judul Konten', 'Pilar', 'Format', 'Draft Script', 'CTA', 'Saran Visual', dan 'Full Caption'. (Kosongkan kolom Link Prompt jika ada)."
),
"")</f>
        <v/>
      </c>
      <c r="L684" s="199" t="n"/>
      <c r="M684" s="199" t="n"/>
      <c r="N684" s="102" t="n"/>
      <c r="O684" s="102" t="n"/>
      <c r="P684" s="102" t="n"/>
      <c r="Q684" s="102" t="n"/>
      <c r="R684" s="102" t="n"/>
      <c r="S684" s="102" t="n"/>
      <c r="T684" s="102" t="n"/>
      <c r="U684" s="102" t="n"/>
      <c r="V684" s="102" t="n"/>
      <c r="W684" s="102" t="n"/>
      <c r="X684" s="102" t="n"/>
      <c r="Y684" s="102" t="n"/>
      <c r="Z684" s="102" t="n"/>
      <c r="AA684" s="102" t="n"/>
      <c r="AB684" s="102" t="n"/>
      <c r="AC684" s="102" t="n"/>
      <c r="AD684" s="102" t="n"/>
    </row>
    <row r="685" ht="15.75" customHeight="1" s="205">
      <c r="A685" s="102" t="n"/>
      <c r="B685" s="142" t="n"/>
      <c r="C685" s="143" t="n"/>
      <c r="D685" s="143" t="n"/>
      <c r="E685" s="143" t="n"/>
      <c r="F685" s="143" t="n"/>
      <c r="G685" s="144" t="n"/>
      <c r="H685" s="145">
        <f>IF(K685&lt;&gt;"", HYPERLINK("https://chatgpt.com/?prompt=" &amp; SUBSTITUTE(SUBSTITUTE(K685, " ", "+"), "&amp;", "dan") &amp; "&amp;force-refresh=true&amp;timestamp=" &amp; TEXT(NOW(), "yyyymmddhhmmss"), "👉 Klik untuk Generate Script! 🔥"), "")</f>
        <v/>
      </c>
      <c r="I685" s="143" t="n"/>
      <c r="J685" s="146" t="n"/>
      <c r="K685" s="130">
        <f>IF(AND(B685&lt;&gt;"", C685&lt;&gt;"", D685&lt;&gt;"", E685&lt;&gt;"", F685&lt;&gt;"", G685&lt;&gt;"", J685&lt;&gt;"", 'CONTENT PILLAR MAPPING'!C588&lt;&gt;"", 'CONTENT PILLAR MAPPING'!E588&lt;&gt;"", 'CONTENT PILLAR MAPPING'!F588&lt;&gt;"", 'CONTENT PILLAR MAPPING'!C591&lt;&gt;"", 'CONTENT PILLAR MAPPING'!C596&lt;&gt;"", 'CONTENT PILLAR MAPPING'!D596&lt;&gt;"", 'CONTENT PILLAR MAPPING'!E596&lt;&gt;"", 'CONTENT PILLAR MAPPING'!D604&lt;&gt;"", 'CONTENT PILLAR MAPPING'!D605&lt;&gt;""),
CONCATENATE(
"Sebagai seorang top konten kreator dengan niche utama '", 'CONTENT PILLAR MAPPING'!C588, "', spesifik kategori '", 'CONTENT PILLAR MAPPING'!E588, "', dan super spesifik '", 'CONTENT PILLAR MAPPING'!F588, "', yang dikenal sebagai '", 'CONTENT PILLAR MAPPING'!C591, "'.", CHAR(10),
"Saya memiliki Tone of Voice: '", 'CONTENT PILLAR MAPPING'!C596, "', Brand Archetype: '", 'CONTENT PILLAR MAPPING'!D596, "', dan Deskripsi Gaya Komunikasi: '", 'CONTENT PILLAR MAPPING'!E596, "'.", CHAR(10),
"Target audiens saya adalah: '", 'CONTENT PILLAR MAPPING'!D604, "', dengan segmentasi audiens: '", 'CONTENT PILLAR MAPPING'!D605, "'.", CHAR(10), CHAR(10),
"Mohon buatkan script konten yang **sangat powerful, menarik, inovatif, dan siap pakai** dengan judul ide '", B685, "'.", CHAR(10),
"Konten ini memiliki pilar '", C685, "', nilai tambah utama '", F685, "', dan akan menggunakan storytelling framework '", G685, "'.", CHAR(10),
"Gambaran singkat ide kontennya adalah: '", J685, "'.", CHAR(10),
"Konten ini akan diunggah di platform '", E685, "' dengan format '", D685,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MAPPING'!C591, "'.** Sesuaikan dengan gaya komunikasi saya, dengan fokus pada nilai tambah '", F685,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MAPPING'!D604, ", khusus ", 'CONTENT PILLAR MAPPING'!D605, ") dan membantu mereka menyelesaikan masalah atau mencapai tujuan mereka.", CHAR(10),
"✔ Membantuku membangun personal branding yang kuat dan sustainable, sesuai dengan Positioning saya sebagai '", 'CONTENT PILLAR MAPPING'!C591, "' dan Brand Archetype '", 'CONTENT PILLAR MAPPING'!D596, "'.", CHAR(10),
"✔ Kemas dalam bentuk tabel agar rapi, mudah di baca dan dipahami, dengan kolom 'Judul Konten', 'Pilar', 'Format', 'Draft Script', 'CTA', 'Saran Visual', dan 'Full Caption'. (Kosongkan kolom Link Prompt jika ada)."
),
"")</f>
        <v/>
      </c>
      <c r="L685" s="91" t="n"/>
      <c r="M685" s="91" t="n"/>
      <c r="N685" s="102" t="n"/>
      <c r="O685" s="102" t="n"/>
      <c r="P685" s="102" t="n"/>
      <c r="Q685" s="102" t="n"/>
      <c r="R685" s="102" t="n"/>
      <c r="S685" s="102" t="n"/>
      <c r="T685" s="102" t="n"/>
      <c r="U685" s="102" t="n"/>
      <c r="V685" s="102" t="n"/>
      <c r="W685" s="102" t="n"/>
      <c r="X685" s="102" t="n"/>
      <c r="Y685" s="102" t="n"/>
      <c r="Z685" s="102" t="n"/>
      <c r="AA685" s="102" t="n"/>
      <c r="AB685" s="102" t="n"/>
      <c r="AC685" s="102" t="n"/>
      <c r="AD685" s="102" t="n"/>
    </row>
    <row r="686" ht="15.75" customHeight="1" s="205">
      <c r="A686" s="102" t="n"/>
      <c r="B686" s="147" t="n"/>
      <c r="C686" s="144" t="n"/>
      <c r="D686" s="144" t="n"/>
      <c r="E686" s="144" t="n"/>
      <c r="F686" s="144" t="n"/>
      <c r="G686" s="144" t="n"/>
      <c r="H686" s="141">
        <f>IF(K686&lt;&gt;"", HYPERLINK("https://chatgpt.com/?prompt=" &amp; SUBSTITUTE(SUBSTITUTE(K686, " ", "+"), "&amp;", "dan") &amp; "&amp;force-refresh=true&amp;timestamp=" &amp; TEXT(NOW(), "yyyymmddhhmmss"), "👉 Klik untuk Generate Script! 🔥"), "")</f>
        <v/>
      </c>
      <c r="I686" s="144" t="n"/>
      <c r="J686" s="148" t="n"/>
      <c r="K686" s="140">
        <f>IF(AND(B686&lt;&gt;"", C686&lt;&gt;"", D686&lt;&gt;"", E686&lt;&gt;"", F686&lt;&gt;"", G686&lt;&gt;"", J686&lt;&gt;"", 'CONTENT PILLAR MAPPING'!C588&lt;&gt;"", 'CONTENT PILLAR MAPPING'!E588&lt;&gt;"", 'CONTENT PILLAR MAPPING'!F588&lt;&gt;"", 'CONTENT PILLAR MAPPING'!C591&lt;&gt;"", 'CONTENT PILLAR MAPPING'!C596&lt;&gt;"", 'CONTENT PILLAR MAPPING'!D596&lt;&gt;"", 'CONTENT PILLAR MAPPING'!E596&lt;&gt;"", 'CONTENT PILLAR MAPPING'!D604&lt;&gt;"", 'CONTENT PILLAR MAPPING'!D605&lt;&gt;""),
CONCATENATE(
"Sebagai seorang top konten kreator dengan niche utama '", 'CONTENT PILLAR MAPPING'!C588, "', spesifik kategori '", 'CONTENT PILLAR MAPPING'!E588, "', dan super spesifik '", 'CONTENT PILLAR MAPPING'!F588, "', yang dikenal sebagai '", 'CONTENT PILLAR MAPPING'!C591, "'.", CHAR(10),
"Saya memiliki Tone of Voice: '", 'CONTENT PILLAR MAPPING'!C596, "', Brand Archetype: '", 'CONTENT PILLAR MAPPING'!D596, "', dan Deskripsi Gaya Komunikasi: '", 'CONTENT PILLAR MAPPING'!E596, "'.", CHAR(10),
"Target audiens saya adalah: '", 'CONTENT PILLAR MAPPING'!D604, "', dengan segmentasi audiens: '", 'CONTENT PILLAR MAPPING'!D605, "'.", CHAR(10), CHAR(10),
"Mohon buatkan script konten yang **sangat powerful, menarik, inovatif, dan siap pakai** dengan judul ide '", B686, "'.", CHAR(10),
"Konten ini memiliki pilar '", C686, "', nilai tambah utama '", F686, "', dan akan menggunakan storytelling framework '", G686, "'.", CHAR(10),
"Gambaran singkat ide kontennya adalah: '", J686, "'.", CHAR(10),
"Konten ini akan diunggah di platform '", E686, "' dengan format '", D686,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MAPPING'!C591, "'.** Sesuaikan dengan gaya komunikasi saya, dengan fokus pada nilai tambah '", F686,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MAPPING'!D604, ", khusus ", 'CONTENT PILLAR MAPPING'!D605, ") dan membantu mereka menyelesaikan masalah atau mencapai tujuan mereka.", CHAR(10),
"✔ Membantuku membangun personal branding yang kuat dan sustainable, sesuai dengan Positioning saya sebagai '", 'CONTENT PILLAR MAPPING'!C591, "' dan Brand Archetype '", 'CONTENT PILLAR MAPPING'!D596, "'.", CHAR(10),
"✔ Kemas dalam bentuk tabel agar rapi, mudah di baca dan dipahami, dengan kolom 'Judul Konten', 'Pilar', 'Format', 'Draft Script', 'CTA', 'Saran Visual', dan 'Full Caption'. (Kosongkan kolom Link Prompt jika ada)."
),
"")</f>
        <v/>
      </c>
      <c r="L686" s="199" t="n"/>
      <c r="M686" s="199" t="n"/>
      <c r="N686" s="102" t="n"/>
      <c r="O686" s="102" t="n"/>
      <c r="P686" s="102" t="n"/>
      <c r="Q686" s="102" t="n"/>
      <c r="R686" s="102" t="n"/>
      <c r="S686" s="102" t="n"/>
      <c r="T686" s="102" t="n"/>
      <c r="U686" s="102" t="n"/>
      <c r="V686" s="102" t="n"/>
      <c r="W686" s="102" t="n"/>
      <c r="X686" s="102" t="n"/>
      <c r="Y686" s="102" t="n"/>
      <c r="Z686" s="102" t="n"/>
      <c r="AA686" s="102" t="n"/>
      <c r="AB686" s="102" t="n"/>
      <c r="AC686" s="102" t="n"/>
      <c r="AD686" s="102" t="n"/>
    </row>
    <row r="687" ht="15.75" customHeight="1" s="205">
      <c r="A687" s="102" t="n"/>
      <c r="B687" s="142" t="n"/>
      <c r="C687" s="143" t="n"/>
      <c r="D687" s="143" t="n"/>
      <c r="E687" s="143" t="n"/>
      <c r="F687" s="143" t="n"/>
      <c r="G687" s="144" t="n"/>
      <c r="H687" s="145">
        <f>IF(K687&lt;&gt;"", HYPERLINK("https://chatgpt.com/?prompt=" &amp; SUBSTITUTE(SUBSTITUTE(K687, " ", "+"), "&amp;", "dan") &amp; "&amp;force-refresh=true&amp;timestamp=" &amp; TEXT(NOW(), "yyyymmddhhmmss"), "👉 Klik untuk Generate Script! 🔥"), "")</f>
        <v/>
      </c>
      <c r="I687" s="143" t="n"/>
      <c r="J687" s="146" t="n"/>
      <c r="K687" s="130">
        <f>IF(AND(B687&lt;&gt;"", C687&lt;&gt;"", D687&lt;&gt;"", E687&lt;&gt;"", F687&lt;&gt;"", G687&lt;&gt;"", J687&lt;&gt;"", 'CONTENT PILLAR MAPPING'!C590&lt;&gt;"", 'CONTENT PILLAR MAPPING'!E590&lt;&gt;"", 'CONTENT PILLAR MAPPING'!F590&lt;&gt;"", 'CONTENT PILLAR MAPPING'!C593&lt;&gt;"", 'CONTENT PILLAR MAPPING'!C598&lt;&gt;"", 'CONTENT PILLAR MAPPING'!D598&lt;&gt;"", 'CONTENT PILLAR MAPPING'!E598&lt;&gt;"", 'CONTENT PILLAR MAPPING'!D606&lt;&gt;"", 'CONTENT PILLAR MAPPING'!D607&lt;&gt;""),
CONCATENATE(
"Sebagai seorang top konten kreator dengan niche utama '", 'CONTENT PILLAR MAPPING'!C590, "', spesifik kategori '", 'CONTENT PILLAR MAPPING'!E590, "', dan super spesifik '", 'CONTENT PILLAR MAPPING'!F590, "', yang dikenal sebagai '", 'CONTENT PILLAR MAPPING'!C593, "'.", CHAR(10),
"Saya memiliki Tone of Voice: '", 'CONTENT PILLAR MAPPING'!C598, "', Brand Archetype: '", 'CONTENT PILLAR MAPPING'!D598, "', dan Deskripsi Gaya Komunikasi: '", 'CONTENT PILLAR MAPPING'!E598, "'.", CHAR(10),
"Target audiens saya adalah: '", 'CONTENT PILLAR MAPPING'!D606, "', dengan segmentasi audiens: '", 'CONTENT PILLAR MAPPING'!D607, "'.", CHAR(10), CHAR(10),
"Mohon buatkan script konten yang **sangat powerful, menarik, inovatif, dan siap pakai** dengan judul ide '", B687, "'.", CHAR(10),
"Konten ini memiliki pilar '", C687, "', nilai tambah utama '", F687, "', dan akan menggunakan storytelling framework '", G687, "'.", CHAR(10),
"Gambaran singkat ide kontennya adalah: '", J687, "'.", CHAR(10),
"Konten ini akan diunggah di platform '", E687, "' dengan format '", D687,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MAPPING'!C593, "'.** Sesuaikan dengan gaya komunikasi saya, dengan fokus pada nilai tambah '", F687,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MAPPING'!D606, ", khusus ", 'CONTENT PILLAR MAPPING'!D607, ") dan membantu mereka menyelesaikan masalah atau mencapai tujuan mereka.", CHAR(10),
"✔ Membantuku membangun personal branding yang kuat dan sustainable, sesuai dengan Positioning saya sebagai '", 'CONTENT PILLAR MAPPING'!C593, "' dan Brand Archetype '", 'CONTENT PILLAR MAPPING'!D598, "'.", CHAR(10),
"✔ Kemas dalam bentuk tabel agar rapi, mudah di baca dan dipahami, dengan kolom 'Judul Konten', 'Pilar', 'Format', 'Draft Script', 'CTA', 'Saran Visual', dan 'Full Caption'. (Kosongkan kolom Link Prompt jika ada)."
),
"")</f>
        <v/>
      </c>
      <c r="L687" s="91" t="n"/>
      <c r="M687" s="91" t="n"/>
      <c r="N687" s="102" t="n"/>
      <c r="O687" s="102" t="n"/>
      <c r="P687" s="102" t="n"/>
      <c r="Q687" s="102" t="n"/>
      <c r="R687" s="102" t="n"/>
      <c r="S687" s="102" t="n"/>
      <c r="T687" s="102" t="n"/>
      <c r="U687" s="102" t="n"/>
      <c r="V687" s="102" t="n"/>
      <c r="W687" s="102" t="n"/>
      <c r="X687" s="102" t="n"/>
      <c r="Y687" s="102" t="n"/>
      <c r="Z687" s="102" t="n"/>
      <c r="AA687" s="102" t="n"/>
      <c r="AB687" s="102" t="n"/>
      <c r="AC687" s="102" t="n"/>
      <c r="AD687" s="102" t="n"/>
    </row>
    <row r="688" ht="15.75" customHeight="1" s="205">
      <c r="A688" s="102" t="n"/>
      <c r="B688" s="147" t="n"/>
      <c r="C688" s="144" t="n"/>
      <c r="D688" s="144" t="n"/>
      <c r="E688" s="144" t="n"/>
      <c r="F688" s="144" t="n"/>
      <c r="G688" s="144" t="n"/>
      <c r="H688" s="141">
        <f>IF(K688&lt;&gt;"", HYPERLINK("https://chatgpt.com/?prompt=" &amp; SUBSTITUTE(SUBSTITUTE(K688, " ", "+"), "&amp;", "dan") &amp; "&amp;force-refresh=true&amp;timestamp=" &amp; TEXT(NOW(), "yyyymmddhhmmss"), "👉 Klik untuk Generate Script! 🔥"), "")</f>
        <v/>
      </c>
      <c r="I688" s="144" t="n"/>
      <c r="J688" s="148" t="n"/>
      <c r="K688" s="140">
        <f>IF(AND(B688&lt;&gt;"", C688&lt;&gt;"", D688&lt;&gt;"", E688&lt;&gt;"", F688&lt;&gt;"", G688&lt;&gt;"", J688&lt;&gt;"", 'CONTENT PILLAR MAPPING'!C590&lt;&gt;"", 'CONTENT PILLAR MAPPING'!E590&lt;&gt;"", 'CONTENT PILLAR MAPPING'!F590&lt;&gt;"", 'CONTENT PILLAR MAPPING'!C593&lt;&gt;"", 'CONTENT PILLAR MAPPING'!C598&lt;&gt;"", 'CONTENT PILLAR MAPPING'!D598&lt;&gt;"", 'CONTENT PILLAR MAPPING'!E598&lt;&gt;"", 'CONTENT PILLAR MAPPING'!D606&lt;&gt;"", 'CONTENT PILLAR MAPPING'!D607&lt;&gt;""),
CONCATENATE(
"Sebagai seorang top konten kreator dengan niche utama '", 'CONTENT PILLAR MAPPING'!C590, "', spesifik kategori '", 'CONTENT PILLAR MAPPING'!E590, "', dan super spesifik '", 'CONTENT PILLAR MAPPING'!F590, "', yang dikenal sebagai '", 'CONTENT PILLAR MAPPING'!C593, "'.", CHAR(10),
"Saya memiliki Tone of Voice: '", 'CONTENT PILLAR MAPPING'!C598, "', Brand Archetype: '", 'CONTENT PILLAR MAPPING'!D598, "', dan Deskripsi Gaya Komunikasi: '", 'CONTENT PILLAR MAPPING'!E598, "'.", CHAR(10),
"Target audiens saya adalah: '", 'CONTENT PILLAR MAPPING'!D606, "', dengan segmentasi audiens: '", 'CONTENT PILLAR MAPPING'!D607, "'.", CHAR(10), CHAR(10),
"Mohon buatkan script konten yang **sangat powerful, menarik, inovatif, dan siap pakai** dengan judul ide '", B688, "'.", CHAR(10),
"Konten ini memiliki pilar '", C688, "', nilai tambah utama '", F688, "', dan akan menggunakan storytelling framework '", G688, "'.", CHAR(10),
"Gambaran singkat ide kontennya adalah: '", J688, "'.", CHAR(10),
"Konten ini akan diunggah di platform '", E688, "' dengan format '", D688,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MAPPING'!C593, "'.** Sesuaikan dengan gaya komunikasi saya, dengan fokus pada nilai tambah '", F688,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MAPPING'!D606, ", khusus ", 'CONTENT PILLAR MAPPING'!D607, ") dan membantu mereka menyelesaikan masalah atau mencapai tujuan mereka.", CHAR(10),
"✔ Membantuku membangun personal branding yang kuat dan sustainable, sesuai dengan Positioning saya sebagai '", 'CONTENT PILLAR MAPPING'!C593, "' dan Brand Archetype '", 'CONTENT PILLAR MAPPING'!D598, "'.", CHAR(10),
"✔ Kemas dalam bentuk tabel agar rapi, mudah di baca dan dipahami, dengan kolom 'Judul Konten', 'Pilar', 'Format', 'Draft Script', 'CTA', 'Saran Visual', dan 'Full Caption'. (Kosongkan kolom Link Prompt jika ada)."
),
"")</f>
        <v/>
      </c>
      <c r="L688" s="199" t="n"/>
      <c r="M688" s="199" t="n"/>
      <c r="N688" s="102" t="n"/>
      <c r="O688" s="102" t="n"/>
      <c r="P688" s="102" t="n"/>
      <c r="Q688" s="102" t="n"/>
      <c r="R688" s="102" t="n"/>
      <c r="S688" s="102" t="n"/>
      <c r="T688" s="102" t="n"/>
      <c r="U688" s="102" t="n"/>
      <c r="V688" s="102" t="n"/>
      <c r="W688" s="102" t="n"/>
      <c r="X688" s="102" t="n"/>
      <c r="Y688" s="102" t="n"/>
      <c r="Z688" s="102" t="n"/>
      <c r="AA688" s="102" t="n"/>
      <c r="AB688" s="102" t="n"/>
      <c r="AC688" s="102" t="n"/>
      <c r="AD688" s="102" t="n"/>
    </row>
    <row r="689" ht="15.75" customHeight="1" s="205">
      <c r="A689" s="102" t="n"/>
      <c r="B689" s="142" t="n"/>
      <c r="C689" s="143" t="n"/>
      <c r="D689" s="143" t="n"/>
      <c r="E689" s="143" t="n"/>
      <c r="F689" s="143" t="n"/>
      <c r="G689" s="144" t="n"/>
      <c r="H689" s="145">
        <f>IF(K689&lt;&gt;"", HYPERLINK("https://chatgpt.com/?prompt=" &amp; SUBSTITUTE(SUBSTITUTE(K689, " ", "+"), "&amp;", "dan") &amp; "&amp;force-refresh=true&amp;timestamp=" &amp; TEXT(NOW(), "yyyymmddhhmmss"), "👉 Klik untuk Generate Script! 🔥"), "")</f>
        <v/>
      </c>
      <c r="I689" s="143" t="n"/>
      <c r="J689" s="146" t="n"/>
      <c r="K689" s="130">
        <f>IF(AND(B689&lt;&gt;"", C689&lt;&gt;"", D689&lt;&gt;"", E689&lt;&gt;"", F689&lt;&gt;"", G689&lt;&gt;"", J689&lt;&gt;"", 'CONTENT PILLAR MAPPING'!C592&lt;&gt;"", 'CONTENT PILLAR MAPPING'!E592&lt;&gt;"", 'CONTENT PILLAR MAPPING'!F592&lt;&gt;"", 'CONTENT PILLAR MAPPING'!C595&lt;&gt;"", 'CONTENT PILLAR MAPPING'!C600&lt;&gt;"", 'CONTENT PILLAR MAPPING'!D600&lt;&gt;"", 'CONTENT PILLAR MAPPING'!E600&lt;&gt;"", 'CONTENT PILLAR MAPPING'!D608&lt;&gt;"", 'CONTENT PILLAR MAPPING'!D609&lt;&gt;""),
CONCATENATE(
"Sebagai seorang top konten kreator dengan niche utama '", 'CONTENT PILLAR MAPPING'!C592, "', spesifik kategori '", 'CONTENT PILLAR MAPPING'!E592, "', dan super spesifik '", 'CONTENT PILLAR MAPPING'!F592, "', yang dikenal sebagai '", 'CONTENT PILLAR MAPPING'!C595, "'.", CHAR(10),
"Saya memiliki Tone of Voice: '", 'CONTENT PILLAR MAPPING'!C600, "', Brand Archetype: '", 'CONTENT PILLAR MAPPING'!D600, "', dan Deskripsi Gaya Komunikasi: '", 'CONTENT PILLAR MAPPING'!E600, "'.", CHAR(10),
"Target audiens saya adalah: '", 'CONTENT PILLAR MAPPING'!D608, "', dengan segmentasi audiens: '", 'CONTENT PILLAR MAPPING'!D609, "'.", CHAR(10), CHAR(10),
"Mohon buatkan script konten yang **sangat powerful, menarik, inovatif, dan siap pakai** dengan judul ide '", B689, "'.", CHAR(10),
"Konten ini memiliki pilar '", C689, "', nilai tambah utama '", F689, "', dan akan menggunakan storytelling framework '", G689, "'.", CHAR(10),
"Gambaran singkat ide kontennya adalah: '", J689, "'.", CHAR(10),
"Konten ini akan diunggah di platform '", E689, "' dengan format '", D689,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MAPPING'!C595, "'.** Sesuaikan dengan gaya komunikasi saya, dengan fokus pada nilai tambah '", F689,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MAPPING'!D608, ", khusus ", 'CONTENT PILLAR MAPPING'!D609, ") dan membantu mereka menyelesaikan masalah atau mencapai tujuan mereka.", CHAR(10),
"✔ Membantuku membangun personal branding yang kuat dan sustainable, sesuai dengan Positioning saya sebagai '", 'CONTENT PILLAR MAPPING'!C595, "' dan Brand Archetype '", 'CONTENT PILLAR MAPPING'!D600, "'.", CHAR(10),
"✔ Kemas dalam bentuk tabel agar rapi, mudah di baca dan dipahami, dengan kolom 'Judul Konten', 'Pilar', 'Format', 'Draft Script', 'CTA', 'Saran Visual', dan 'Full Caption'. (Kosongkan kolom Link Prompt jika ada)."
),
"")</f>
        <v/>
      </c>
      <c r="L689" s="91" t="n"/>
      <c r="M689" s="91" t="n"/>
      <c r="N689" s="102" t="n"/>
      <c r="O689" s="102" t="n"/>
      <c r="P689" s="102" t="n"/>
      <c r="Q689" s="102" t="n"/>
      <c r="R689" s="102" t="n"/>
      <c r="S689" s="102" t="n"/>
      <c r="T689" s="102" t="n"/>
      <c r="U689" s="102" t="n"/>
      <c r="V689" s="102" t="n"/>
      <c r="W689" s="102" t="n"/>
      <c r="X689" s="102" t="n"/>
      <c r="Y689" s="102" t="n"/>
      <c r="Z689" s="102" t="n"/>
      <c r="AA689" s="102" t="n"/>
      <c r="AB689" s="102" t="n"/>
      <c r="AC689" s="102" t="n"/>
      <c r="AD689" s="102" t="n"/>
    </row>
    <row r="690" ht="15.75" customHeight="1" s="205">
      <c r="A690" s="102" t="n"/>
      <c r="B690" s="147" t="n"/>
      <c r="C690" s="144" t="n"/>
      <c r="D690" s="144" t="n"/>
      <c r="E690" s="144" t="n"/>
      <c r="F690" s="144" t="n"/>
      <c r="G690" s="144" t="n"/>
      <c r="H690" s="141">
        <f>IF(K690&lt;&gt;"", HYPERLINK("https://chatgpt.com/?prompt=" &amp; SUBSTITUTE(SUBSTITUTE(K690, " ", "+"), "&amp;", "dan") &amp; "&amp;force-refresh=true&amp;timestamp=" &amp; TEXT(NOW(), "yyyymmddhhmmss"), "👉 Klik untuk Generate Script! 🔥"), "")</f>
        <v/>
      </c>
      <c r="I690" s="144" t="n"/>
      <c r="J690" s="148" t="n"/>
      <c r="K690" s="140">
        <f>IF(AND(B690&lt;&gt;"", C690&lt;&gt;"", D690&lt;&gt;"", E690&lt;&gt;"", F690&lt;&gt;"", G690&lt;&gt;"", J690&lt;&gt;"", 'CONTENT PILLAR MAPPING'!C592&lt;&gt;"", 'CONTENT PILLAR MAPPING'!E592&lt;&gt;"", 'CONTENT PILLAR MAPPING'!F592&lt;&gt;"", 'CONTENT PILLAR MAPPING'!C595&lt;&gt;"", 'CONTENT PILLAR MAPPING'!C600&lt;&gt;"", 'CONTENT PILLAR MAPPING'!D600&lt;&gt;"", 'CONTENT PILLAR MAPPING'!E600&lt;&gt;"", 'CONTENT PILLAR MAPPING'!D608&lt;&gt;"", 'CONTENT PILLAR MAPPING'!D609&lt;&gt;""),
CONCATENATE(
"Sebagai seorang top konten kreator dengan niche utama '", 'CONTENT PILLAR MAPPING'!C592, "', spesifik kategori '", 'CONTENT PILLAR MAPPING'!E592, "', dan super spesifik '", 'CONTENT PILLAR MAPPING'!F592, "', yang dikenal sebagai '", 'CONTENT PILLAR MAPPING'!C595, "'.", CHAR(10),
"Saya memiliki Tone of Voice: '", 'CONTENT PILLAR MAPPING'!C600, "', Brand Archetype: '", 'CONTENT PILLAR MAPPING'!D600, "', dan Deskripsi Gaya Komunikasi: '", 'CONTENT PILLAR MAPPING'!E600, "'.", CHAR(10),
"Target audiens saya adalah: '", 'CONTENT PILLAR MAPPING'!D608, "', dengan segmentasi audiens: '", 'CONTENT PILLAR MAPPING'!D609, "'.", CHAR(10), CHAR(10),
"Mohon buatkan script konten yang **sangat powerful, menarik, inovatif, dan siap pakai** dengan judul ide '", B690, "'.", CHAR(10),
"Konten ini memiliki pilar '", C690, "', nilai tambah utama '", F690, "', dan akan menggunakan storytelling framework '", G690, "'.", CHAR(10),
"Gambaran singkat ide kontennya adalah: '", J690, "'.", CHAR(10),
"Konten ini akan diunggah di platform '", E690, "' dengan format '", D690,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MAPPING'!C595, "'.** Sesuaikan dengan gaya komunikasi saya, dengan fokus pada nilai tambah '", F690,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MAPPING'!D608, ", khusus ", 'CONTENT PILLAR MAPPING'!D609, ") dan membantu mereka menyelesaikan masalah atau mencapai tujuan mereka.", CHAR(10),
"✔ Membantuku membangun personal branding yang kuat dan sustainable, sesuai dengan Positioning saya sebagai '", 'CONTENT PILLAR MAPPING'!C595, "' dan Brand Archetype '", 'CONTENT PILLAR MAPPING'!D600, "'.", CHAR(10),
"✔ Kemas dalam bentuk tabel agar rapi, mudah di baca dan dipahami, dengan kolom 'Judul Konten', 'Pilar', 'Format', 'Draft Script', 'CTA', 'Saran Visual', dan 'Full Caption'. (Kosongkan kolom Link Prompt jika ada)."
),
"")</f>
        <v/>
      </c>
      <c r="L690" s="199" t="n"/>
      <c r="M690" s="199" t="n"/>
      <c r="N690" s="102" t="n"/>
      <c r="O690" s="102" t="n"/>
      <c r="P690" s="102" t="n"/>
      <c r="Q690" s="102" t="n"/>
      <c r="R690" s="102" t="n"/>
      <c r="S690" s="102" t="n"/>
      <c r="T690" s="102" t="n"/>
      <c r="U690" s="102" t="n"/>
      <c r="V690" s="102" t="n"/>
      <c r="W690" s="102" t="n"/>
      <c r="X690" s="102" t="n"/>
      <c r="Y690" s="102" t="n"/>
      <c r="Z690" s="102" t="n"/>
      <c r="AA690" s="102" t="n"/>
      <c r="AB690" s="102" t="n"/>
      <c r="AC690" s="102" t="n"/>
      <c r="AD690" s="102" t="n"/>
    </row>
    <row r="691" ht="15.75" customHeight="1" s="205">
      <c r="A691" s="102" t="n"/>
      <c r="B691" s="142" t="n"/>
      <c r="C691" s="143" t="n"/>
      <c r="D691" s="143" t="n"/>
      <c r="E691" s="143" t="n"/>
      <c r="F691" s="143" t="n"/>
      <c r="G691" s="144" t="n"/>
      <c r="H691" s="145">
        <f>IF(K691&lt;&gt;"", HYPERLINK("https://chatgpt.com/?prompt=" &amp; SUBSTITUTE(SUBSTITUTE(K691, " ", "+"), "&amp;", "dan") &amp; "&amp;force-refresh=true&amp;timestamp=" &amp; TEXT(NOW(), "yyyymmddhhmmss"), "👉 Klik untuk Generate Script! 🔥"), "")</f>
        <v/>
      </c>
      <c r="I691" s="143" t="n"/>
      <c r="J691" s="146" t="n"/>
      <c r="K691" s="130">
        <f>IF(AND(B691&lt;&gt;"", C691&lt;&gt;"", D691&lt;&gt;"", E691&lt;&gt;"", F691&lt;&gt;"", G691&lt;&gt;"", J691&lt;&gt;"", 'CONTENT PILLAR MAPPING'!C594&lt;&gt;"", 'CONTENT PILLAR MAPPING'!E594&lt;&gt;"", 'CONTENT PILLAR MAPPING'!F594&lt;&gt;"", 'CONTENT PILLAR MAPPING'!C597&lt;&gt;"", 'CONTENT PILLAR MAPPING'!C602&lt;&gt;"", 'CONTENT PILLAR MAPPING'!D602&lt;&gt;"", 'CONTENT PILLAR MAPPING'!E602&lt;&gt;"", 'CONTENT PILLAR MAPPING'!D610&lt;&gt;"", 'CONTENT PILLAR MAPPING'!D611&lt;&gt;""),
CONCATENATE(
"Sebagai seorang top konten kreator dengan niche utama '", 'CONTENT PILLAR MAPPING'!C594, "', spesifik kategori '", 'CONTENT PILLAR MAPPING'!E594, "', dan super spesifik '", 'CONTENT PILLAR MAPPING'!F594, "', yang dikenal sebagai '", 'CONTENT PILLAR MAPPING'!C597, "'.", CHAR(10),
"Saya memiliki Tone of Voice: '", 'CONTENT PILLAR MAPPING'!C602, "', Brand Archetype: '", 'CONTENT PILLAR MAPPING'!D602, "', dan Deskripsi Gaya Komunikasi: '", 'CONTENT PILLAR MAPPING'!E602, "'.", CHAR(10),
"Target audiens saya adalah: '", 'CONTENT PILLAR MAPPING'!D610, "', dengan segmentasi audiens: '", 'CONTENT PILLAR MAPPING'!D611, "'.", CHAR(10), CHAR(10),
"Mohon buatkan script konten yang **sangat powerful, menarik, inovatif, dan siap pakai** dengan judul ide '", B691, "'.", CHAR(10),
"Konten ini memiliki pilar '", C691, "', nilai tambah utama '", F691, "', dan akan menggunakan storytelling framework '", G691, "'.", CHAR(10),
"Gambaran singkat ide kontennya adalah: '", J691, "'.", CHAR(10),
"Konten ini akan diunggah di platform '", E691, "' dengan format '", D691,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MAPPING'!C597, "'.** Sesuaikan dengan gaya komunikasi saya, dengan fokus pada nilai tambah '", F691,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MAPPING'!D610, ", khusus ", 'CONTENT PILLAR MAPPING'!D611, ") dan membantu mereka menyelesaikan masalah atau mencapai tujuan mereka.", CHAR(10),
"✔ Membantuku membangun personal branding yang kuat dan sustainable, sesuai dengan Positioning saya sebagai '", 'CONTENT PILLAR MAPPING'!C597, "' dan Brand Archetype '", 'CONTENT PILLAR MAPPING'!D602, "'.", CHAR(10),
"✔ Kemas dalam bentuk tabel agar rapi, mudah di baca dan dipahami, dengan kolom 'Judul Konten', 'Pilar', 'Format', 'Draft Script', 'CTA', 'Saran Visual', dan 'Full Caption'. (Kosongkan kolom Link Prompt jika ada)."
),
"")</f>
        <v/>
      </c>
      <c r="L691" s="91" t="n"/>
      <c r="M691" s="91" t="n"/>
      <c r="N691" s="102" t="n"/>
      <c r="O691" s="102" t="n"/>
      <c r="P691" s="102" t="n"/>
      <c r="Q691" s="102" t="n"/>
      <c r="R691" s="102" t="n"/>
      <c r="S691" s="102" t="n"/>
      <c r="T691" s="102" t="n"/>
      <c r="U691" s="102" t="n"/>
      <c r="V691" s="102" t="n"/>
      <c r="W691" s="102" t="n"/>
      <c r="X691" s="102" t="n"/>
      <c r="Y691" s="102" t="n"/>
      <c r="Z691" s="102" t="n"/>
      <c r="AA691" s="102" t="n"/>
      <c r="AB691" s="102" t="n"/>
      <c r="AC691" s="102" t="n"/>
      <c r="AD691" s="102" t="n"/>
    </row>
    <row r="692" ht="15.75" customHeight="1" s="205">
      <c r="A692" s="102" t="n"/>
      <c r="B692" s="147" t="n"/>
      <c r="C692" s="144" t="n"/>
      <c r="D692" s="144" t="n"/>
      <c r="E692" s="144" t="n"/>
      <c r="F692" s="144" t="n"/>
      <c r="G692" s="144" t="n"/>
      <c r="H692" s="141">
        <f>IF(K692&lt;&gt;"", HYPERLINK("https://chatgpt.com/?prompt=" &amp; SUBSTITUTE(SUBSTITUTE(K692, " ", "+"), "&amp;", "dan") &amp; "&amp;force-refresh=true&amp;timestamp=" &amp; TEXT(NOW(), "yyyymmddhhmmss"), "👉 Klik untuk Generate Script! 🔥"), "")</f>
        <v/>
      </c>
      <c r="I692" s="144" t="n"/>
      <c r="J692" s="148" t="n"/>
      <c r="K692" s="140">
        <f>IF(AND(B692&lt;&gt;"", C692&lt;&gt;"", D692&lt;&gt;"", E692&lt;&gt;"", F692&lt;&gt;"", G692&lt;&gt;"", J692&lt;&gt;"", 'CONTENT PILLAR MAPPING'!C594&lt;&gt;"", 'CONTENT PILLAR MAPPING'!E594&lt;&gt;"", 'CONTENT PILLAR MAPPING'!F594&lt;&gt;"", 'CONTENT PILLAR MAPPING'!C597&lt;&gt;"", 'CONTENT PILLAR MAPPING'!C602&lt;&gt;"", 'CONTENT PILLAR MAPPING'!D602&lt;&gt;"", 'CONTENT PILLAR MAPPING'!E602&lt;&gt;"", 'CONTENT PILLAR MAPPING'!D610&lt;&gt;"", 'CONTENT PILLAR MAPPING'!D611&lt;&gt;""),
CONCATENATE(
"Sebagai seorang top konten kreator dengan niche utama '", 'CONTENT PILLAR MAPPING'!C594, "', spesifik kategori '", 'CONTENT PILLAR MAPPING'!E594, "', dan super spesifik '", 'CONTENT PILLAR MAPPING'!F594, "', yang dikenal sebagai '", 'CONTENT PILLAR MAPPING'!C597, "'.", CHAR(10),
"Saya memiliki Tone of Voice: '", 'CONTENT PILLAR MAPPING'!C602, "', Brand Archetype: '", 'CONTENT PILLAR MAPPING'!D602, "', dan Deskripsi Gaya Komunikasi: '", 'CONTENT PILLAR MAPPING'!E602, "'.", CHAR(10),
"Target audiens saya adalah: '", 'CONTENT PILLAR MAPPING'!D610, "', dengan segmentasi audiens: '", 'CONTENT PILLAR MAPPING'!D611, "'.", CHAR(10), CHAR(10),
"Mohon buatkan script konten yang **sangat powerful, menarik, inovatif, dan siap pakai** dengan judul ide '", B692, "'.", CHAR(10),
"Konten ini memiliki pilar '", C692, "', nilai tambah utama '", F692, "', dan akan menggunakan storytelling framework '", G692, "'.", CHAR(10),
"Gambaran singkat ide kontennya adalah: '", J692, "'.", CHAR(10),
"Konten ini akan diunggah di platform '", E692, "' dengan format '", D692,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MAPPING'!C597, "'.** Sesuaikan dengan gaya komunikasi saya, dengan fokus pada nilai tambah '", F692,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MAPPING'!D610, ", khusus ", 'CONTENT PILLAR MAPPING'!D611, ") dan membantu mereka menyelesaikan masalah atau mencapai tujuan mereka.", CHAR(10),
"✔ Membantuku membangun personal branding yang kuat dan sustainable, sesuai dengan Positioning saya sebagai '", 'CONTENT PILLAR MAPPING'!C597, "' dan Brand Archetype '", 'CONTENT PILLAR MAPPING'!D602, "'.", CHAR(10),
"✔ Kemas dalam bentuk tabel agar rapi, mudah di baca dan dipahami, dengan kolom 'Judul Konten', 'Pilar', 'Format', 'Draft Script', 'CTA', 'Saran Visual', dan 'Full Caption'. (Kosongkan kolom Link Prompt jika ada)."
),
"")</f>
        <v/>
      </c>
      <c r="L692" s="199" t="n"/>
      <c r="M692" s="199" t="n"/>
      <c r="N692" s="102" t="n"/>
      <c r="O692" s="102" t="n"/>
      <c r="P692" s="102" t="n"/>
      <c r="Q692" s="102" t="n"/>
      <c r="R692" s="102" t="n"/>
      <c r="S692" s="102" t="n"/>
      <c r="T692" s="102" t="n"/>
      <c r="U692" s="102" t="n"/>
      <c r="V692" s="102" t="n"/>
      <c r="W692" s="102" t="n"/>
      <c r="X692" s="102" t="n"/>
      <c r="Y692" s="102" t="n"/>
      <c r="Z692" s="102" t="n"/>
      <c r="AA692" s="102" t="n"/>
      <c r="AB692" s="102" t="n"/>
      <c r="AC692" s="102" t="n"/>
      <c r="AD692" s="102" t="n"/>
    </row>
    <row r="693" ht="15.75" customHeight="1" s="205">
      <c r="A693" s="102" t="n"/>
      <c r="B693" s="142" t="n"/>
      <c r="C693" s="143" t="n"/>
      <c r="D693" s="143" t="n"/>
      <c r="E693" s="143" t="n"/>
      <c r="F693" s="143" t="n"/>
      <c r="G693" s="144" t="n"/>
      <c r="H693" s="145">
        <f>IF(K693&lt;&gt;"", HYPERLINK("https://chatgpt.com/?prompt=" &amp; SUBSTITUTE(SUBSTITUTE(K693, " ", "+"), "&amp;", "dan") &amp; "&amp;force-refresh=true&amp;timestamp=" &amp; TEXT(NOW(), "yyyymmddhhmmss"), "👉 Klik untuk Generate Script! 🔥"), "")</f>
        <v/>
      </c>
      <c r="I693" s="143" t="n"/>
      <c r="J693" s="146" t="n"/>
      <c r="K693" s="130">
        <f>IF(AND(B693&lt;&gt;"", C693&lt;&gt;"", D693&lt;&gt;"", E693&lt;&gt;"", F693&lt;&gt;"", G693&lt;&gt;"", J693&lt;&gt;"", 'CONTENT PILLAR MAPPING'!C596&lt;&gt;"", 'CONTENT PILLAR MAPPING'!E596&lt;&gt;"", 'CONTENT PILLAR MAPPING'!F596&lt;&gt;"", 'CONTENT PILLAR MAPPING'!C599&lt;&gt;"", 'CONTENT PILLAR MAPPING'!C604&lt;&gt;"", 'CONTENT PILLAR MAPPING'!D604&lt;&gt;"", 'CONTENT PILLAR MAPPING'!E604&lt;&gt;"", 'CONTENT PILLAR MAPPING'!D612&lt;&gt;"", 'CONTENT PILLAR MAPPING'!D613&lt;&gt;""),
CONCATENATE(
"Sebagai seorang top konten kreator dengan niche utama '", 'CONTENT PILLAR MAPPING'!C596, "', spesifik kategori '", 'CONTENT PILLAR MAPPING'!E596, "', dan super spesifik '", 'CONTENT PILLAR MAPPING'!F596, "', yang dikenal sebagai '", 'CONTENT PILLAR MAPPING'!C599, "'.", CHAR(10),
"Saya memiliki Tone of Voice: '", 'CONTENT PILLAR MAPPING'!C604, "', Brand Archetype: '", 'CONTENT PILLAR MAPPING'!D604, "', dan Deskripsi Gaya Komunikasi: '", 'CONTENT PILLAR MAPPING'!E604, "'.", CHAR(10),
"Target audiens saya adalah: '", 'CONTENT PILLAR MAPPING'!D612, "', dengan segmentasi audiens: '", 'CONTENT PILLAR MAPPING'!D613, "'.", CHAR(10), CHAR(10),
"Mohon buatkan script konten yang **sangat powerful, menarik, inovatif, dan siap pakai** dengan judul ide '", B693, "'.", CHAR(10),
"Konten ini memiliki pilar '", C693, "', nilai tambah utama '", F693, "', dan akan menggunakan storytelling framework '", G693, "'.", CHAR(10),
"Gambaran singkat ide kontennya adalah: '", J693, "'.", CHAR(10),
"Konten ini akan diunggah di platform '", E693, "' dengan format '", D693,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MAPPING'!C599, "'.** Sesuaikan dengan gaya komunikasi saya, dengan fokus pada nilai tambah '", F693,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MAPPING'!D612, ", khusus ", 'CONTENT PILLAR MAPPING'!D613, ") dan membantu mereka menyelesaikan masalah atau mencapai tujuan mereka.", CHAR(10),
"✔ Membantuku membangun personal branding yang kuat dan sustainable, sesuai dengan Positioning saya sebagai '", 'CONTENT PILLAR MAPPING'!C599, "' dan Brand Archetype '", 'CONTENT PILLAR MAPPING'!D604, "'.", CHAR(10),
"✔ Kemas dalam bentuk tabel agar rapi, mudah di baca dan dipahami, dengan kolom 'Judul Konten', 'Pilar', 'Format', 'Draft Script', 'CTA', 'Saran Visual', dan 'Full Caption'. (Kosongkan kolom Link Prompt jika ada)."
),
"")</f>
        <v/>
      </c>
      <c r="L693" s="91" t="n"/>
      <c r="M693" s="91" t="n"/>
      <c r="N693" s="102" t="n"/>
      <c r="O693" s="102" t="n"/>
      <c r="P693" s="102" t="n"/>
      <c r="Q693" s="102" t="n"/>
      <c r="R693" s="102" t="n"/>
      <c r="S693" s="102" t="n"/>
      <c r="T693" s="102" t="n"/>
      <c r="U693" s="102" t="n"/>
      <c r="V693" s="102" t="n"/>
      <c r="W693" s="102" t="n"/>
      <c r="X693" s="102" t="n"/>
      <c r="Y693" s="102" t="n"/>
      <c r="Z693" s="102" t="n"/>
      <c r="AA693" s="102" t="n"/>
      <c r="AB693" s="102" t="n"/>
      <c r="AC693" s="102" t="n"/>
      <c r="AD693" s="102" t="n"/>
    </row>
    <row r="694" ht="15.75" customHeight="1" s="205">
      <c r="A694" s="102" t="n"/>
      <c r="B694" s="147" t="n"/>
      <c r="C694" s="144" t="n"/>
      <c r="D694" s="144" t="n"/>
      <c r="E694" s="144" t="n"/>
      <c r="F694" s="144" t="n"/>
      <c r="G694" s="144" t="n"/>
      <c r="H694" s="141">
        <f>IF(K694&lt;&gt;"", HYPERLINK("https://chatgpt.com/?prompt=" &amp; SUBSTITUTE(SUBSTITUTE(K694, " ", "+"), "&amp;", "dan") &amp; "&amp;force-refresh=true&amp;timestamp=" &amp; TEXT(NOW(), "yyyymmddhhmmss"), "👉 Klik untuk Generate Script! 🔥"), "")</f>
        <v/>
      </c>
      <c r="I694" s="144" t="n"/>
      <c r="J694" s="148" t="n"/>
      <c r="K694" s="140">
        <f>IF(AND(B694&lt;&gt;"", C694&lt;&gt;"", D694&lt;&gt;"", E694&lt;&gt;"", F694&lt;&gt;"", G694&lt;&gt;"", J694&lt;&gt;"", 'CONTENT PILLAR MAPPING'!C596&lt;&gt;"", 'CONTENT PILLAR MAPPING'!E596&lt;&gt;"", 'CONTENT PILLAR MAPPING'!F596&lt;&gt;"", 'CONTENT PILLAR MAPPING'!C599&lt;&gt;"", 'CONTENT PILLAR MAPPING'!C604&lt;&gt;"", 'CONTENT PILLAR MAPPING'!D604&lt;&gt;"", 'CONTENT PILLAR MAPPING'!E604&lt;&gt;"", 'CONTENT PILLAR MAPPING'!D612&lt;&gt;"", 'CONTENT PILLAR MAPPING'!D613&lt;&gt;""),
CONCATENATE(
"Sebagai seorang top konten kreator dengan niche utama '", 'CONTENT PILLAR MAPPING'!C596, "', spesifik kategori '", 'CONTENT PILLAR MAPPING'!E596, "', dan super spesifik '", 'CONTENT PILLAR MAPPING'!F596, "', yang dikenal sebagai '", 'CONTENT PILLAR MAPPING'!C599, "'.", CHAR(10),
"Saya memiliki Tone of Voice: '", 'CONTENT PILLAR MAPPING'!C604, "', Brand Archetype: '", 'CONTENT PILLAR MAPPING'!D604, "', dan Deskripsi Gaya Komunikasi: '", 'CONTENT PILLAR MAPPING'!E604, "'.", CHAR(10),
"Target audiens saya adalah: '", 'CONTENT PILLAR MAPPING'!D612, "', dengan segmentasi audiens: '", 'CONTENT PILLAR MAPPING'!D613, "'.", CHAR(10), CHAR(10),
"Mohon buatkan script konten yang **sangat powerful, menarik, inovatif, dan siap pakai** dengan judul ide '", B694, "'.", CHAR(10),
"Konten ini memiliki pilar '", C694, "', nilai tambah utama '", F694, "', dan akan menggunakan storytelling framework '", G694, "'.", CHAR(10),
"Gambaran singkat ide kontennya adalah: '", J694, "'.", CHAR(10),
"Konten ini akan diunggah di platform '", E694, "' dengan format '", D694,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MAPPING'!C599, "'.** Sesuaikan dengan gaya komunikasi saya, dengan fokus pada nilai tambah '", F694,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MAPPING'!D612, ", khusus ", 'CONTENT PILLAR MAPPING'!D613, ") dan membantu mereka menyelesaikan masalah atau mencapai tujuan mereka.", CHAR(10),
"✔ Membantuku membangun personal branding yang kuat dan sustainable, sesuai dengan Positioning saya sebagai '", 'CONTENT PILLAR MAPPING'!C599, "' dan Brand Archetype '", 'CONTENT PILLAR MAPPING'!D604, "'.", CHAR(10),
"✔ Kemas dalam bentuk tabel agar rapi, mudah di baca dan dipahami, dengan kolom 'Judul Konten', 'Pilar', 'Format', 'Draft Script', 'CTA', 'Saran Visual', dan 'Full Caption'. (Kosongkan kolom Link Prompt jika ada)."
),
"")</f>
        <v/>
      </c>
      <c r="L694" s="199" t="n"/>
      <c r="M694" s="199" t="n"/>
      <c r="N694" s="102" t="n"/>
      <c r="O694" s="102" t="n"/>
      <c r="P694" s="102" t="n"/>
      <c r="Q694" s="102" t="n"/>
      <c r="R694" s="102" t="n"/>
      <c r="S694" s="102" t="n"/>
      <c r="T694" s="102" t="n"/>
      <c r="U694" s="102" t="n"/>
      <c r="V694" s="102" t="n"/>
      <c r="W694" s="102" t="n"/>
      <c r="X694" s="102" t="n"/>
      <c r="Y694" s="102" t="n"/>
      <c r="Z694" s="102" t="n"/>
      <c r="AA694" s="102" t="n"/>
      <c r="AB694" s="102" t="n"/>
      <c r="AC694" s="102" t="n"/>
      <c r="AD694" s="102" t="n"/>
    </row>
    <row r="695" ht="15.75" customHeight="1" s="205">
      <c r="A695" s="102" t="n"/>
      <c r="B695" s="142" t="n"/>
      <c r="C695" s="143" t="n"/>
      <c r="D695" s="143" t="n"/>
      <c r="E695" s="143" t="n"/>
      <c r="F695" s="143" t="n"/>
      <c r="G695" s="144" t="n"/>
      <c r="H695" s="145">
        <f>IF(K695&lt;&gt;"", HYPERLINK("https://chatgpt.com/?prompt=" &amp; SUBSTITUTE(SUBSTITUTE(K695, " ", "+"), "&amp;", "dan") &amp; "&amp;force-refresh=true&amp;timestamp=" &amp; TEXT(NOW(), "yyyymmddhhmmss"), "👉 Klik untuk Generate Script! 🔥"), "")</f>
        <v/>
      </c>
      <c r="I695" s="143" t="n"/>
      <c r="J695" s="146" t="n"/>
      <c r="K695" s="130">
        <f>IF(AND(B695&lt;&gt;"", C695&lt;&gt;"", D695&lt;&gt;"", E695&lt;&gt;"", F695&lt;&gt;"", G695&lt;&gt;"", J695&lt;&gt;"", 'CONTENT PILLAR MAPPING'!C598&lt;&gt;"", 'CONTENT PILLAR MAPPING'!E598&lt;&gt;"", 'CONTENT PILLAR MAPPING'!F598&lt;&gt;"", 'CONTENT PILLAR MAPPING'!C601&lt;&gt;"", 'CONTENT PILLAR MAPPING'!C606&lt;&gt;"", 'CONTENT PILLAR MAPPING'!D606&lt;&gt;"", 'CONTENT PILLAR MAPPING'!E606&lt;&gt;"", 'CONTENT PILLAR MAPPING'!D614&lt;&gt;"", 'CONTENT PILLAR MAPPING'!D615&lt;&gt;""),
CONCATENATE(
"Sebagai seorang top konten kreator dengan niche utama '", 'CONTENT PILLAR MAPPING'!C598, "', spesifik kategori '", 'CONTENT PILLAR MAPPING'!E598, "', dan super spesifik '", 'CONTENT PILLAR MAPPING'!F598, "', yang dikenal sebagai '", 'CONTENT PILLAR MAPPING'!C601, "'.", CHAR(10),
"Saya memiliki Tone of Voice: '", 'CONTENT PILLAR MAPPING'!C606, "', Brand Archetype: '", 'CONTENT PILLAR MAPPING'!D606, "', dan Deskripsi Gaya Komunikasi: '", 'CONTENT PILLAR MAPPING'!E606, "'.", CHAR(10),
"Target audiens saya adalah: '", 'CONTENT PILLAR MAPPING'!D614, "', dengan segmentasi audiens: '", 'CONTENT PILLAR MAPPING'!D615, "'.", CHAR(10), CHAR(10),
"Mohon buatkan script konten yang **sangat powerful, menarik, inovatif, dan siap pakai** dengan judul ide '", B695, "'.", CHAR(10),
"Konten ini memiliki pilar '", C695, "', nilai tambah utama '", F695, "', dan akan menggunakan storytelling framework '", G695, "'.", CHAR(10),
"Gambaran singkat ide kontennya adalah: '", J695, "'.", CHAR(10),
"Konten ini akan diunggah di platform '", E695, "' dengan format '", D695,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MAPPING'!C601, "'.** Sesuaikan dengan gaya komunikasi saya, dengan fokus pada nilai tambah '", F695,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MAPPING'!D614, ", khusus ", 'CONTENT PILLAR MAPPING'!D615, ") dan membantu mereka menyelesaikan masalah atau mencapai tujuan mereka.", CHAR(10),
"✔ Membantuku membangun personal branding yang kuat dan sustainable, sesuai dengan Positioning saya sebagai '", 'CONTENT PILLAR MAPPING'!C601, "' dan Brand Archetype '", 'CONTENT PILLAR MAPPING'!D606, "'.", CHAR(10),
"✔ Kemas dalam bentuk tabel agar rapi, mudah di baca dan dipahami, dengan kolom 'Judul Konten', 'Pilar', 'Format', 'Draft Script', 'CTA', 'Saran Visual', dan 'Full Caption'. (Kosongkan kolom Link Prompt jika ada)."
),
"")</f>
        <v/>
      </c>
      <c r="L695" s="91" t="n"/>
      <c r="M695" s="91" t="n"/>
      <c r="N695" s="102" t="n"/>
      <c r="O695" s="102" t="n"/>
      <c r="P695" s="102" t="n"/>
      <c r="Q695" s="102" t="n"/>
      <c r="R695" s="102" t="n"/>
      <c r="S695" s="102" t="n"/>
      <c r="T695" s="102" t="n"/>
      <c r="U695" s="102" t="n"/>
      <c r="V695" s="102" t="n"/>
      <c r="W695" s="102" t="n"/>
      <c r="X695" s="102" t="n"/>
      <c r="Y695" s="102" t="n"/>
      <c r="Z695" s="102" t="n"/>
      <c r="AA695" s="102" t="n"/>
      <c r="AB695" s="102" t="n"/>
      <c r="AC695" s="102" t="n"/>
      <c r="AD695" s="102" t="n"/>
    </row>
    <row r="696" ht="15.75" customHeight="1" s="205">
      <c r="A696" s="102" t="n"/>
      <c r="B696" s="147" t="n"/>
      <c r="C696" s="144" t="n"/>
      <c r="D696" s="144" t="n"/>
      <c r="E696" s="144" t="n"/>
      <c r="F696" s="144" t="n"/>
      <c r="G696" s="144" t="n"/>
      <c r="H696" s="141">
        <f>IF(K696&lt;&gt;"", HYPERLINK("https://chatgpt.com/?prompt=" &amp; SUBSTITUTE(SUBSTITUTE(K696, " ", "+"), "&amp;", "dan") &amp; "&amp;force-refresh=true&amp;timestamp=" &amp; TEXT(NOW(), "yyyymmddhhmmss"), "👉 Klik untuk Generate Script! 🔥"), "")</f>
        <v/>
      </c>
      <c r="I696" s="144" t="n"/>
      <c r="J696" s="148" t="n"/>
      <c r="K696" s="140">
        <f>IF(AND(B696&lt;&gt;"", C696&lt;&gt;"", D696&lt;&gt;"", E696&lt;&gt;"", F696&lt;&gt;"", G696&lt;&gt;"", J696&lt;&gt;"", 'CONTENT PILLAR MAPPING'!C598&lt;&gt;"", 'CONTENT PILLAR MAPPING'!E598&lt;&gt;"", 'CONTENT PILLAR MAPPING'!F598&lt;&gt;"", 'CONTENT PILLAR MAPPING'!C601&lt;&gt;"", 'CONTENT PILLAR MAPPING'!C606&lt;&gt;"", 'CONTENT PILLAR MAPPING'!D606&lt;&gt;"", 'CONTENT PILLAR MAPPING'!E606&lt;&gt;"", 'CONTENT PILLAR MAPPING'!D614&lt;&gt;"", 'CONTENT PILLAR MAPPING'!D615&lt;&gt;""),
CONCATENATE(
"Sebagai seorang top konten kreator dengan niche utama '", 'CONTENT PILLAR MAPPING'!C598, "', spesifik kategori '", 'CONTENT PILLAR MAPPING'!E598, "', dan super spesifik '", 'CONTENT PILLAR MAPPING'!F598, "', yang dikenal sebagai '", 'CONTENT PILLAR MAPPING'!C601, "'.", CHAR(10),
"Saya memiliki Tone of Voice: '", 'CONTENT PILLAR MAPPING'!C606, "', Brand Archetype: '", 'CONTENT PILLAR MAPPING'!D606, "', dan Deskripsi Gaya Komunikasi: '", 'CONTENT PILLAR MAPPING'!E606, "'.", CHAR(10),
"Target audiens saya adalah: '", 'CONTENT PILLAR MAPPING'!D614, "', dengan segmentasi audiens: '", 'CONTENT PILLAR MAPPING'!D615, "'.", CHAR(10), CHAR(10),
"Mohon buatkan script konten yang **sangat powerful, menarik, inovatif, dan siap pakai** dengan judul ide '", B696, "'.", CHAR(10),
"Konten ini memiliki pilar '", C696, "', nilai tambah utama '", F696, "', dan akan menggunakan storytelling framework '", G696, "'.", CHAR(10),
"Gambaran singkat ide kontennya adalah: '", J696, "'.", CHAR(10),
"Konten ini akan diunggah di platform '", E696, "' dengan format '", D696,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MAPPING'!C601, "'.** Sesuaikan dengan gaya komunikasi saya, dengan fokus pada nilai tambah '", F696,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MAPPING'!D614, ", khusus ", 'CONTENT PILLAR MAPPING'!D615, ") dan membantu mereka menyelesaikan masalah atau mencapai tujuan mereka.", CHAR(10),
"✔ Membantuku membangun personal branding yang kuat dan sustainable, sesuai dengan Positioning saya sebagai '", 'CONTENT PILLAR MAPPING'!C601, "' dan Brand Archetype '", 'CONTENT PILLAR MAPPING'!D606, "'.", CHAR(10),
"✔ Kemas dalam bentuk tabel agar rapi, mudah di baca dan dipahami, dengan kolom 'Judul Konten', 'Pilar', 'Format', 'Draft Script', 'CTA', 'Saran Visual', dan 'Full Caption'. (Kosongkan kolom Link Prompt jika ada)."
),
"")</f>
        <v/>
      </c>
      <c r="L696" s="199" t="n"/>
      <c r="M696" s="199" t="n"/>
      <c r="N696" s="102" t="n"/>
      <c r="O696" s="102" t="n"/>
      <c r="P696" s="102" t="n"/>
      <c r="Q696" s="102" t="n"/>
      <c r="R696" s="102" t="n"/>
      <c r="S696" s="102" t="n"/>
      <c r="T696" s="102" t="n"/>
      <c r="U696" s="102" t="n"/>
      <c r="V696" s="102" t="n"/>
      <c r="W696" s="102" t="n"/>
      <c r="X696" s="102" t="n"/>
      <c r="Y696" s="102" t="n"/>
      <c r="Z696" s="102" t="n"/>
      <c r="AA696" s="102" t="n"/>
      <c r="AB696" s="102" t="n"/>
      <c r="AC696" s="102" t="n"/>
      <c r="AD696" s="102" t="n"/>
    </row>
    <row r="697" ht="15.75" customHeight="1" s="205">
      <c r="A697" s="102" t="n"/>
      <c r="B697" s="142" t="n"/>
      <c r="C697" s="143" t="n"/>
      <c r="D697" s="143" t="n"/>
      <c r="E697" s="143" t="n"/>
      <c r="F697" s="143" t="n"/>
      <c r="G697" s="144" t="n"/>
      <c r="H697" s="145">
        <f>IF(K697&lt;&gt;"", HYPERLINK("https://chatgpt.com/?prompt=" &amp; SUBSTITUTE(SUBSTITUTE(K697, " ", "+"), "&amp;", "dan") &amp; "&amp;force-refresh=true&amp;timestamp=" &amp; TEXT(NOW(), "yyyymmddhhmmss"), "👉 Klik untuk Generate Script! 🔥"), "")</f>
        <v/>
      </c>
      <c r="I697" s="143" t="n"/>
      <c r="J697" s="146" t="n"/>
      <c r="K697" s="130">
        <f>IF(AND(B697&lt;&gt;"", C697&lt;&gt;"", D697&lt;&gt;"", E697&lt;&gt;"", F697&lt;&gt;"", G697&lt;&gt;"", J697&lt;&gt;"", 'CONTENT PILLAR MAPPING'!C600&lt;&gt;"", 'CONTENT PILLAR MAPPING'!E600&lt;&gt;"", 'CONTENT PILLAR MAPPING'!F600&lt;&gt;"", 'CONTENT PILLAR MAPPING'!C603&lt;&gt;"", 'CONTENT PILLAR MAPPING'!C608&lt;&gt;"", 'CONTENT PILLAR MAPPING'!D608&lt;&gt;"", 'CONTENT PILLAR MAPPING'!E608&lt;&gt;"", 'CONTENT PILLAR MAPPING'!D616&lt;&gt;"", 'CONTENT PILLAR MAPPING'!D617&lt;&gt;""),
CONCATENATE(
"Sebagai seorang top konten kreator dengan niche utama '", 'CONTENT PILLAR MAPPING'!C600, "', spesifik kategori '", 'CONTENT PILLAR MAPPING'!E600, "', dan super spesifik '", 'CONTENT PILLAR MAPPING'!F600, "', yang dikenal sebagai '", 'CONTENT PILLAR MAPPING'!C603, "'.", CHAR(10),
"Saya memiliki Tone of Voice: '", 'CONTENT PILLAR MAPPING'!C608, "', Brand Archetype: '", 'CONTENT PILLAR MAPPING'!D608, "', dan Deskripsi Gaya Komunikasi: '", 'CONTENT PILLAR MAPPING'!E608, "'.", CHAR(10),
"Target audiens saya adalah: '", 'CONTENT PILLAR MAPPING'!D616, "', dengan segmentasi audiens: '", 'CONTENT PILLAR MAPPING'!D617, "'.", CHAR(10), CHAR(10),
"Mohon buatkan script konten yang **sangat powerful, menarik, inovatif, dan siap pakai** dengan judul ide '", B697, "'.", CHAR(10),
"Konten ini memiliki pilar '", C697, "', nilai tambah utama '", F697, "', dan akan menggunakan storytelling framework '", G697, "'.", CHAR(10),
"Gambaran singkat ide kontennya adalah: '", J697, "'.", CHAR(10),
"Konten ini akan diunggah di platform '", E697, "' dengan format '", D697,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MAPPING'!C603, "'.** Sesuaikan dengan gaya komunikasi saya, dengan fokus pada nilai tambah '", F697,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MAPPING'!D616, ", khusus ", 'CONTENT PILLAR MAPPING'!D617, ") dan membantu mereka menyelesaikan masalah atau mencapai tujuan mereka.", CHAR(10),
"✔ Membantuku membangun personal branding yang kuat dan sustainable, sesuai dengan Positioning saya sebagai '", 'CONTENT PILLAR MAPPING'!C603, "' dan Brand Archetype '", 'CONTENT PILLAR MAPPING'!D608, "'.", CHAR(10),
"✔ Kemas dalam bentuk tabel agar rapi, mudah di baca dan dipahami, dengan kolom 'Judul Konten', 'Pilar', 'Format', 'Draft Script', 'CTA', 'Saran Visual', dan 'Full Caption'. (Kosongkan kolom Link Prompt jika ada)."
),
"")</f>
        <v/>
      </c>
      <c r="L697" s="91" t="n"/>
      <c r="M697" s="91" t="n"/>
      <c r="N697" s="102" t="n"/>
      <c r="O697" s="102" t="n"/>
      <c r="P697" s="102" t="n"/>
      <c r="Q697" s="102" t="n"/>
      <c r="R697" s="102" t="n"/>
      <c r="S697" s="102" t="n"/>
      <c r="T697" s="102" t="n"/>
      <c r="U697" s="102" t="n"/>
      <c r="V697" s="102" t="n"/>
      <c r="W697" s="102" t="n"/>
      <c r="X697" s="102" t="n"/>
      <c r="Y697" s="102" t="n"/>
      <c r="Z697" s="102" t="n"/>
      <c r="AA697" s="102" t="n"/>
      <c r="AB697" s="102" t="n"/>
      <c r="AC697" s="102" t="n"/>
      <c r="AD697" s="102" t="n"/>
    </row>
    <row r="698" ht="15.75" customHeight="1" s="205">
      <c r="A698" s="102" t="n"/>
      <c r="B698" s="147" t="n"/>
      <c r="C698" s="144" t="n"/>
      <c r="D698" s="144" t="n"/>
      <c r="E698" s="144" t="n"/>
      <c r="F698" s="144" t="n"/>
      <c r="G698" s="144" t="n"/>
      <c r="H698" s="141">
        <f>IF(K698&lt;&gt;"", HYPERLINK("https://chatgpt.com/?prompt=" &amp; SUBSTITUTE(SUBSTITUTE(K698, " ", "+"), "&amp;", "dan") &amp; "&amp;force-refresh=true&amp;timestamp=" &amp; TEXT(NOW(), "yyyymmddhhmmss"), "👉 Klik untuk Generate Script! 🔥"), "")</f>
        <v/>
      </c>
      <c r="I698" s="144" t="n"/>
      <c r="J698" s="148" t="n"/>
      <c r="K698" s="140">
        <f>IF(AND(B698&lt;&gt;"", C698&lt;&gt;"", D698&lt;&gt;"", E698&lt;&gt;"", F698&lt;&gt;"", G698&lt;&gt;"", J698&lt;&gt;"", 'CONTENT PILLAR MAPPING'!C600&lt;&gt;"", 'CONTENT PILLAR MAPPING'!E600&lt;&gt;"", 'CONTENT PILLAR MAPPING'!F600&lt;&gt;"", 'CONTENT PILLAR MAPPING'!C603&lt;&gt;"", 'CONTENT PILLAR MAPPING'!C608&lt;&gt;"", 'CONTENT PILLAR MAPPING'!D608&lt;&gt;"", 'CONTENT PILLAR MAPPING'!E608&lt;&gt;"", 'CONTENT PILLAR MAPPING'!D616&lt;&gt;"", 'CONTENT PILLAR MAPPING'!D617&lt;&gt;""),
CONCATENATE(
"Sebagai seorang top konten kreator dengan niche utama '", 'CONTENT PILLAR MAPPING'!C600, "', spesifik kategori '", 'CONTENT PILLAR MAPPING'!E600, "', dan super spesifik '", 'CONTENT PILLAR MAPPING'!F600, "', yang dikenal sebagai '", 'CONTENT PILLAR MAPPING'!C603, "'.", CHAR(10),
"Saya memiliki Tone of Voice: '", 'CONTENT PILLAR MAPPING'!C608, "', Brand Archetype: '", 'CONTENT PILLAR MAPPING'!D608, "', dan Deskripsi Gaya Komunikasi: '", 'CONTENT PILLAR MAPPING'!E608, "'.", CHAR(10),
"Target audiens saya adalah: '", 'CONTENT PILLAR MAPPING'!D616, "', dengan segmentasi audiens: '", 'CONTENT PILLAR MAPPING'!D617, "'.", CHAR(10), CHAR(10),
"Mohon buatkan script konten yang **sangat powerful, menarik, inovatif, dan siap pakai** dengan judul ide '", B698, "'.", CHAR(10),
"Konten ini memiliki pilar '", C698, "', nilai tambah utama '", F698, "', dan akan menggunakan storytelling framework '", G698, "'.", CHAR(10),
"Gambaran singkat ide kontennya adalah: '", J698, "'.", CHAR(10),
"Konten ini akan diunggah di platform '", E698, "' dengan format '", D698,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MAPPING'!C603, "'.** Sesuaikan dengan gaya komunikasi saya, dengan fokus pada nilai tambah '", F698,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MAPPING'!D616, ", khusus ", 'CONTENT PILLAR MAPPING'!D617, ") dan membantu mereka menyelesaikan masalah atau mencapai tujuan mereka.", CHAR(10),
"✔ Membantuku membangun personal branding yang kuat dan sustainable, sesuai dengan Positioning saya sebagai '", 'CONTENT PILLAR MAPPING'!C603, "' dan Brand Archetype '", 'CONTENT PILLAR MAPPING'!D608, "'.", CHAR(10),
"✔ Kemas dalam bentuk tabel agar rapi, mudah di baca dan dipahami, dengan kolom 'Judul Konten', 'Pilar', 'Format', 'Draft Script', 'CTA', 'Saran Visual', dan 'Full Caption'. (Kosongkan kolom Link Prompt jika ada)."
),
"")</f>
        <v/>
      </c>
      <c r="L698" s="199" t="n"/>
      <c r="M698" s="199" t="n"/>
      <c r="N698" s="102" t="n"/>
      <c r="O698" s="102" t="n"/>
      <c r="P698" s="102" t="n"/>
      <c r="Q698" s="102" t="n"/>
      <c r="R698" s="102" t="n"/>
      <c r="S698" s="102" t="n"/>
      <c r="T698" s="102" t="n"/>
      <c r="U698" s="102" t="n"/>
      <c r="V698" s="102" t="n"/>
      <c r="W698" s="102" t="n"/>
      <c r="X698" s="102" t="n"/>
      <c r="Y698" s="102" t="n"/>
      <c r="Z698" s="102" t="n"/>
      <c r="AA698" s="102" t="n"/>
      <c r="AB698" s="102" t="n"/>
      <c r="AC698" s="102" t="n"/>
      <c r="AD698" s="102" t="n"/>
    </row>
    <row r="699" ht="15.75" customHeight="1" s="205">
      <c r="A699" s="102" t="n"/>
      <c r="B699" s="142" t="n"/>
      <c r="C699" s="143" t="n"/>
      <c r="D699" s="143" t="n"/>
      <c r="E699" s="143" t="n"/>
      <c r="F699" s="143" t="n"/>
      <c r="G699" s="144" t="n"/>
      <c r="H699" s="145">
        <f>IF(K699&lt;&gt;"", HYPERLINK("https://chatgpt.com/?prompt=" &amp; SUBSTITUTE(SUBSTITUTE(K699, " ", "+"), "&amp;", "dan") &amp; "&amp;force-refresh=true&amp;timestamp=" &amp; TEXT(NOW(), "yyyymmddhhmmss"), "👉 Klik untuk Generate Script! 🔥"), "")</f>
        <v/>
      </c>
      <c r="I699" s="143" t="n"/>
      <c r="J699" s="146" t="n"/>
      <c r="K699" s="130">
        <f>IF(AND(B699&lt;&gt;"", C699&lt;&gt;"", D699&lt;&gt;"", E699&lt;&gt;"", F699&lt;&gt;"", G699&lt;&gt;"", J699&lt;&gt;"", 'CONTENT PILLAR MAPPING'!C602&lt;&gt;"", 'CONTENT PILLAR MAPPING'!E602&lt;&gt;"", 'CONTENT PILLAR MAPPING'!F602&lt;&gt;"", 'CONTENT PILLAR MAPPING'!C605&lt;&gt;"", 'CONTENT PILLAR MAPPING'!C610&lt;&gt;"", 'CONTENT PILLAR MAPPING'!D610&lt;&gt;"", 'CONTENT PILLAR MAPPING'!E610&lt;&gt;"", 'CONTENT PILLAR MAPPING'!D618&lt;&gt;"", 'CONTENT PILLAR MAPPING'!D619&lt;&gt;""),
CONCATENATE(
"Sebagai seorang top konten kreator dengan niche utama '", 'CONTENT PILLAR MAPPING'!C602, "', spesifik kategori '", 'CONTENT PILLAR MAPPING'!E602, "', dan super spesifik '", 'CONTENT PILLAR MAPPING'!F602, "', yang dikenal sebagai '", 'CONTENT PILLAR MAPPING'!C605, "'.", CHAR(10),
"Saya memiliki Tone of Voice: '", 'CONTENT PILLAR MAPPING'!C610, "', Brand Archetype: '", 'CONTENT PILLAR MAPPING'!D610, "', dan Deskripsi Gaya Komunikasi: '", 'CONTENT PILLAR MAPPING'!E610, "'.", CHAR(10),
"Target audiens saya adalah: '", 'CONTENT PILLAR MAPPING'!D618, "', dengan segmentasi audiens: '", 'CONTENT PILLAR MAPPING'!D619, "'.", CHAR(10), CHAR(10),
"Mohon buatkan script konten yang **sangat powerful, menarik, inovatif, dan siap pakai** dengan judul ide '", B699, "'.", CHAR(10),
"Konten ini memiliki pilar '", C699, "', nilai tambah utama '", F699, "', dan akan menggunakan storytelling framework '", G699, "'.", CHAR(10),
"Gambaran singkat ide kontennya adalah: '", J699, "'.", CHAR(10),
"Konten ini akan diunggah di platform '", E699, "' dengan format '", D699,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MAPPING'!C605, "'.** Sesuaikan dengan gaya komunikasi saya, dengan fokus pada nilai tambah '", F699,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MAPPING'!D618, ", khusus ", 'CONTENT PILLAR MAPPING'!D619, ") dan membantu mereka menyelesaikan masalah atau mencapai tujuan mereka.", CHAR(10),
"✔ Membantuku membangun personal branding yang kuat dan sustainable, sesuai dengan Positioning saya sebagai '", 'CONTENT PILLAR MAPPING'!C605, "' dan Brand Archetype '", 'CONTENT PILLAR MAPPING'!D610, "'.", CHAR(10),
"✔ Kemas dalam bentuk tabel agar rapi, mudah di baca dan dipahami, dengan kolom 'Judul Konten', 'Pilar', 'Format', 'Draft Script', 'CTA', 'Saran Visual', dan 'Full Caption'. (Kosongkan kolom Link Prompt jika ada)."
),
"")</f>
        <v/>
      </c>
      <c r="L699" s="91" t="n"/>
      <c r="M699" s="91" t="n"/>
      <c r="N699" s="102" t="n"/>
      <c r="O699" s="102" t="n"/>
      <c r="P699" s="102" t="n"/>
      <c r="Q699" s="102" t="n"/>
      <c r="R699" s="102" t="n"/>
      <c r="S699" s="102" t="n"/>
      <c r="T699" s="102" t="n"/>
      <c r="U699" s="102" t="n"/>
      <c r="V699" s="102" t="n"/>
      <c r="W699" s="102" t="n"/>
      <c r="X699" s="102" t="n"/>
      <c r="Y699" s="102" t="n"/>
      <c r="Z699" s="102" t="n"/>
      <c r="AA699" s="102" t="n"/>
      <c r="AB699" s="102" t="n"/>
      <c r="AC699" s="102" t="n"/>
      <c r="AD699" s="102" t="n"/>
    </row>
    <row r="700" ht="15.75" customHeight="1" s="205">
      <c r="A700" s="102" t="n"/>
      <c r="B700" s="147" t="n"/>
      <c r="C700" s="144" t="n"/>
      <c r="D700" s="144" t="n"/>
      <c r="E700" s="144" t="n"/>
      <c r="F700" s="144" t="n"/>
      <c r="G700" s="144" t="n"/>
      <c r="H700" s="141">
        <f>IF(K700&lt;&gt;"", HYPERLINK("https://chatgpt.com/?prompt=" &amp; SUBSTITUTE(SUBSTITUTE(K700, " ", "+"), "&amp;", "dan") &amp; "&amp;force-refresh=true&amp;timestamp=" &amp; TEXT(NOW(), "yyyymmddhhmmss"), "👉 Klik untuk Generate Script! 🔥"), "")</f>
        <v/>
      </c>
      <c r="I700" s="144" t="n"/>
      <c r="J700" s="148" t="n"/>
      <c r="K700" s="140">
        <f>IF(AND(B700&lt;&gt;"", C700&lt;&gt;"", D700&lt;&gt;"", E700&lt;&gt;"", F700&lt;&gt;"", G700&lt;&gt;"", J700&lt;&gt;"", 'CONTENT PILLAR MAPPING'!C602&lt;&gt;"", 'CONTENT PILLAR MAPPING'!E602&lt;&gt;"", 'CONTENT PILLAR MAPPING'!F602&lt;&gt;"", 'CONTENT PILLAR MAPPING'!C605&lt;&gt;"", 'CONTENT PILLAR MAPPING'!C610&lt;&gt;"", 'CONTENT PILLAR MAPPING'!D610&lt;&gt;"", 'CONTENT PILLAR MAPPING'!E610&lt;&gt;"", 'CONTENT PILLAR MAPPING'!D618&lt;&gt;"", 'CONTENT PILLAR MAPPING'!D619&lt;&gt;""),
CONCATENATE(
"Sebagai seorang top konten kreator dengan niche utama '", 'CONTENT PILLAR MAPPING'!C602, "', spesifik kategori '", 'CONTENT PILLAR MAPPING'!E602, "', dan super spesifik '", 'CONTENT PILLAR MAPPING'!F602, "', yang dikenal sebagai '", 'CONTENT PILLAR MAPPING'!C605, "'.", CHAR(10),
"Saya memiliki Tone of Voice: '", 'CONTENT PILLAR MAPPING'!C610, "', Brand Archetype: '", 'CONTENT PILLAR MAPPING'!D610, "', dan Deskripsi Gaya Komunikasi: '", 'CONTENT PILLAR MAPPING'!E610, "'.", CHAR(10),
"Target audiens saya adalah: '", 'CONTENT PILLAR MAPPING'!D618, "', dengan segmentasi audiens: '", 'CONTENT PILLAR MAPPING'!D619, "'.", CHAR(10), CHAR(10),
"Mohon buatkan script konten yang **sangat powerful, menarik, inovatif, dan siap pakai** dengan judul ide '", B700, "'.", CHAR(10),
"Konten ini memiliki pilar '", C700, "', nilai tambah utama '", F700, "', dan akan menggunakan storytelling framework '", G700, "'.", CHAR(10),
"Gambaran singkat ide kontennya adalah: '", J700, "'.", CHAR(10),
"Konten ini akan diunggah di platform '", E700, "' dengan format '", D700,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MAPPING'!C605, "'.** Sesuaikan dengan gaya komunikasi saya, dengan fokus pada nilai tambah '", F700,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MAPPING'!D618, ", khusus ", 'CONTENT PILLAR MAPPING'!D619, ") dan membantu mereka menyelesaikan masalah atau mencapai tujuan mereka.", CHAR(10),
"✔ Membantuku membangun personal branding yang kuat dan sustainable, sesuai dengan Positioning saya sebagai '", 'CONTENT PILLAR MAPPING'!C605, "' dan Brand Archetype '", 'CONTENT PILLAR MAPPING'!D610, "'.", CHAR(10),
"✔ Kemas dalam bentuk tabel agar rapi, mudah di baca dan dipahami, dengan kolom 'Judul Konten', 'Pilar', 'Format', 'Draft Script', 'CTA', 'Saran Visual', dan 'Full Caption'. (Kosongkan kolom Link Prompt jika ada)."
),
"")</f>
        <v/>
      </c>
      <c r="L700" s="199" t="n"/>
      <c r="M700" s="199" t="n"/>
      <c r="N700" s="102" t="n"/>
      <c r="O700" s="102" t="n"/>
      <c r="P700" s="102" t="n"/>
      <c r="Q700" s="102" t="n"/>
      <c r="R700" s="102" t="n"/>
      <c r="S700" s="102" t="n"/>
      <c r="T700" s="102" t="n"/>
      <c r="U700" s="102" t="n"/>
      <c r="V700" s="102" t="n"/>
      <c r="W700" s="102" t="n"/>
      <c r="X700" s="102" t="n"/>
      <c r="Y700" s="102" t="n"/>
      <c r="Z700" s="102" t="n"/>
      <c r="AA700" s="102" t="n"/>
      <c r="AB700" s="102" t="n"/>
      <c r="AC700" s="102" t="n"/>
      <c r="AD700" s="102" t="n"/>
    </row>
    <row r="701" ht="15.75" customHeight="1" s="205">
      <c r="A701" s="102" t="n"/>
      <c r="B701" s="142" t="n"/>
      <c r="C701" s="143" t="n"/>
      <c r="D701" s="143" t="n"/>
      <c r="E701" s="143" t="n"/>
      <c r="F701" s="143" t="n"/>
      <c r="G701" s="144" t="n"/>
      <c r="H701" s="145">
        <f>IF(K701&lt;&gt;"", HYPERLINK("https://chatgpt.com/?prompt=" &amp; SUBSTITUTE(SUBSTITUTE(K701, " ", "+"), "&amp;", "dan") &amp; "&amp;force-refresh=true&amp;timestamp=" &amp; TEXT(NOW(), "yyyymmddhhmmss"), "👉 Klik untuk Generate Script! 🔥"), "")</f>
        <v/>
      </c>
      <c r="I701" s="143" t="n"/>
      <c r="J701" s="146" t="n"/>
      <c r="K701" s="130">
        <f>IF(AND(B701&lt;&gt;"", C701&lt;&gt;"", D701&lt;&gt;"", E701&lt;&gt;"", F701&lt;&gt;"", G701&lt;&gt;"", J701&lt;&gt;"", 'CONTENT PILLAR MAPPING'!C604&lt;&gt;"", 'CONTENT PILLAR MAPPING'!E604&lt;&gt;"", 'CONTENT PILLAR MAPPING'!F604&lt;&gt;"", 'CONTENT PILLAR MAPPING'!C607&lt;&gt;"", 'CONTENT PILLAR MAPPING'!C612&lt;&gt;"", 'CONTENT PILLAR MAPPING'!D612&lt;&gt;"", 'CONTENT PILLAR MAPPING'!E612&lt;&gt;"", 'CONTENT PILLAR MAPPING'!D620&lt;&gt;"", 'CONTENT PILLAR MAPPING'!D621&lt;&gt;""),
CONCATENATE(
"Sebagai seorang top konten kreator dengan niche utama '", 'CONTENT PILLAR MAPPING'!C604, "', spesifik kategori '", 'CONTENT PILLAR MAPPING'!E604, "', dan super spesifik '", 'CONTENT PILLAR MAPPING'!F604, "', yang dikenal sebagai '", 'CONTENT PILLAR MAPPING'!C607, "'.", CHAR(10),
"Saya memiliki Tone of Voice: '", 'CONTENT PILLAR MAPPING'!C612, "', Brand Archetype: '", 'CONTENT PILLAR MAPPING'!D612, "', dan Deskripsi Gaya Komunikasi: '", 'CONTENT PILLAR MAPPING'!E612, "'.", CHAR(10),
"Target audiens saya adalah: '", 'CONTENT PILLAR MAPPING'!D620, "', dengan segmentasi audiens: '", 'CONTENT PILLAR MAPPING'!D621, "'.", CHAR(10), CHAR(10),
"Mohon buatkan script konten yang **sangat powerful, menarik, inovatif, dan siap pakai** dengan judul ide '", B701, "'.", CHAR(10),
"Konten ini memiliki pilar '", C701, "', nilai tambah utama '", F701, "', dan akan menggunakan storytelling framework '", G701, "'.", CHAR(10),
"Gambaran singkat ide kontennya adalah: '", J701, "'.", CHAR(10),
"Konten ini akan diunggah di platform '", E701, "' dengan format '", D701,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MAPPING'!C607, "'.** Sesuaikan dengan gaya komunikasi saya, dengan fokus pada nilai tambah '", F701,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MAPPING'!D620, ", khusus ", 'CONTENT PILLAR MAPPING'!D621, ") dan membantu mereka menyelesaikan masalah atau mencapai tujuan mereka.", CHAR(10),
"✔ Membantuku membangun personal branding yang kuat dan sustainable, sesuai dengan Positioning saya sebagai '", 'CONTENT PILLAR MAPPING'!C607, "' dan Brand Archetype '", 'CONTENT PILLAR MAPPING'!D612, "'.", CHAR(10),
"✔ Kemas dalam bentuk tabel agar rapi, mudah di baca dan dipahami, dengan kolom 'Judul Konten', 'Pilar', 'Format', 'Draft Script', 'CTA', 'Saran Visual', dan 'Full Caption'. (Kosongkan kolom Link Prompt jika ada)."
),
"")</f>
        <v/>
      </c>
      <c r="L701" s="91" t="n"/>
      <c r="M701" s="91" t="n"/>
      <c r="N701" s="102" t="n"/>
      <c r="O701" s="102" t="n"/>
      <c r="P701" s="102" t="n"/>
      <c r="Q701" s="102" t="n"/>
      <c r="R701" s="102" t="n"/>
      <c r="S701" s="102" t="n"/>
      <c r="T701" s="102" t="n"/>
      <c r="U701" s="102" t="n"/>
      <c r="V701" s="102" t="n"/>
      <c r="W701" s="102" t="n"/>
      <c r="X701" s="102" t="n"/>
      <c r="Y701" s="102" t="n"/>
      <c r="Z701" s="102" t="n"/>
      <c r="AA701" s="102" t="n"/>
      <c r="AB701" s="102" t="n"/>
      <c r="AC701" s="102" t="n"/>
      <c r="AD701" s="102" t="n"/>
    </row>
    <row r="702" ht="15.75" customHeight="1" s="205">
      <c r="A702" s="102" t="n"/>
      <c r="B702" s="147" t="n"/>
      <c r="C702" s="144" t="n"/>
      <c r="D702" s="144" t="n"/>
      <c r="E702" s="144" t="n"/>
      <c r="F702" s="144" t="n"/>
      <c r="G702" s="144" t="n"/>
      <c r="H702" s="141">
        <f>IF(K702&lt;&gt;"", HYPERLINK("https://chatgpt.com/?prompt=" &amp; SUBSTITUTE(SUBSTITUTE(K702, " ", "+"), "&amp;", "dan") &amp; "&amp;force-refresh=true&amp;timestamp=" &amp; TEXT(NOW(), "yyyymmddhhmmss"), "👉 Klik untuk Generate Script! 🔥"), "")</f>
        <v/>
      </c>
      <c r="I702" s="144" t="n"/>
      <c r="J702" s="148" t="n"/>
      <c r="K702" s="140">
        <f>IF(AND(B702&lt;&gt;"", C702&lt;&gt;"", D702&lt;&gt;"", E702&lt;&gt;"", F702&lt;&gt;"", G702&lt;&gt;"", J702&lt;&gt;"", 'CONTENT PILLAR MAPPING'!C604&lt;&gt;"", 'CONTENT PILLAR MAPPING'!E604&lt;&gt;"", 'CONTENT PILLAR MAPPING'!F604&lt;&gt;"", 'CONTENT PILLAR MAPPING'!C607&lt;&gt;"", 'CONTENT PILLAR MAPPING'!C612&lt;&gt;"", 'CONTENT PILLAR MAPPING'!D612&lt;&gt;"", 'CONTENT PILLAR MAPPING'!E612&lt;&gt;"", 'CONTENT PILLAR MAPPING'!D620&lt;&gt;"", 'CONTENT PILLAR MAPPING'!D621&lt;&gt;""),
CONCATENATE(
"Sebagai seorang top konten kreator dengan niche utama '", 'CONTENT PILLAR MAPPING'!C604, "', spesifik kategori '", 'CONTENT PILLAR MAPPING'!E604, "', dan super spesifik '", 'CONTENT PILLAR MAPPING'!F604, "', yang dikenal sebagai '", 'CONTENT PILLAR MAPPING'!C607, "'.", CHAR(10),
"Saya memiliki Tone of Voice: '", 'CONTENT PILLAR MAPPING'!C612, "', Brand Archetype: '", 'CONTENT PILLAR MAPPING'!D612, "', dan Deskripsi Gaya Komunikasi: '", 'CONTENT PILLAR MAPPING'!E612, "'.", CHAR(10),
"Target audiens saya adalah: '", 'CONTENT PILLAR MAPPING'!D620, "', dengan segmentasi audiens: '", 'CONTENT PILLAR MAPPING'!D621, "'.", CHAR(10), CHAR(10),
"Mohon buatkan script konten yang **sangat powerful, menarik, inovatif, dan siap pakai** dengan judul ide '", B702, "'.", CHAR(10),
"Konten ini memiliki pilar '", C702, "', nilai tambah utama '", F702, "', dan akan menggunakan storytelling framework '", G702, "'.", CHAR(10),
"Gambaran singkat ide kontennya adalah: '", J702, "'.", CHAR(10),
"Konten ini akan diunggah di platform '", E702, "' dengan format '", D702,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MAPPING'!C607, "'.** Sesuaikan dengan gaya komunikasi saya, dengan fokus pada nilai tambah '", F702,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MAPPING'!D620, ", khusus ", 'CONTENT PILLAR MAPPING'!D621, ") dan membantu mereka menyelesaikan masalah atau mencapai tujuan mereka.", CHAR(10),
"✔ Membantuku membangun personal branding yang kuat dan sustainable, sesuai dengan Positioning saya sebagai '", 'CONTENT PILLAR MAPPING'!C607, "' dan Brand Archetype '", 'CONTENT PILLAR MAPPING'!D612, "'.", CHAR(10),
"✔ Kemas dalam bentuk tabel agar rapi, mudah di baca dan dipahami, dengan kolom 'Judul Konten', 'Pilar', 'Format', 'Draft Script', 'CTA', 'Saran Visual', dan 'Full Caption'. (Kosongkan kolom Link Prompt jika ada)."
),
"")</f>
        <v/>
      </c>
      <c r="L702" s="199" t="n"/>
      <c r="M702" s="199" t="n"/>
      <c r="N702" s="102" t="n"/>
      <c r="O702" s="102" t="n"/>
      <c r="P702" s="102" t="n"/>
      <c r="Q702" s="102" t="n"/>
      <c r="R702" s="102" t="n"/>
      <c r="S702" s="102" t="n"/>
      <c r="T702" s="102" t="n"/>
      <c r="U702" s="102" t="n"/>
      <c r="V702" s="102" t="n"/>
      <c r="W702" s="102" t="n"/>
      <c r="X702" s="102" t="n"/>
      <c r="Y702" s="102" t="n"/>
      <c r="Z702" s="102" t="n"/>
      <c r="AA702" s="102" t="n"/>
      <c r="AB702" s="102" t="n"/>
      <c r="AC702" s="102" t="n"/>
      <c r="AD702" s="102" t="n"/>
    </row>
    <row r="703" ht="15.75" customHeight="1" s="205">
      <c r="A703" s="102" t="n"/>
      <c r="B703" s="142" t="n"/>
      <c r="C703" s="143" t="n"/>
      <c r="D703" s="143" t="n"/>
      <c r="E703" s="143" t="n"/>
      <c r="F703" s="143" t="n"/>
      <c r="G703" s="144" t="n"/>
      <c r="H703" s="145">
        <f>IF(K703&lt;&gt;"", HYPERLINK("https://chatgpt.com/?prompt=" &amp; SUBSTITUTE(SUBSTITUTE(K703, " ", "+"), "&amp;", "dan") &amp; "&amp;force-refresh=true&amp;timestamp=" &amp; TEXT(NOW(), "yyyymmddhhmmss"), "👉 Klik untuk Generate Script! 🔥"), "")</f>
        <v/>
      </c>
      <c r="I703" s="143" t="n"/>
      <c r="J703" s="146" t="n"/>
      <c r="K703" s="130">
        <f>IF(AND(B703&lt;&gt;"", C703&lt;&gt;"", D703&lt;&gt;"", E703&lt;&gt;"", F703&lt;&gt;"", G703&lt;&gt;"", J703&lt;&gt;"", 'CONTENT PILLAR MAPPING'!C606&lt;&gt;"", 'CONTENT PILLAR MAPPING'!E606&lt;&gt;"", 'CONTENT PILLAR MAPPING'!F606&lt;&gt;"", 'CONTENT PILLAR MAPPING'!C609&lt;&gt;"", 'CONTENT PILLAR MAPPING'!C614&lt;&gt;"", 'CONTENT PILLAR MAPPING'!D614&lt;&gt;"", 'CONTENT PILLAR MAPPING'!E614&lt;&gt;"", 'CONTENT PILLAR MAPPING'!D622&lt;&gt;"", 'CONTENT PILLAR MAPPING'!D623&lt;&gt;""),
CONCATENATE(
"Sebagai seorang top konten kreator dengan niche utama '", 'CONTENT PILLAR MAPPING'!C606, "', spesifik kategori '", 'CONTENT PILLAR MAPPING'!E606, "', dan super spesifik '", 'CONTENT PILLAR MAPPING'!F606, "', yang dikenal sebagai '", 'CONTENT PILLAR MAPPING'!C609, "'.", CHAR(10),
"Saya memiliki Tone of Voice: '", 'CONTENT PILLAR MAPPING'!C614, "', Brand Archetype: '", 'CONTENT PILLAR MAPPING'!D614, "', dan Deskripsi Gaya Komunikasi: '", 'CONTENT PILLAR MAPPING'!E614, "'.", CHAR(10),
"Target audiens saya adalah: '", 'CONTENT PILLAR MAPPING'!D622, "', dengan segmentasi audiens: '", 'CONTENT PILLAR MAPPING'!D623, "'.", CHAR(10), CHAR(10),
"Mohon buatkan script konten yang **sangat powerful, menarik, inovatif, dan siap pakai** dengan judul ide '", B703, "'.", CHAR(10),
"Konten ini memiliki pilar '", C703, "', nilai tambah utama '", F703, "', dan akan menggunakan storytelling framework '", G703, "'.", CHAR(10),
"Gambaran singkat ide kontennya adalah: '", J703, "'.", CHAR(10),
"Konten ini akan diunggah di platform '", E703, "' dengan format '", D703,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MAPPING'!C609, "'.** Sesuaikan dengan gaya komunikasi saya, dengan fokus pada nilai tambah '", F703,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MAPPING'!D622, ", khusus ", 'CONTENT PILLAR MAPPING'!D623, ") dan membantu mereka menyelesaikan masalah atau mencapai tujuan mereka.", CHAR(10),
"✔ Membantuku membangun personal branding yang kuat dan sustainable, sesuai dengan Positioning saya sebagai '", 'CONTENT PILLAR MAPPING'!C609, "' dan Brand Archetype '", 'CONTENT PILLAR MAPPING'!D614, "'.", CHAR(10),
"✔ Kemas dalam bentuk tabel agar rapi, mudah di baca dan dipahami, dengan kolom 'Judul Konten', 'Pilar', 'Format', 'Draft Script', 'CTA', 'Saran Visual', dan 'Full Caption'. (Kosongkan kolom Link Prompt jika ada)."
),
"")</f>
        <v/>
      </c>
      <c r="L703" s="91" t="n"/>
      <c r="M703" s="91" t="n"/>
      <c r="N703" s="102" t="n"/>
      <c r="O703" s="102" t="n"/>
      <c r="P703" s="102" t="n"/>
      <c r="Q703" s="102" t="n"/>
      <c r="R703" s="102" t="n"/>
      <c r="S703" s="102" t="n"/>
      <c r="T703" s="102" t="n"/>
      <c r="U703" s="102" t="n"/>
      <c r="V703" s="102" t="n"/>
      <c r="W703" s="102" t="n"/>
      <c r="X703" s="102" t="n"/>
      <c r="Y703" s="102" t="n"/>
      <c r="Z703" s="102" t="n"/>
      <c r="AA703" s="102" t="n"/>
      <c r="AB703" s="102" t="n"/>
      <c r="AC703" s="102" t="n"/>
      <c r="AD703" s="102" t="n"/>
    </row>
    <row r="704" ht="15.75" customHeight="1" s="205">
      <c r="A704" s="102" t="n"/>
      <c r="B704" s="147" t="n"/>
      <c r="C704" s="144" t="n"/>
      <c r="D704" s="144" t="n"/>
      <c r="E704" s="144" t="n"/>
      <c r="F704" s="144" t="n"/>
      <c r="G704" s="144" t="n"/>
      <c r="H704" s="141">
        <f>IF(K704&lt;&gt;"", HYPERLINK("https://chatgpt.com/?prompt=" &amp; SUBSTITUTE(SUBSTITUTE(K704, " ", "+"), "&amp;", "dan") &amp; "&amp;force-refresh=true&amp;timestamp=" &amp; TEXT(NOW(), "yyyymmddhhmmss"), "👉 Klik untuk Generate Script! 🔥"), "")</f>
        <v/>
      </c>
      <c r="I704" s="144" t="n"/>
      <c r="J704" s="148" t="n"/>
      <c r="K704" s="140">
        <f>IF(AND(B704&lt;&gt;"", C704&lt;&gt;"", D704&lt;&gt;"", E704&lt;&gt;"", F704&lt;&gt;"", G704&lt;&gt;"", J704&lt;&gt;"", 'CONTENT PILLAR MAPPING'!C606&lt;&gt;"", 'CONTENT PILLAR MAPPING'!E606&lt;&gt;"", 'CONTENT PILLAR MAPPING'!F606&lt;&gt;"", 'CONTENT PILLAR MAPPING'!C609&lt;&gt;"", 'CONTENT PILLAR MAPPING'!C614&lt;&gt;"", 'CONTENT PILLAR MAPPING'!D614&lt;&gt;"", 'CONTENT PILLAR MAPPING'!E614&lt;&gt;"", 'CONTENT PILLAR MAPPING'!D622&lt;&gt;"", 'CONTENT PILLAR MAPPING'!D623&lt;&gt;""),
CONCATENATE(
"Sebagai seorang top konten kreator dengan niche utama '", 'CONTENT PILLAR MAPPING'!C606, "', spesifik kategori '", 'CONTENT PILLAR MAPPING'!E606, "', dan super spesifik '", 'CONTENT PILLAR MAPPING'!F606, "', yang dikenal sebagai '", 'CONTENT PILLAR MAPPING'!C609, "'.", CHAR(10),
"Saya memiliki Tone of Voice: '", 'CONTENT PILLAR MAPPING'!C614, "', Brand Archetype: '", 'CONTENT PILLAR MAPPING'!D614, "', dan Deskripsi Gaya Komunikasi: '", 'CONTENT PILLAR MAPPING'!E614, "'.", CHAR(10),
"Target audiens saya adalah: '", 'CONTENT PILLAR MAPPING'!D622, "', dengan segmentasi audiens: '", 'CONTENT PILLAR MAPPING'!D623, "'.", CHAR(10), CHAR(10),
"Mohon buatkan script konten yang **sangat powerful, menarik, inovatif, dan siap pakai** dengan judul ide '", B704, "'.", CHAR(10),
"Konten ini memiliki pilar '", C704, "', nilai tambah utama '", F704, "', dan akan menggunakan storytelling framework '", G704, "'.", CHAR(10),
"Gambaran singkat ide kontennya adalah: '", J704, "'.", CHAR(10),
"Konten ini akan diunggah di platform '", E704, "' dengan format '", D704,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MAPPING'!C609, "'.** Sesuaikan dengan gaya komunikasi saya, dengan fokus pada nilai tambah '", F704,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MAPPING'!D622, ", khusus ", 'CONTENT PILLAR MAPPING'!D623, ") dan membantu mereka menyelesaikan masalah atau mencapai tujuan mereka.", CHAR(10),
"✔ Membantuku membangun personal branding yang kuat dan sustainable, sesuai dengan Positioning saya sebagai '", 'CONTENT PILLAR MAPPING'!C609, "' dan Brand Archetype '", 'CONTENT PILLAR MAPPING'!D614, "'.", CHAR(10),
"✔ Kemas dalam bentuk tabel agar rapi, mudah di baca dan dipahami, dengan kolom 'Judul Konten', 'Pilar', 'Format', 'Draft Script', 'CTA', 'Saran Visual', dan 'Full Caption'. (Kosongkan kolom Link Prompt jika ada)."
),
"")</f>
        <v/>
      </c>
      <c r="L704" s="199" t="n"/>
      <c r="M704" s="199" t="n"/>
      <c r="N704" s="102" t="n"/>
      <c r="O704" s="102" t="n"/>
      <c r="P704" s="102" t="n"/>
      <c r="Q704" s="102" t="n"/>
      <c r="R704" s="102" t="n"/>
      <c r="S704" s="102" t="n"/>
      <c r="T704" s="102" t="n"/>
      <c r="U704" s="102" t="n"/>
      <c r="V704" s="102" t="n"/>
      <c r="W704" s="102" t="n"/>
      <c r="X704" s="102" t="n"/>
      <c r="Y704" s="102" t="n"/>
      <c r="Z704" s="102" t="n"/>
      <c r="AA704" s="102" t="n"/>
      <c r="AB704" s="102" t="n"/>
      <c r="AC704" s="102" t="n"/>
      <c r="AD704" s="102" t="n"/>
    </row>
    <row r="705" ht="15.75" customHeight="1" s="205">
      <c r="A705" s="102" t="n"/>
      <c r="B705" s="142" t="n"/>
      <c r="C705" s="143" t="n"/>
      <c r="D705" s="143" t="n"/>
      <c r="E705" s="143" t="n"/>
      <c r="F705" s="143" t="n"/>
      <c r="G705" s="144" t="n"/>
      <c r="H705" s="145">
        <f>IF(K705&lt;&gt;"", HYPERLINK("https://chatgpt.com/?prompt=" &amp; SUBSTITUTE(SUBSTITUTE(K705, " ", "+"), "&amp;", "dan") &amp; "&amp;force-refresh=true&amp;timestamp=" &amp; TEXT(NOW(), "yyyymmddhhmmss"), "👉 Klik untuk Generate Script! 🔥"), "")</f>
        <v/>
      </c>
      <c r="I705" s="143" t="n"/>
      <c r="J705" s="146" t="n"/>
      <c r="K705" s="130">
        <f>IF(AND(B705&lt;&gt;"", C705&lt;&gt;"", D705&lt;&gt;"", E705&lt;&gt;"", F705&lt;&gt;"", G705&lt;&gt;"", J705&lt;&gt;"", 'CONTENT PILLAR MAPPING'!C608&lt;&gt;"", 'CONTENT PILLAR MAPPING'!E608&lt;&gt;"", 'CONTENT PILLAR MAPPING'!F608&lt;&gt;"", 'CONTENT PILLAR MAPPING'!C611&lt;&gt;"", 'CONTENT PILLAR MAPPING'!C616&lt;&gt;"", 'CONTENT PILLAR MAPPING'!D616&lt;&gt;"", 'CONTENT PILLAR MAPPING'!E616&lt;&gt;"", 'CONTENT PILLAR MAPPING'!D624&lt;&gt;"", 'CONTENT PILLAR MAPPING'!D625&lt;&gt;""),
CONCATENATE(
"Sebagai seorang top konten kreator dengan niche utama '", 'CONTENT PILLAR MAPPING'!C608, "', spesifik kategori '", 'CONTENT PILLAR MAPPING'!E608, "', dan super spesifik '", 'CONTENT PILLAR MAPPING'!F608, "', yang dikenal sebagai '", 'CONTENT PILLAR MAPPING'!C611, "'.", CHAR(10),
"Saya memiliki Tone of Voice: '", 'CONTENT PILLAR MAPPING'!C616, "', Brand Archetype: '", 'CONTENT PILLAR MAPPING'!D616, "', dan Deskripsi Gaya Komunikasi: '", 'CONTENT PILLAR MAPPING'!E616, "'.", CHAR(10),
"Target audiens saya adalah: '", 'CONTENT PILLAR MAPPING'!D624, "', dengan segmentasi audiens: '", 'CONTENT PILLAR MAPPING'!D625, "'.", CHAR(10), CHAR(10),
"Mohon buatkan script konten yang **sangat powerful, menarik, inovatif, dan siap pakai** dengan judul ide '", B705, "'.", CHAR(10),
"Konten ini memiliki pilar '", C705, "', nilai tambah utama '", F705, "', dan akan menggunakan storytelling framework '", G705, "'.", CHAR(10),
"Gambaran singkat ide kontennya adalah: '", J705, "'.", CHAR(10),
"Konten ini akan diunggah di platform '", E705, "' dengan format '", D705,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MAPPING'!C611, "'.** Sesuaikan dengan gaya komunikasi saya, dengan fokus pada nilai tambah '", F705,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MAPPING'!D624, ", khusus ", 'CONTENT PILLAR MAPPING'!D625, ") dan membantu mereka menyelesaikan masalah atau mencapai tujuan mereka.", CHAR(10),
"✔ Membantuku membangun personal branding yang kuat dan sustainable, sesuai dengan Positioning saya sebagai '", 'CONTENT PILLAR MAPPING'!C611, "' dan Brand Archetype '", 'CONTENT PILLAR MAPPING'!D616, "'.", CHAR(10),
"✔ Kemas dalam bentuk tabel agar rapi, mudah di baca dan dipahami, dengan kolom 'Judul Konten', 'Pilar', 'Format', 'Draft Script', 'CTA', 'Saran Visual', dan 'Full Caption'. (Kosongkan kolom Link Prompt jika ada)."
),
"")</f>
        <v/>
      </c>
      <c r="L705" s="91" t="n"/>
      <c r="M705" s="91" t="n"/>
      <c r="N705" s="102" t="n"/>
      <c r="O705" s="102" t="n"/>
      <c r="P705" s="102" t="n"/>
      <c r="Q705" s="102" t="n"/>
      <c r="R705" s="102" t="n"/>
      <c r="S705" s="102" t="n"/>
      <c r="T705" s="102" t="n"/>
      <c r="U705" s="102" t="n"/>
      <c r="V705" s="102" t="n"/>
      <c r="W705" s="102" t="n"/>
      <c r="X705" s="102" t="n"/>
      <c r="Y705" s="102" t="n"/>
      <c r="Z705" s="102" t="n"/>
      <c r="AA705" s="102" t="n"/>
      <c r="AB705" s="102" t="n"/>
      <c r="AC705" s="102" t="n"/>
      <c r="AD705" s="102" t="n"/>
    </row>
    <row r="706" ht="15.75" customHeight="1" s="205">
      <c r="A706" s="102" t="n"/>
      <c r="B706" s="147" t="n"/>
      <c r="C706" s="144" t="n"/>
      <c r="D706" s="144" t="n"/>
      <c r="E706" s="144" t="n"/>
      <c r="F706" s="144" t="n"/>
      <c r="G706" s="144" t="n"/>
      <c r="H706" s="141">
        <f>IF(K706&lt;&gt;"", HYPERLINK("https://chatgpt.com/?prompt=" &amp; SUBSTITUTE(SUBSTITUTE(K706, " ", "+"), "&amp;", "dan") &amp; "&amp;force-refresh=true&amp;timestamp=" &amp; TEXT(NOW(), "yyyymmddhhmmss"), "👉 Klik untuk Generate Script! 🔥"), "")</f>
        <v/>
      </c>
      <c r="I706" s="144" t="n"/>
      <c r="J706" s="148" t="n"/>
      <c r="K706" s="140">
        <f>IF(AND(B706&lt;&gt;"", C706&lt;&gt;"", D706&lt;&gt;"", E706&lt;&gt;"", F706&lt;&gt;"", G706&lt;&gt;"", J706&lt;&gt;"", 'CONTENT PILLAR MAPPING'!C608&lt;&gt;"", 'CONTENT PILLAR MAPPING'!E608&lt;&gt;"", 'CONTENT PILLAR MAPPING'!F608&lt;&gt;"", 'CONTENT PILLAR MAPPING'!C611&lt;&gt;"", 'CONTENT PILLAR MAPPING'!C616&lt;&gt;"", 'CONTENT PILLAR MAPPING'!D616&lt;&gt;"", 'CONTENT PILLAR MAPPING'!E616&lt;&gt;"", 'CONTENT PILLAR MAPPING'!D624&lt;&gt;"", 'CONTENT PILLAR MAPPING'!D625&lt;&gt;""),
CONCATENATE(
"Sebagai seorang top konten kreator dengan niche utama '", 'CONTENT PILLAR MAPPING'!C608, "', spesifik kategori '", 'CONTENT PILLAR MAPPING'!E608, "', dan super spesifik '", 'CONTENT PILLAR MAPPING'!F608, "', yang dikenal sebagai '", 'CONTENT PILLAR MAPPING'!C611, "'.", CHAR(10),
"Saya memiliki Tone of Voice: '", 'CONTENT PILLAR MAPPING'!C616, "', Brand Archetype: '", 'CONTENT PILLAR MAPPING'!D616, "', dan Deskripsi Gaya Komunikasi: '", 'CONTENT PILLAR MAPPING'!E616, "'.", CHAR(10),
"Target audiens saya adalah: '", 'CONTENT PILLAR MAPPING'!D624, "', dengan segmentasi audiens: '", 'CONTENT PILLAR MAPPING'!D625, "'.", CHAR(10), CHAR(10),
"Mohon buatkan script konten yang **sangat powerful, menarik, inovatif, dan siap pakai** dengan judul ide '", B706, "'.", CHAR(10),
"Konten ini memiliki pilar '", C706, "', nilai tambah utama '", F706, "', dan akan menggunakan storytelling framework '", G706, "'.", CHAR(10),
"Gambaran singkat ide kontennya adalah: '", J706, "'.", CHAR(10),
"Konten ini akan diunggah di platform '", E706, "' dengan format '", D706,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MAPPING'!C611, "'.** Sesuaikan dengan gaya komunikasi saya, dengan fokus pada nilai tambah '", F706,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MAPPING'!D624, ", khusus ", 'CONTENT PILLAR MAPPING'!D625, ") dan membantu mereka menyelesaikan masalah atau mencapai tujuan mereka.", CHAR(10),
"✔ Membantuku membangun personal branding yang kuat dan sustainable, sesuai dengan Positioning saya sebagai '", 'CONTENT PILLAR MAPPING'!C611, "' dan Brand Archetype '", 'CONTENT PILLAR MAPPING'!D616, "'.", CHAR(10),
"✔ Kemas dalam bentuk tabel agar rapi, mudah di baca dan dipahami, dengan kolom 'Judul Konten', 'Pilar', 'Format', 'Draft Script', 'CTA', 'Saran Visual', dan 'Full Caption'. (Kosongkan kolom Link Prompt jika ada)."
),
"")</f>
        <v/>
      </c>
      <c r="L706" s="199" t="n"/>
      <c r="M706" s="199" t="n"/>
      <c r="N706" s="102" t="n"/>
      <c r="O706" s="102" t="n"/>
      <c r="P706" s="102" t="n"/>
      <c r="Q706" s="102" t="n"/>
      <c r="R706" s="102" t="n"/>
      <c r="S706" s="102" t="n"/>
      <c r="T706" s="102" t="n"/>
      <c r="U706" s="102" t="n"/>
      <c r="V706" s="102" t="n"/>
      <c r="W706" s="102" t="n"/>
      <c r="X706" s="102" t="n"/>
      <c r="Y706" s="102" t="n"/>
      <c r="Z706" s="102" t="n"/>
      <c r="AA706" s="102" t="n"/>
      <c r="AB706" s="102" t="n"/>
      <c r="AC706" s="102" t="n"/>
      <c r="AD706" s="102" t="n"/>
    </row>
    <row r="707" ht="15.75" customHeight="1" s="205">
      <c r="A707" s="102" t="n"/>
      <c r="B707" s="142" t="n"/>
      <c r="C707" s="143" t="n"/>
      <c r="D707" s="143" t="n"/>
      <c r="E707" s="143" t="n"/>
      <c r="F707" s="143" t="n"/>
      <c r="G707" s="144" t="n"/>
      <c r="H707" s="145">
        <f>IF(K707&lt;&gt;"", HYPERLINK("https://chatgpt.com/?prompt=" &amp; SUBSTITUTE(SUBSTITUTE(K707, " ", "+"), "&amp;", "dan") &amp; "&amp;force-refresh=true&amp;timestamp=" &amp; TEXT(NOW(), "yyyymmddhhmmss"), "👉 Klik untuk Generate Script! 🔥"), "")</f>
        <v/>
      </c>
      <c r="I707" s="143" t="n"/>
      <c r="J707" s="146" t="n"/>
      <c r="K707" s="130">
        <f>IF(AND(B707&lt;&gt;"", C707&lt;&gt;"", D707&lt;&gt;"", E707&lt;&gt;"", F707&lt;&gt;"", G707&lt;&gt;"", J707&lt;&gt;"", 'CONTENT PILLAR MAPPING'!C610&lt;&gt;"", 'CONTENT PILLAR MAPPING'!E610&lt;&gt;"", 'CONTENT PILLAR MAPPING'!F610&lt;&gt;"", 'CONTENT PILLAR MAPPING'!C613&lt;&gt;"", 'CONTENT PILLAR MAPPING'!C618&lt;&gt;"", 'CONTENT PILLAR MAPPING'!D618&lt;&gt;"", 'CONTENT PILLAR MAPPING'!E618&lt;&gt;"", 'CONTENT PILLAR MAPPING'!D626&lt;&gt;"", 'CONTENT PILLAR MAPPING'!D627&lt;&gt;""),
CONCATENATE(
"Sebagai seorang top konten kreator dengan niche utama '", 'CONTENT PILLAR MAPPING'!C610, "', spesifik kategori '", 'CONTENT PILLAR MAPPING'!E610, "', dan super spesifik '", 'CONTENT PILLAR MAPPING'!F610, "', yang dikenal sebagai '", 'CONTENT PILLAR MAPPING'!C613, "'.", CHAR(10),
"Saya memiliki Tone of Voice: '", 'CONTENT PILLAR MAPPING'!C618, "', Brand Archetype: '", 'CONTENT PILLAR MAPPING'!D618, "', dan Deskripsi Gaya Komunikasi: '", 'CONTENT PILLAR MAPPING'!E618, "'.", CHAR(10),
"Target audiens saya adalah: '", 'CONTENT PILLAR MAPPING'!D626, "', dengan segmentasi audiens: '", 'CONTENT PILLAR MAPPING'!D627, "'.", CHAR(10), CHAR(10),
"Mohon buatkan script konten yang **sangat powerful, menarik, inovatif, dan siap pakai** dengan judul ide '", B707, "'.", CHAR(10),
"Konten ini memiliki pilar '", C707, "', nilai tambah utama '", F707, "', dan akan menggunakan storytelling framework '", G707, "'.", CHAR(10),
"Gambaran singkat ide kontennya adalah: '", J707, "'.", CHAR(10),
"Konten ini akan diunggah di platform '", E707, "' dengan format '", D707,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MAPPING'!C613, "'.** Sesuaikan dengan gaya komunikasi saya, dengan fokus pada nilai tambah '", F707,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MAPPING'!D626, ", khusus ", 'CONTENT PILLAR MAPPING'!D627, ") dan membantu mereka menyelesaikan masalah atau mencapai tujuan mereka.", CHAR(10),
"✔ Membantuku membangun personal branding yang kuat dan sustainable, sesuai dengan Positioning saya sebagai '", 'CONTENT PILLAR MAPPING'!C613, "' dan Brand Archetype '", 'CONTENT PILLAR MAPPING'!D618, "'.", CHAR(10),
"✔ Kemas dalam bentuk tabel agar rapi, mudah di baca dan dipahami, dengan kolom 'Judul Konten', 'Pilar', 'Format', 'Draft Script', 'CTA', 'Saran Visual', dan 'Full Caption'. (Kosongkan kolom Link Prompt jika ada)."
),
"")</f>
        <v/>
      </c>
      <c r="L707" s="91" t="n"/>
      <c r="M707" s="91" t="n"/>
      <c r="N707" s="102" t="n"/>
      <c r="O707" s="102" t="n"/>
      <c r="P707" s="102" t="n"/>
      <c r="Q707" s="102" t="n"/>
      <c r="R707" s="102" t="n"/>
      <c r="S707" s="102" t="n"/>
      <c r="T707" s="102" t="n"/>
      <c r="U707" s="102" t="n"/>
      <c r="V707" s="102" t="n"/>
      <c r="W707" s="102" t="n"/>
      <c r="X707" s="102" t="n"/>
      <c r="Y707" s="102" t="n"/>
      <c r="Z707" s="102" t="n"/>
      <c r="AA707" s="102" t="n"/>
      <c r="AB707" s="102" t="n"/>
      <c r="AC707" s="102" t="n"/>
      <c r="AD707" s="102" t="n"/>
    </row>
    <row r="708" ht="15.75" customHeight="1" s="205">
      <c r="A708" s="102" t="n"/>
      <c r="B708" s="147" t="n"/>
      <c r="C708" s="144" t="n"/>
      <c r="D708" s="144" t="n"/>
      <c r="E708" s="144" t="n"/>
      <c r="F708" s="144" t="n"/>
      <c r="G708" s="144" t="n"/>
      <c r="H708" s="141">
        <f>IF(K708&lt;&gt;"", HYPERLINK("https://chatgpt.com/?prompt=" &amp; SUBSTITUTE(SUBSTITUTE(K708, " ", "+"), "&amp;", "dan") &amp; "&amp;force-refresh=true&amp;timestamp=" &amp; TEXT(NOW(), "yyyymmddhhmmss"), "👉 Klik untuk Generate Script! 🔥"), "")</f>
        <v/>
      </c>
      <c r="I708" s="144" t="n"/>
      <c r="J708" s="148" t="n"/>
      <c r="K708" s="140">
        <f>IF(AND(B708&lt;&gt;"", C708&lt;&gt;"", D708&lt;&gt;"", E708&lt;&gt;"", F708&lt;&gt;"", G708&lt;&gt;"", J708&lt;&gt;"", 'CONTENT PILLAR MAPPING'!C610&lt;&gt;"", 'CONTENT PILLAR MAPPING'!E610&lt;&gt;"", 'CONTENT PILLAR MAPPING'!F610&lt;&gt;"", 'CONTENT PILLAR MAPPING'!C613&lt;&gt;"", 'CONTENT PILLAR MAPPING'!C618&lt;&gt;"", 'CONTENT PILLAR MAPPING'!D618&lt;&gt;"", 'CONTENT PILLAR MAPPING'!E618&lt;&gt;"", 'CONTENT PILLAR MAPPING'!D626&lt;&gt;"", 'CONTENT PILLAR MAPPING'!D627&lt;&gt;""),
CONCATENATE(
"Sebagai seorang top konten kreator dengan niche utama '", 'CONTENT PILLAR MAPPING'!C610, "', spesifik kategori '", 'CONTENT PILLAR MAPPING'!E610, "', dan super spesifik '", 'CONTENT PILLAR MAPPING'!F610, "', yang dikenal sebagai '", 'CONTENT PILLAR MAPPING'!C613, "'.", CHAR(10),
"Saya memiliki Tone of Voice: '", 'CONTENT PILLAR MAPPING'!C618, "', Brand Archetype: '", 'CONTENT PILLAR MAPPING'!D618, "', dan Deskripsi Gaya Komunikasi: '", 'CONTENT PILLAR MAPPING'!E618, "'.", CHAR(10),
"Target audiens saya adalah: '", 'CONTENT PILLAR MAPPING'!D626, "', dengan segmentasi audiens: '", 'CONTENT PILLAR MAPPING'!D627, "'.", CHAR(10), CHAR(10),
"Mohon buatkan script konten yang **sangat powerful, menarik, inovatif, dan siap pakai** dengan judul ide '", B708, "'.", CHAR(10),
"Konten ini memiliki pilar '", C708, "', nilai tambah utama '", F708, "', dan akan menggunakan storytelling framework '", G708, "'.", CHAR(10),
"Gambaran singkat ide kontennya adalah: '", J708, "'.", CHAR(10),
"Konten ini akan diunggah di platform '", E708, "' dengan format '", D708,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MAPPING'!C613, "'.** Sesuaikan dengan gaya komunikasi saya, dengan fokus pada nilai tambah '", F708,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MAPPING'!D626, ", khusus ", 'CONTENT PILLAR MAPPING'!D627, ") dan membantu mereka menyelesaikan masalah atau mencapai tujuan mereka.", CHAR(10),
"✔ Membantuku membangun personal branding yang kuat dan sustainable, sesuai dengan Positioning saya sebagai '", 'CONTENT PILLAR MAPPING'!C613, "' dan Brand Archetype '", 'CONTENT PILLAR MAPPING'!D618, "'.", CHAR(10),
"✔ Kemas dalam bentuk tabel agar rapi, mudah di baca dan dipahami, dengan kolom 'Judul Konten', 'Pilar', 'Format', 'Draft Script', 'CTA', 'Saran Visual', dan 'Full Caption'. (Kosongkan kolom Link Prompt jika ada)."
),
"")</f>
        <v/>
      </c>
      <c r="L708" s="199" t="n"/>
      <c r="M708" s="199" t="n"/>
      <c r="N708" s="102" t="n"/>
      <c r="O708" s="102" t="n"/>
      <c r="P708" s="102" t="n"/>
      <c r="Q708" s="102" t="n"/>
      <c r="R708" s="102" t="n"/>
      <c r="S708" s="102" t="n"/>
      <c r="T708" s="102" t="n"/>
      <c r="U708" s="102" t="n"/>
      <c r="V708" s="102" t="n"/>
      <c r="W708" s="102" t="n"/>
      <c r="X708" s="102" t="n"/>
      <c r="Y708" s="102" t="n"/>
      <c r="Z708" s="102" t="n"/>
      <c r="AA708" s="102" t="n"/>
      <c r="AB708" s="102" t="n"/>
      <c r="AC708" s="102" t="n"/>
      <c r="AD708" s="102" t="n"/>
    </row>
    <row r="709" ht="15.75" customHeight="1" s="205">
      <c r="A709" s="102" t="n"/>
      <c r="B709" s="142" t="n"/>
      <c r="C709" s="143" t="n"/>
      <c r="D709" s="143" t="n"/>
      <c r="E709" s="143" t="n"/>
      <c r="F709" s="143" t="n"/>
      <c r="G709" s="144" t="n"/>
      <c r="H709" s="145">
        <f>IF(K709&lt;&gt;"", HYPERLINK("https://chatgpt.com/?prompt=" &amp; SUBSTITUTE(SUBSTITUTE(K709, " ", "+"), "&amp;", "dan") &amp; "&amp;force-refresh=true&amp;timestamp=" &amp; TEXT(NOW(), "yyyymmddhhmmss"), "👉 Klik untuk Generate Script! 🔥"), "")</f>
        <v/>
      </c>
      <c r="I709" s="143" t="n"/>
      <c r="J709" s="146" t="n"/>
      <c r="K709" s="130">
        <f>IF(AND(B709&lt;&gt;"", C709&lt;&gt;"", D709&lt;&gt;"", E709&lt;&gt;"", F709&lt;&gt;"", G709&lt;&gt;"", J709&lt;&gt;"", 'CONTENT PILLAR MAPPING'!C612&lt;&gt;"", 'CONTENT PILLAR MAPPING'!E612&lt;&gt;"", 'CONTENT PILLAR MAPPING'!F612&lt;&gt;"", 'CONTENT PILLAR MAPPING'!C615&lt;&gt;"", 'CONTENT PILLAR MAPPING'!C620&lt;&gt;"", 'CONTENT PILLAR MAPPING'!D620&lt;&gt;"", 'CONTENT PILLAR MAPPING'!E620&lt;&gt;"", 'CONTENT PILLAR MAPPING'!D628&lt;&gt;"", 'CONTENT PILLAR MAPPING'!D629&lt;&gt;""),
CONCATENATE(
"Sebagai seorang top konten kreator dengan niche utama '", 'CONTENT PILLAR MAPPING'!C612, "', spesifik kategori '", 'CONTENT PILLAR MAPPING'!E612, "', dan super spesifik '", 'CONTENT PILLAR MAPPING'!F612, "', yang dikenal sebagai '", 'CONTENT PILLAR MAPPING'!C615, "'.", CHAR(10),
"Saya memiliki Tone of Voice: '", 'CONTENT PILLAR MAPPING'!C620, "', Brand Archetype: '", 'CONTENT PILLAR MAPPING'!D620, "', dan Deskripsi Gaya Komunikasi: '", 'CONTENT PILLAR MAPPING'!E620, "'.", CHAR(10),
"Target audiens saya adalah: '", 'CONTENT PILLAR MAPPING'!D628, "', dengan segmentasi audiens: '", 'CONTENT PILLAR MAPPING'!D629, "'.", CHAR(10), CHAR(10),
"Mohon buatkan script konten yang **sangat powerful, menarik, inovatif, dan siap pakai** dengan judul ide '", B709, "'.", CHAR(10),
"Konten ini memiliki pilar '", C709, "', nilai tambah utama '", F709, "', dan akan menggunakan storytelling framework '", G709, "'.", CHAR(10),
"Gambaran singkat ide kontennya adalah: '", J709, "'.", CHAR(10),
"Konten ini akan diunggah di platform '", E709, "' dengan format '", D709,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MAPPING'!C615, "'.** Sesuaikan dengan gaya komunikasi saya, dengan fokus pada nilai tambah '", F709,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MAPPING'!D628, ", khusus ", 'CONTENT PILLAR MAPPING'!D629, ") dan membantu mereka menyelesaikan masalah atau mencapai tujuan mereka.", CHAR(10),
"✔ Membantuku membangun personal branding yang kuat dan sustainable, sesuai dengan Positioning saya sebagai '", 'CONTENT PILLAR MAPPING'!C615, "' dan Brand Archetype '", 'CONTENT PILLAR MAPPING'!D620, "'.", CHAR(10),
"✔ Kemas dalam bentuk tabel agar rapi, mudah di baca dan dipahami, dengan kolom 'Judul Konten', 'Pilar', 'Format', 'Draft Script', 'CTA', 'Saran Visual', dan 'Full Caption'. (Kosongkan kolom Link Prompt jika ada)."
),
"")</f>
        <v/>
      </c>
      <c r="L709" s="91" t="n"/>
      <c r="M709" s="91" t="n"/>
      <c r="N709" s="102" t="n"/>
      <c r="O709" s="102" t="n"/>
      <c r="P709" s="102" t="n"/>
      <c r="Q709" s="102" t="n"/>
      <c r="R709" s="102" t="n"/>
      <c r="S709" s="102" t="n"/>
      <c r="T709" s="102" t="n"/>
      <c r="U709" s="102" t="n"/>
      <c r="V709" s="102" t="n"/>
      <c r="W709" s="102" t="n"/>
      <c r="X709" s="102" t="n"/>
      <c r="Y709" s="102" t="n"/>
      <c r="Z709" s="102" t="n"/>
      <c r="AA709" s="102" t="n"/>
      <c r="AB709" s="102" t="n"/>
      <c r="AC709" s="102" t="n"/>
      <c r="AD709" s="102" t="n"/>
    </row>
    <row r="710" ht="15.75" customHeight="1" s="205">
      <c r="A710" s="102" t="n"/>
      <c r="B710" s="147" t="n"/>
      <c r="C710" s="144" t="n"/>
      <c r="D710" s="144" t="n"/>
      <c r="E710" s="144" t="n"/>
      <c r="F710" s="144" t="n"/>
      <c r="G710" s="144" t="n"/>
      <c r="H710" s="141">
        <f>IF(K710&lt;&gt;"", HYPERLINK("https://chatgpt.com/?prompt=" &amp; SUBSTITUTE(SUBSTITUTE(K710, " ", "+"), "&amp;", "dan") &amp; "&amp;force-refresh=true&amp;timestamp=" &amp; TEXT(NOW(), "yyyymmddhhmmss"), "👉 Klik untuk Generate Script! 🔥"), "")</f>
        <v/>
      </c>
      <c r="I710" s="144" t="n"/>
      <c r="J710" s="148" t="n"/>
      <c r="K710" s="140">
        <f>IF(AND(B710&lt;&gt;"", C710&lt;&gt;"", D710&lt;&gt;"", E710&lt;&gt;"", F710&lt;&gt;"", G710&lt;&gt;"", J710&lt;&gt;"", 'CONTENT PILLAR MAPPING'!C612&lt;&gt;"", 'CONTENT PILLAR MAPPING'!E612&lt;&gt;"", 'CONTENT PILLAR MAPPING'!F612&lt;&gt;"", 'CONTENT PILLAR MAPPING'!C615&lt;&gt;"", 'CONTENT PILLAR MAPPING'!C620&lt;&gt;"", 'CONTENT PILLAR MAPPING'!D620&lt;&gt;"", 'CONTENT PILLAR MAPPING'!E620&lt;&gt;"", 'CONTENT PILLAR MAPPING'!D628&lt;&gt;"", 'CONTENT PILLAR MAPPING'!D629&lt;&gt;""),
CONCATENATE(
"Sebagai seorang top konten kreator dengan niche utama '", 'CONTENT PILLAR MAPPING'!C612, "', spesifik kategori '", 'CONTENT PILLAR MAPPING'!E612, "', dan super spesifik '", 'CONTENT PILLAR MAPPING'!F612, "', yang dikenal sebagai '", 'CONTENT PILLAR MAPPING'!C615, "'.", CHAR(10),
"Saya memiliki Tone of Voice: '", 'CONTENT PILLAR MAPPING'!C620, "', Brand Archetype: '", 'CONTENT PILLAR MAPPING'!D620, "', dan Deskripsi Gaya Komunikasi: '", 'CONTENT PILLAR MAPPING'!E620, "'.", CHAR(10),
"Target audiens saya adalah: '", 'CONTENT PILLAR MAPPING'!D628, "', dengan segmentasi audiens: '", 'CONTENT PILLAR MAPPING'!D629, "'.", CHAR(10), CHAR(10),
"Mohon buatkan script konten yang **sangat powerful, menarik, inovatif, dan siap pakai** dengan judul ide '", B710, "'.", CHAR(10),
"Konten ini memiliki pilar '", C710, "', nilai tambah utama '", F710, "', dan akan menggunakan storytelling framework '", G710, "'.", CHAR(10),
"Gambaran singkat ide kontennya adalah: '", J710, "'.", CHAR(10),
"Konten ini akan diunggah di platform '", E710, "' dengan format '", D710,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MAPPING'!C615, "'.** Sesuaikan dengan gaya komunikasi saya, dengan fokus pada nilai tambah '", F710,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MAPPING'!D628, ", khusus ", 'CONTENT PILLAR MAPPING'!D629, ") dan membantu mereka menyelesaikan masalah atau mencapai tujuan mereka.", CHAR(10),
"✔ Membantuku membangun personal branding yang kuat dan sustainable, sesuai dengan Positioning saya sebagai '", 'CONTENT PILLAR MAPPING'!C615, "' dan Brand Archetype '", 'CONTENT PILLAR MAPPING'!D620, "'.", CHAR(10),
"✔ Kemas dalam bentuk tabel agar rapi, mudah di baca dan dipahami, dengan kolom 'Judul Konten', 'Pilar', 'Format', 'Draft Script', 'CTA', 'Saran Visual', dan 'Full Caption'. (Kosongkan kolom Link Prompt jika ada)."
),
"")</f>
        <v/>
      </c>
      <c r="L710" s="199" t="n"/>
      <c r="M710" s="199" t="n"/>
      <c r="N710" s="102" t="n"/>
      <c r="O710" s="102" t="n"/>
      <c r="P710" s="102" t="n"/>
      <c r="Q710" s="102" t="n"/>
      <c r="R710" s="102" t="n"/>
      <c r="S710" s="102" t="n"/>
      <c r="T710" s="102" t="n"/>
      <c r="U710" s="102" t="n"/>
      <c r="V710" s="102" t="n"/>
      <c r="W710" s="102" t="n"/>
      <c r="X710" s="102" t="n"/>
      <c r="Y710" s="102" t="n"/>
      <c r="Z710" s="102" t="n"/>
      <c r="AA710" s="102" t="n"/>
      <c r="AB710" s="102" t="n"/>
      <c r="AC710" s="102" t="n"/>
      <c r="AD710" s="102" t="n"/>
    </row>
    <row r="711" ht="15.75" customHeight="1" s="205">
      <c r="A711" s="102" t="n"/>
      <c r="B711" s="142" t="n"/>
      <c r="C711" s="143" t="n"/>
      <c r="D711" s="143" t="n"/>
      <c r="E711" s="143" t="n"/>
      <c r="F711" s="143" t="n"/>
      <c r="G711" s="144" t="n"/>
      <c r="H711" s="145">
        <f>IF(K711&lt;&gt;"", HYPERLINK("https://chatgpt.com/?prompt=" &amp; SUBSTITUTE(SUBSTITUTE(K711, " ", "+"), "&amp;", "dan") &amp; "&amp;force-refresh=true&amp;timestamp=" &amp; TEXT(NOW(), "yyyymmddhhmmss"), "👉 Klik untuk Generate Script! 🔥"), "")</f>
        <v/>
      </c>
      <c r="I711" s="143" t="n"/>
      <c r="J711" s="146" t="n"/>
      <c r="K711" s="130">
        <f>IF(AND(B711&lt;&gt;"", C711&lt;&gt;"", D711&lt;&gt;"", E711&lt;&gt;"", F711&lt;&gt;"", G711&lt;&gt;"", J711&lt;&gt;"", 'CONTENT PILLAR MAPPING'!C614&lt;&gt;"", 'CONTENT PILLAR MAPPING'!E614&lt;&gt;"", 'CONTENT PILLAR MAPPING'!F614&lt;&gt;"", 'CONTENT PILLAR MAPPING'!C617&lt;&gt;"", 'CONTENT PILLAR MAPPING'!C622&lt;&gt;"", 'CONTENT PILLAR MAPPING'!D622&lt;&gt;"", 'CONTENT PILLAR MAPPING'!E622&lt;&gt;"", 'CONTENT PILLAR MAPPING'!D630&lt;&gt;"", 'CONTENT PILLAR MAPPING'!D631&lt;&gt;""),
CONCATENATE(
"Sebagai seorang top konten kreator dengan niche utama '", 'CONTENT PILLAR MAPPING'!C614, "', spesifik kategori '", 'CONTENT PILLAR MAPPING'!E614, "', dan super spesifik '", 'CONTENT PILLAR MAPPING'!F614, "', yang dikenal sebagai '", 'CONTENT PILLAR MAPPING'!C617, "'.", CHAR(10),
"Saya memiliki Tone of Voice: '", 'CONTENT PILLAR MAPPING'!C622, "', Brand Archetype: '", 'CONTENT PILLAR MAPPING'!D622, "', dan Deskripsi Gaya Komunikasi: '", 'CONTENT PILLAR MAPPING'!E622, "'.", CHAR(10),
"Target audiens saya adalah: '", 'CONTENT PILLAR MAPPING'!D630, "', dengan segmentasi audiens: '", 'CONTENT PILLAR MAPPING'!D631, "'.", CHAR(10), CHAR(10),
"Mohon buatkan script konten yang **sangat powerful, menarik, inovatif, dan siap pakai** dengan judul ide '", B711, "'.", CHAR(10),
"Konten ini memiliki pilar '", C711, "', nilai tambah utama '", F711, "', dan akan menggunakan storytelling framework '", G711, "'.", CHAR(10),
"Gambaran singkat ide kontennya adalah: '", J711, "'.", CHAR(10),
"Konten ini akan diunggah di platform '", E711, "' dengan format '", D711,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MAPPING'!C617, "'.** Sesuaikan dengan gaya komunikasi saya, dengan fokus pada nilai tambah '", F711,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MAPPING'!D630, ", khusus ", 'CONTENT PILLAR MAPPING'!D631, ") dan membantu mereka menyelesaikan masalah atau mencapai tujuan mereka.", CHAR(10),
"✔ Membantuku membangun personal branding yang kuat dan sustainable, sesuai dengan Positioning saya sebagai '", 'CONTENT PILLAR MAPPING'!C617, "' dan Brand Archetype '", 'CONTENT PILLAR MAPPING'!D622, "'.", CHAR(10),
"✔ Kemas dalam bentuk tabel agar rapi, mudah di baca dan dipahami, dengan kolom 'Judul Konten', 'Pilar', 'Format', 'Draft Script', 'CTA', 'Saran Visual', dan 'Full Caption'. (Kosongkan kolom Link Prompt jika ada)."
),
"")</f>
        <v/>
      </c>
      <c r="L711" s="91" t="n"/>
      <c r="M711" s="91" t="n"/>
      <c r="N711" s="102" t="n"/>
      <c r="O711" s="102" t="n"/>
      <c r="P711" s="102" t="n"/>
      <c r="Q711" s="102" t="n"/>
      <c r="R711" s="102" t="n"/>
      <c r="S711" s="102" t="n"/>
      <c r="T711" s="102" t="n"/>
      <c r="U711" s="102" t="n"/>
      <c r="V711" s="102" t="n"/>
      <c r="W711" s="102" t="n"/>
      <c r="X711" s="102" t="n"/>
      <c r="Y711" s="102" t="n"/>
      <c r="Z711" s="102" t="n"/>
      <c r="AA711" s="102" t="n"/>
      <c r="AB711" s="102" t="n"/>
      <c r="AC711" s="102" t="n"/>
      <c r="AD711" s="102" t="n"/>
    </row>
    <row r="712" ht="15.75" customHeight="1" s="205">
      <c r="A712" s="102" t="n"/>
      <c r="B712" s="147" t="n"/>
      <c r="C712" s="144" t="n"/>
      <c r="D712" s="144" t="n"/>
      <c r="E712" s="144" t="n"/>
      <c r="F712" s="144" t="n"/>
      <c r="G712" s="144" t="n"/>
      <c r="H712" s="141">
        <f>IF(K712&lt;&gt;"", HYPERLINK("https://chatgpt.com/?prompt=" &amp; SUBSTITUTE(SUBSTITUTE(K712, " ", "+"), "&amp;", "dan") &amp; "&amp;force-refresh=true&amp;timestamp=" &amp; TEXT(NOW(), "yyyymmddhhmmss"), "👉 Klik untuk Generate Script! 🔥"), "")</f>
        <v/>
      </c>
      <c r="I712" s="144" t="n"/>
      <c r="J712" s="148" t="n"/>
      <c r="K712" s="140">
        <f>IF(AND(B712&lt;&gt;"", C712&lt;&gt;"", D712&lt;&gt;"", E712&lt;&gt;"", F712&lt;&gt;"", G712&lt;&gt;"", J712&lt;&gt;"", 'CONTENT PILLAR MAPPING'!C614&lt;&gt;"", 'CONTENT PILLAR MAPPING'!E614&lt;&gt;"", 'CONTENT PILLAR MAPPING'!F614&lt;&gt;"", 'CONTENT PILLAR MAPPING'!C617&lt;&gt;"", 'CONTENT PILLAR MAPPING'!C622&lt;&gt;"", 'CONTENT PILLAR MAPPING'!D622&lt;&gt;"", 'CONTENT PILLAR MAPPING'!E622&lt;&gt;"", 'CONTENT PILLAR MAPPING'!D630&lt;&gt;"", 'CONTENT PILLAR MAPPING'!D631&lt;&gt;""),
CONCATENATE(
"Sebagai seorang top konten kreator dengan niche utama '", 'CONTENT PILLAR MAPPING'!C614, "', spesifik kategori '", 'CONTENT PILLAR MAPPING'!E614, "', dan super spesifik '", 'CONTENT PILLAR MAPPING'!F614, "', yang dikenal sebagai '", 'CONTENT PILLAR MAPPING'!C617, "'.", CHAR(10),
"Saya memiliki Tone of Voice: '", 'CONTENT PILLAR MAPPING'!C622, "', Brand Archetype: '", 'CONTENT PILLAR MAPPING'!D622, "', dan Deskripsi Gaya Komunikasi: '", 'CONTENT PILLAR MAPPING'!E622, "'.", CHAR(10),
"Target audiens saya adalah: '", 'CONTENT PILLAR MAPPING'!D630, "', dengan segmentasi audiens: '", 'CONTENT PILLAR MAPPING'!D631, "'.", CHAR(10), CHAR(10),
"Mohon buatkan script konten yang **sangat powerful, menarik, inovatif, dan siap pakai** dengan judul ide '", B712, "'.", CHAR(10),
"Konten ini memiliki pilar '", C712, "', nilai tambah utama '", F712, "', dan akan menggunakan storytelling framework '", G712, "'.", CHAR(10),
"Gambaran singkat ide kontennya adalah: '", J712, "'.", CHAR(10),
"Konten ini akan diunggah di platform '", E712, "' dengan format '", D712,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MAPPING'!C617, "'.** Sesuaikan dengan gaya komunikasi saya, dengan fokus pada nilai tambah '", F712,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MAPPING'!D630, ", khusus ", 'CONTENT PILLAR MAPPING'!D631, ") dan membantu mereka menyelesaikan masalah atau mencapai tujuan mereka.", CHAR(10),
"✔ Membantuku membangun personal branding yang kuat dan sustainable, sesuai dengan Positioning saya sebagai '", 'CONTENT PILLAR MAPPING'!C617, "' dan Brand Archetype '", 'CONTENT PILLAR MAPPING'!D622, "'.", CHAR(10),
"✔ Kemas dalam bentuk tabel agar rapi, mudah di baca dan dipahami, dengan kolom 'Judul Konten', 'Pilar', 'Format', 'Draft Script', 'CTA', 'Saran Visual', dan 'Full Caption'. (Kosongkan kolom Link Prompt jika ada)."
),
"")</f>
        <v/>
      </c>
      <c r="L712" s="199" t="n"/>
      <c r="M712" s="199" t="n"/>
      <c r="N712" s="102" t="n"/>
      <c r="O712" s="102" t="n"/>
      <c r="P712" s="102" t="n"/>
      <c r="Q712" s="102" t="n"/>
      <c r="R712" s="102" t="n"/>
      <c r="S712" s="102" t="n"/>
      <c r="T712" s="102" t="n"/>
      <c r="U712" s="102" t="n"/>
      <c r="V712" s="102" t="n"/>
      <c r="W712" s="102" t="n"/>
      <c r="X712" s="102" t="n"/>
      <c r="Y712" s="102" t="n"/>
      <c r="Z712" s="102" t="n"/>
      <c r="AA712" s="102" t="n"/>
      <c r="AB712" s="102" t="n"/>
      <c r="AC712" s="102" t="n"/>
      <c r="AD712" s="102" t="n"/>
    </row>
    <row r="713" ht="15.75" customHeight="1" s="205">
      <c r="A713" s="102" t="n"/>
      <c r="B713" s="142" t="n"/>
      <c r="C713" s="143" t="n"/>
      <c r="D713" s="143" t="n"/>
      <c r="E713" s="143" t="n"/>
      <c r="F713" s="143" t="n"/>
      <c r="G713" s="144" t="n"/>
      <c r="H713" s="145">
        <f>IF(K713&lt;&gt;"", HYPERLINK("https://chatgpt.com/?prompt=" &amp; SUBSTITUTE(SUBSTITUTE(K713, " ", "+"), "&amp;", "dan") &amp; "&amp;force-refresh=true&amp;timestamp=" &amp; TEXT(NOW(), "yyyymmddhhmmss"), "👉 Klik untuk Generate Script! 🔥"), "")</f>
        <v/>
      </c>
      <c r="I713" s="143" t="n"/>
      <c r="J713" s="146" t="n"/>
      <c r="K713" s="130">
        <f>IF(AND(B713&lt;&gt;"", C713&lt;&gt;"", D713&lt;&gt;"", E713&lt;&gt;"", F713&lt;&gt;"", G713&lt;&gt;"", J713&lt;&gt;"", 'CONTENT PILLAR MAPPING'!C616&lt;&gt;"", 'CONTENT PILLAR MAPPING'!E616&lt;&gt;"", 'CONTENT PILLAR MAPPING'!F616&lt;&gt;"", 'CONTENT PILLAR MAPPING'!C619&lt;&gt;"", 'CONTENT PILLAR MAPPING'!C624&lt;&gt;"", 'CONTENT PILLAR MAPPING'!D624&lt;&gt;"", 'CONTENT PILLAR MAPPING'!E624&lt;&gt;"", 'CONTENT PILLAR MAPPING'!D632&lt;&gt;"", 'CONTENT PILLAR MAPPING'!D633&lt;&gt;""),
CONCATENATE(
"Sebagai seorang top konten kreator dengan niche utama '", 'CONTENT PILLAR MAPPING'!C616, "', spesifik kategori '", 'CONTENT PILLAR MAPPING'!E616, "', dan super spesifik '", 'CONTENT PILLAR MAPPING'!F616, "', yang dikenal sebagai '", 'CONTENT PILLAR MAPPING'!C619, "'.", CHAR(10),
"Saya memiliki Tone of Voice: '", 'CONTENT PILLAR MAPPING'!C624, "', Brand Archetype: '", 'CONTENT PILLAR MAPPING'!D624, "', dan Deskripsi Gaya Komunikasi: '", 'CONTENT PILLAR MAPPING'!E624, "'.", CHAR(10),
"Target audiens saya adalah: '", 'CONTENT PILLAR MAPPING'!D632, "', dengan segmentasi audiens: '", 'CONTENT PILLAR MAPPING'!D633, "'.", CHAR(10), CHAR(10),
"Mohon buatkan script konten yang **sangat powerful, menarik, inovatif, dan siap pakai** dengan judul ide '", B713, "'.", CHAR(10),
"Konten ini memiliki pilar '", C713, "', nilai tambah utama '", F713, "', dan akan menggunakan storytelling framework '", G713, "'.", CHAR(10),
"Gambaran singkat ide kontennya adalah: '", J713, "'.", CHAR(10),
"Konten ini akan diunggah di platform '", E713, "' dengan format '", D713,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MAPPING'!C619, "'.** Sesuaikan dengan gaya komunikasi saya, dengan fokus pada nilai tambah '", F713,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MAPPING'!D632, ", khusus ", 'CONTENT PILLAR MAPPING'!D633, ") dan membantu mereka menyelesaikan masalah atau mencapai tujuan mereka.", CHAR(10),
"✔ Membantuku membangun personal branding yang kuat dan sustainable, sesuai dengan Positioning saya sebagai '", 'CONTENT PILLAR MAPPING'!C619, "' dan Brand Archetype '", 'CONTENT PILLAR MAPPING'!D624, "'.", CHAR(10),
"✔ Kemas dalam bentuk tabel agar rapi, mudah di baca dan dipahami, dengan kolom 'Judul Konten', 'Pilar', 'Format', 'Draft Script', 'CTA', 'Saran Visual', dan 'Full Caption'. (Kosongkan kolom Link Prompt jika ada)."
),
"")</f>
        <v/>
      </c>
      <c r="L713" s="91" t="n"/>
      <c r="M713" s="91" t="n"/>
      <c r="N713" s="102" t="n"/>
      <c r="O713" s="102" t="n"/>
      <c r="P713" s="102" t="n"/>
      <c r="Q713" s="102" t="n"/>
      <c r="R713" s="102" t="n"/>
      <c r="S713" s="102" t="n"/>
      <c r="T713" s="102" t="n"/>
      <c r="U713" s="102" t="n"/>
      <c r="V713" s="102" t="n"/>
      <c r="W713" s="102" t="n"/>
      <c r="X713" s="102" t="n"/>
      <c r="Y713" s="102" t="n"/>
      <c r="Z713" s="102" t="n"/>
      <c r="AA713" s="102" t="n"/>
      <c r="AB713" s="102" t="n"/>
      <c r="AC713" s="102" t="n"/>
      <c r="AD713" s="102" t="n"/>
    </row>
    <row r="714" ht="15.75" customHeight="1" s="205">
      <c r="A714" s="102" t="n"/>
      <c r="B714" s="147" t="n"/>
      <c r="C714" s="144" t="n"/>
      <c r="D714" s="144" t="n"/>
      <c r="E714" s="144" t="n"/>
      <c r="F714" s="144" t="n"/>
      <c r="G714" s="144" t="n"/>
      <c r="H714" s="141">
        <f>IF(K714&lt;&gt;"", HYPERLINK("https://chatgpt.com/?prompt=" &amp; SUBSTITUTE(SUBSTITUTE(K714, " ", "+"), "&amp;", "dan") &amp; "&amp;force-refresh=true&amp;timestamp=" &amp; TEXT(NOW(), "yyyymmddhhmmss"), "👉 Klik untuk Generate Script! 🔥"), "")</f>
        <v/>
      </c>
      <c r="I714" s="144" t="n"/>
      <c r="J714" s="148" t="n"/>
      <c r="K714" s="140">
        <f>IF(AND(B714&lt;&gt;"", C714&lt;&gt;"", D714&lt;&gt;"", E714&lt;&gt;"", F714&lt;&gt;"", G714&lt;&gt;"", J714&lt;&gt;"", 'CONTENT PILLAR MAPPING'!C616&lt;&gt;"", 'CONTENT PILLAR MAPPING'!E616&lt;&gt;"", 'CONTENT PILLAR MAPPING'!F616&lt;&gt;"", 'CONTENT PILLAR MAPPING'!C619&lt;&gt;"", 'CONTENT PILLAR MAPPING'!C624&lt;&gt;"", 'CONTENT PILLAR MAPPING'!D624&lt;&gt;"", 'CONTENT PILLAR MAPPING'!E624&lt;&gt;"", 'CONTENT PILLAR MAPPING'!D632&lt;&gt;"", 'CONTENT PILLAR MAPPING'!D633&lt;&gt;""),
CONCATENATE(
"Sebagai seorang top konten kreator dengan niche utama '", 'CONTENT PILLAR MAPPING'!C616, "', spesifik kategori '", 'CONTENT PILLAR MAPPING'!E616, "', dan super spesifik '", 'CONTENT PILLAR MAPPING'!F616, "', yang dikenal sebagai '", 'CONTENT PILLAR MAPPING'!C619, "'.", CHAR(10),
"Saya memiliki Tone of Voice: '", 'CONTENT PILLAR MAPPING'!C624, "', Brand Archetype: '", 'CONTENT PILLAR MAPPING'!D624, "', dan Deskripsi Gaya Komunikasi: '", 'CONTENT PILLAR MAPPING'!E624, "'.", CHAR(10),
"Target audiens saya adalah: '", 'CONTENT PILLAR MAPPING'!D632, "', dengan segmentasi audiens: '", 'CONTENT PILLAR MAPPING'!D633, "'.", CHAR(10), CHAR(10),
"Mohon buatkan script konten yang **sangat powerful, menarik, inovatif, dan siap pakai** dengan judul ide '", B714, "'.", CHAR(10),
"Konten ini memiliki pilar '", C714, "', nilai tambah utama '", F714, "', dan akan menggunakan storytelling framework '", G714, "'.", CHAR(10),
"Gambaran singkat ide kontennya adalah: '", J714, "'.", CHAR(10),
"Konten ini akan diunggah di platform '", E714, "' dengan format '", D714,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MAPPING'!C619, "'.** Sesuaikan dengan gaya komunikasi saya, dengan fokus pada nilai tambah '", F714,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MAPPING'!D632, ", khusus ", 'CONTENT PILLAR MAPPING'!D633, ") dan membantu mereka menyelesaikan masalah atau mencapai tujuan mereka.", CHAR(10),
"✔ Membantuku membangun personal branding yang kuat dan sustainable, sesuai dengan Positioning saya sebagai '", 'CONTENT PILLAR MAPPING'!C619, "' dan Brand Archetype '", 'CONTENT PILLAR MAPPING'!D624, "'.", CHAR(10),
"✔ Kemas dalam bentuk tabel agar rapi, mudah di baca dan dipahami, dengan kolom 'Judul Konten', 'Pilar', 'Format', 'Draft Script', 'CTA', 'Saran Visual', dan 'Full Caption'. (Kosongkan kolom Link Prompt jika ada)."
),
"")</f>
        <v/>
      </c>
      <c r="L714" s="199" t="n"/>
      <c r="M714" s="199" t="n"/>
      <c r="N714" s="102" t="n"/>
      <c r="O714" s="102" t="n"/>
      <c r="P714" s="102" t="n"/>
      <c r="Q714" s="102" t="n"/>
      <c r="R714" s="102" t="n"/>
      <c r="S714" s="102" t="n"/>
      <c r="T714" s="102" t="n"/>
      <c r="U714" s="102" t="n"/>
      <c r="V714" s="102" t="n"/>
      <c r="W714" s="102" t="n"/>
      <c r="X714" s="102" t="n"/>
      <c r="Y714" s="102" t="n"/>
      <c r="Z714" s="102" t="n"/>
      <c r="AA714" s="102" t="n"/>
      <c r="AB714" s="102" t="n"/>
      <c r="AC714" s="102" t="n"/>
      <c r="AD714" s="102" t="n"/>
    </row>
    <row r="715" ht="15.75" customHeight="1" s="205">
      <c r="A715" s="102" t="n"/>
      <c r="B715" s="142" t="n"/>
      <c r="C715" s="143" t="n"/>
      <c r="D715" s="143" t="n"/>
      <c r="E715" s="143" t="n"/>
      <c r="F715" s="143" t="n"/>
      <c r="G715" s="144" t="n"/>
      <c r="H715" s="145">
        <f>IF(K715&lt;&gt;"", HYPERLINK("https://chatgpt.com/?prompt=" &amp; SUBSTITUTE(SUBSTITUTE(K715, " ", "+"), "&amp;", "dan") &amp; "&amp;force-refresh=true&amp;timestamp=" &amp; TEXT(NOW(), "yyyymmddhhmmss"), "👉 Klik untuk Generate Script! 🔥"), "")</f>
        <v/>
      </c>
      <c r="I715" s="143" t="n"/>
      <c r="J715" s="146" t="n"/>
      <c r="K715" s="130">
        <f>IF(AND(B715&lt;&gt;"", C715&lt;&gt;"", D715&lt;&gt;"", E715&lt;&gt;"", F715&lt;&gt;"", G715&lt;&gt;"", J715&lt;&gt;"", 'CONTENT PILLAR MAPPING'!C618&lt;&gt;"", 'CONTENT PILLAR MAPPING'!E618&lt;&gt;"", 'CONTENT PILLAR MAPPING'!F618&lt;&gt;"", 'CONTENT PILLAR MAPPING'!C621&lt;&gt;"", 'CONTENT PILLAR MAPPING'!C626&lt;&gt;"", 'CONTENT PILLAR MAPPING'!D626&lt;&gt;"", 'CONTENT PILLAR MAPPING'!E626&lt;&gt;"", 'CONTENT PILLAR MAPPING'!D634&lt;&gt;"", 'CONTENT PILLAR MAPPING'!D635&lt;&gt;""),
CONCATENATE(
"Sebagai seorang top konten kreator dengan niche utama '", 'CONTENT PILLAR MAPPING'!C618, "', spesifik kategori '", 'CONTENT PILLAR MAPPING'!E618, "', dan super spesifik '", 'CONTENT PILLAR MAPPING'!F618, "', yang dikenal sebagai '", 'CONTENT PILLAR MAPPING'!C621, "'.", CHAR(10),
"Saya memiliki Tone of Voice: '", 'CONTENT PILLAR MAPPING'!C626, "', Brand Archetype: '", 'CONTENT PILLAR MAPPING'!D626, "', dan Deskripsi Gaya Komunikasi: '", 'CONTENT PILLAR MAPPING'!E626, "'.", CHAR(10),
"Target audiens saya adalah: '", 'CONTENT PILLAR MAPPING'!D634, "', dengan segmentasi audiens: '", 'CONTENT PILLAR MAPPING'!D635, "'.", CHAR(10), CHAR(10),
"Mohon buatkan script konten yang **sangat powerful, menarik, inovatif, dan siap pakai** dengan judul ide '", B715, "'.", CHAR(10),
"Konten ini memiliki pilar '", C715, "', nilai tambah utama '", F715, "', dan akan menggunakan storytelling framework '", G715, "'.", CHAR(10),
"Gambaran singkat ide kontennya adalah: '", J715, "'.", CHAR(10),
"Konten ini akan diunggah di platform '", E715, "' dengan format '", D715,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MAPPING'!C621, "'.** Sesuaikan dengan gaya komunikasi saya, dengan fokus pada nilai tambah '", F715,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MAPPING'!D634, ", khusus ", 'CONTENT PILLAR MAPPING'!D635, ") dan membantu mereka menyelesaikan masalah atau mencapai tujuan mereka.", CHAR(10),
"✔ Membantuku membangun personal branding yang kuat dan sustainable, sesuai dengan Positioning saya sebagai '", 'CONTENT PILLAR MAPPING'!C621, "' dan Brand Archetype '", 'CONTENT PILLAR MAPPING'!D626, "'.", CHAR(10),
"✔ Kemas dalam bentuk tabel agar rapi, mudah di baca dan dipahami, dengan kolom 'Judul Konten', 'Pilar', 'Format', 'Draft Script', 'CTA', 'Saran Visual', dan 'Full Caption'. (Kosongkan kolom Link Prompt jika ada)."
),
"")</f>
        <v/>
      </c>
      <c r="L715" s="91" t="n"/>
      <c r="M715" s="91" t="n"/>
      <c r="N715" s="102" t="n"/>
      <c r="O715" s="102" t="n"/>
      <c r="P715" s="102" t="n"/>
      <c r="Q715" s="102" t="n"/>
      <c r="R715" s="102" t="n"/>
      <c r="S715" s="102" t="n"/>
      <c r="T715" s="102" t="n"/>
      <c r="U715" s="102" t="n"/>
      <c r="V715" s="102" t="n"/>
      <c r="W715" s="102" t="n"/>
      <c r="X715" s="102" t="n"/>
      <c r="Y715" s="102" t="n"/>
      <c r="Z715" s="102" t="n"/>
      <c r="AA715" s="102" t="n"/>
      <c r="AB715" s="102" t="n"/>
      <c r="AC715" s="102" t="n"/>
      <c r="AD715" s="102" t="n"/>
    </row>
    <row r="716" ht="15.75" customHeight="1" s="205">
      <c r="A716" s="102" t="n"/>
      <c r="B716" s="147" t="n"/>
      <c r="C716" s="144" t="n"/>
      <c r="D716" s="144" t="n"/>
      <c r="E716" s="144" t="n"/>
      <c r="F716" s="144" t="n"/>
      <c r="G716" s="144" t="n"/>
      <c r="H716" s="141">
        <f>IF(K716&lt;&gt;"", HYPERLINK("https://chatgpt.com/?prompt=" &amp; SUBSTITUTE(SUBSTITUTE(K716, " ", "+"), "&amp;", "dan") &amp; "&amp;force-refresh=true&amp;timestamp=" &amp; TEXT(NOW(), "yyyymmddhhmmss"), "👉 Klik untuk Generate Script! 🔥"), "")</f>
        <v/>
      </c>
      <c r="I716" s="144" t="n"/>
      <c r="J716" s="148" t="n"/>
      <c r="K716" s="140">
        <f>IF(AND(B716&lt;&gt;"", C716&lt;&gt;"", D716&lt;&gt;"", E716&lt;&gt;"", F716&lt;&gt;"", G716&lt;&gt;"", J716&lt;&gt;"", 'CONTENT PILLAR MAPPING'!C618&lt;&gt;"", 'CONTENT PILLAR MAPPING'!E618&lt;&gt;"", 'CONTENT PILLAR MAPPING'!F618&lt;&gt;"", 'CONTENT PILLAR MAPPING'!C621&lt;&gt;"", 'CONTENT PILLAR MAPPING'!C626&lt;&gt;"", 'CONTENT PILLAR MAPPING'!D626&lt;&gt;"", 'CONTENT PILLAR MAPPING'!E626&lt;&gt;"", 'CONTENT PILLAR MAPPING'!D634&lt;&gt;"", 'CONTENT PILLAR MAPPING'!D635&lt;&gt;""),
CONCATENATE(
"Sebagai seorang top konten kreator dengan niche utama '", 'CONTENT PILLAR MAPPING'!C618, "', spesifik kategori '", 'CONTENT PILLAR MAPPING'!E618, "', dan super spesifik '", 'CONTENT PILLAR MAPPING'!F618, "', yang dikenal sebagai '", 'CONTENT PILLAR MAPPING'!C621, "'.", CHAR(10),
"Saya memiliki Tone of Voice: '", 'CONTENT PILLAR MAPPING'!C626, "', Brand Archetype: '", 'CONTENT PILLAR MAPPING'!D626, "', dan Deskripsi Gaya Komunikasi: '", 'CONTENT PILLAR MAPPING'!E626, "'.", CHAR(10),
"Target audiens saya adalah: '", 'CONTENT PILLAR MAPPING'!D634, "', dengan segmentasi audiens: '", 'CONTENT PILLAR MAPPING'!D635, "'.", CHAR(10), CHAR(10),
"Mohon buatkan script konten yang **sangat powerful, menarik, inovatif, dan siap pakai** dengan judul ide '", B716, "'.", CHAR(10),
"Konten ini memiliki pilar '", C716, "', nilai tambah utama '", F716, "', dan akan menggunakan storytelling framework '", G716, "'.", CHAR(10),
"Gambaran singkat ide kontennya adalah: '", J716, "'.", CHAR(10),
"Konten ini akan diunggah di platform '", E716, "' dengan format '", D716,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MAPPING'!C621, "'.** Sesuaikan dengan gaya komunikasi saya, dengan fokus pada nilai tambah '", F716,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MAPPING'!D634, ", khusus ", 'CONTENT PILLAR MAPPING'!D635, ") dan membantu mereka menyelesaikan masalah atau mencapai tujuan mereka.", CHAR(10),
"✔ Membantuku membangun personal branding yang kuat dan sustainable, sesuai dengan Positioning saya sebagai '", 'CONTENT PILLAR MAPPING'!C621, "' dan Brand Archetype '", 'CONTENT PILLAR MAPPING'!D626, "'.", CHAR(10),
"✔ Kemas dalam bentuk tabel agar rapi, mudah di baca dan dipahami, dengan kolom 'Judul Konten', 'Pilar', 'Format', 'Draft Script', 'CTA', 'Saran Visual', dan 'Full Caption'. (Kosongkan kolom Link Prompt jika ada)."
),
"")</f>
        <v/>
      </c>
      <c r="L716" s="199" t="n"/>
      <c r="M716" s="199" t="n"/>
      <c r="N716" s="102" t="n"/>
      <c r="O716" s="102" t="n"/>
      <c r="P716" s="102" t="n"/>
      <c r="Q716" s="102" t="n"/>
      <c r="R716" s="102" t="n"/>
      <c r="S716" s="102" t="n"/>
      <c r="T716" s="102" t="n"/>
      <c r="U716" s="102" t="n"/>
      <c r="V716" s="102" t="n"/>
      <c r="W716" s="102" t="n"/>
      <c r="X716" s="102" t="n"/>
      <c r="Y716" s="102" t="n"/>
      <c r="Z716" s="102" t="n"/>
      <c r="AA716" s="102" t="n"/>
      <c r="AB716" s="102" t="n"/>
      <c r="AC716" s="102" t="n"/>
      <c r="AD716" s="102" t="n"/>
    </row>
    <row r="717" ht="15.75" customHeight="1" s="205">
      <c r="A717" s="102" t="n"/>
      <c r="B717" s="142" t="n"/>
      <c r="C717" s="143" t="n"/>
      <c r="D717" s="143" t="n"/>
      <c r="E717" s="143" t="n"/>
      <c r="F717" s="143" t="n"/>
      <c r="G717" s="144" t="n"/>
      <c r="H717" s="145">
        <f>IF(K717&lt;&gt;"", HYPERLINK("https://chatgpt.com/?prompt=" &amp; SUBSTITUTE(SUBSTITUTE(K717, " ", "+"), "&amp;", "dan") &amp; "&amp;force-refresh=true&amp;timestamp=" &amp; TEXT(NOW(), "yyyymmddhhmmss"), "👉 Klik untuk Generate Script! 🔥"), "")</f>
        <v/>
      </c>
      <c r="I717" s="143" t="n"/>
      <c r="J717" s="146" t="n"/>
      <c r="K717" s="130">
        <f>IF(AND(B717&lt;&gt;"", C717&lt;&gt;"", D717&lt;&gt;"", E717&lt;&gt;"", F717&lt;&gt;"", G717&lt;&gt;"", J717&lt;&gt;"", 'CONTENT PILLAR MAPPING'!C620&lt;&gt;"", 'CONTENT PILLAR MAPPING'!E620&lt;&gt;"", 'CONTENT PILLAR MAPPING'!F620&lt;&gt;"", 'CONTENT PILLAR MAPPING'!C623&lt;&gt;"", 'CONTENT PILLAR MAPPING'!C628&lt;&gt;"", 'CONTENT PILLAR MAPPING'!D628&lt;&gt;"", 'CONTENT PILLAR MAPPING'!E628&lt;&gt;"", 'CONTENT PILLAR MAPPING'!D636&lt;&gt;"", 'CONTENT PILLAR MAPPING'!D637&lt;&gt;""),
CONCATENATE(
"Sebagai seorang top konten kreator dengan niche utama '", 'CONTENT PILLAR MAPPING'!C620, "', spesifik kategori '", 'CONTENT PILLAR MAPPING'!E620, "', dan super spesifik '", 'CONTENT PILLAR MAPPING'!F620, "', yang dikenal sebagai '", 'CONTENT PILLAR MAPPING'!C623, "'.", CHAR(10),
"Saya memiliki Tone of Voice: '", 'CONTENT PILLAR MAPPING'!C628, "', Brand Archetype: '", 'CONTENT PILLAR MAPPING'!D628, "', dan Deskripsi Gaya Komunikasi: '", 'CONTENT PILLAR MAPPING'!E628, "'.", CHAR(10),
"Target audiens saya adalah: '", 'CONTENT PILLAR MAPPING'!D636, "', dengan segmentasi audiens: '", 'CONTENT PILLAR MAPPING'!D637, "'.", CHAR(10), CHAR(10),
"Mohon buatkan script konten yang **sangat powerful, menarik, inovatif, dan siap pakai** dengan judul ide '", B717, "'.", CHAR(10),
"Konten ini memiliki pilar '", C717, "', nilai tambah utama '", F717, "', dan akan menggunakan storytelling framework '", G717, "'.", CHAR(10),
"Gambaran singkat ide kontennya adalah: '", J717, "'.", CHAR(10),
"Konten ini akan diunggah di platform '", E717, "' dengan format '", D717,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MAPPING'!C623, "'.** Sesuaikan dengan gaya komunikasi saya, dengan fokus pada nilai tambah '", F717,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MAPPING'!D636, ", khusus ", 'CONTENT PILLAR MAPPING'!D637, ") dan membantu mereka menyelesaikan masalah atau mencapai tujuan mereka.", CHAR(10),
"✔ Membantuku membangun personal branding yang kuat dan sustainable, sesuai dengan Positioning saya sebagai '", 'CONTENT PILLAR MAPPING'!C623, "' dan Brand Archetype '", 'CONTENT PILLAR MAPPING'!D628, "'.", CHAR(10),
"✔ Kemas dalam bentuk tabel agar rapi, mudah di baca dan dipahami, dengan kolom 'Judul Konten', 'Pilar', 'Format', 'Draft Script', 'CTA', 'Saran Visual', dan 'Full Caption'. (Kosongkan kolom Link Prompt jika ada)."
),
"")</f>
        <v/>
      </c>
      <c r="L717" s="91" t="n"/>
      <c r="M717" s="91" t="n"/>
      <c r="N717" s="102" t="n"/>
      <c r="O717" s="102" t="n"/>
      <c r="P717" s="102" t="n"/>
      <c r="Q717" s="102" t="n"/>
      <c r="R717" s="102" t="n"/>
      <c r="S717" s="102" t="n"/>
      <c r="T717" s="102" t="n"/>
      <c r="U717" s="102" t="n"/>
      <c r="V717" s="102" t="n"/>
      <c r="W717" s="102" t="n"/>
      <c r="X717" s="102" t="n"/>
      <c r="Y717" s="102" t="n"/>
      <c r="Z717" s="102" t="n"/>
      <c r="AA717" s="102" t="n"/>
      <c r="AB717" s="102" t="n"/>
      <c r="AC717" s="102" t="n"/>
      <c r="AD717" s="102" t="n"/>
    </row>
    <row r="718" ht="15.75" customHeight="1" s="205">
      <c r="A718" s="102" t="n"/>
      <c r="B718" s="147" t="n"/>
      <c r="C718" s="144" t="n"/>
      <c r="D718" s="144" t="n"/>
      <c r="E718" s="144" t="n"/>
      <c r="F718" s="144" t="n"/>
      <c r="G718" s="144" t="n"/>
      <c r="H718" s="141">
        <f>IF(K718&lt;&gt;"", HYPERLINK("https://chatgpt.com/?prompt=" &amp; SUBSTITUTE(SUBSTITUTE(K718, " ", "+"), "&amp;", "dan") &amp; "&amp;force-refresh=true&amp;timestamp=" &amp; TEXT(NOW(), "yyyymmddhhmmss"), "👉 Klik untuk Generate Script! 🔥"), "")</f>
        <v/>
      </c>
      <c r="I718" s="144" t="n"/>
      <c r="J718" s="148" t="n"/>
      <c r="K718" s="140">
        <f>IF(AND(B718&lt;&gt;"", C718&lt;&gt;"", D718&lt;&gt;"", E718&lt;&gt;"", F718&lt;&gt;"", G718&lt;&gt;"", J718&lt;&gt;"", 'CONTENT PILLAR MAPPING'!C620&lt;&gt;"", 'CONTENT PILLAR MAPPING'!E620&lt;&gt;"", 'CONTENT PILLAR MAPPING'!F620&lt;&gt;"", 'CONTENT PILLAR MAPPING'!C623&lt;&gt;"", 'CONTENT PILLAR MAPPING'!C628&lt;&gt;"", 'CONTENT PILLAR MAPPING'!D628&lt;&gt;"", 'CONTENT PILLAR MAPPING'!E628&lt;&gt;"", 'CONTENT PILLAR MAPPING'!D636&lt;&gt;"", 'CONTENT PILLAR MAPPING'!D637&lt;&gt;""),
CONCATENATE(
"Sebagai seorang top konten kreator dengan niche utama '", 'CONTENT PILLAR MAPPING'!C620, "', spesifik kategori '", 'CONTENT PILLAR MAPPING'!E620, "', dan super spesifik '", 'CONTENT PILLAR MAPPING'!F620, "', yang dikenal sebagai '", 'CONTENT PILLAR MAPPING'!C623, "'.", CHAR(10),
"Saya memiliki Tone of Voice: '", 'CONTENT PILLAR MAPPING'!C628, "', Brand Archetype: '", 'CONTENT PILLAR MAPPING'!D628, "', dan Deskripsi Gaya Komunikasi: '", 'CONTENT PILLAR MAPPING'!E628, "'.", CHAR(10),
"Target audiens saya adalah: '", 'CONTENT PILLAR MAPPING'!D636, "', dengan segmentasi audiens: '", 'CONTENT PILLAR MAPPING'!D637, "'.", CHAR(10), CHAR(10),
"Mohon buatkan script konten yang **sangat powerful, menarik, inovatif, dan siap pakai** dengan judul ide '", B718, "'.", CHAR(10),
"Konten ini memiliki pilar '", C718, "', nilai tambah utama '", F718, "', dan akan menggunakan storytelling framework '", G718, "'.", CHAR(10),
"Gambaran singkat ide kontennya adalah: '", J718, "'.", CHAR(10),
"Konten ini akan diunggah di platform '", E718, "' dengan format '", D718,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MAPPING'!C623, "'.** Sesuaikan dengan gaya komunikasi saya, dengan fokus pada nilai tambah '", F718,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MAPPING'!D636, ", khusus ", 'CONTENT PILLAR MAPPING'!D637, ") dan membantu mereka menyelesaikan masalah atau mencapai tujuan mereka.", CHAR(10),
"✔ Membantuku membangun personal branding yang kuat dan sustainable, sesuai dengan Positioning saya sebagai '", 'CONTENT PILLAR MAPPING'!C623, "' dan Brand Archetype '", 'CONTENT PILLAR MAPPING'!D628, "'.", CHAR(10),
"✔ Kemas dalam bentuk tabel agar rapi, mudah di baca dan dipahami, dengan kolom 'Judul Konten', 'Pilar', 'Format', 'Draft Script', 'CTA', 'Saran Visual', dan 'Full Caption'. (Kosongkan kolom Link Prompt jika ada)."
),
"")</f>
        <v/>
      </c>
      <c r="L718" s="199" t="n"/>
      <c r="M718" s="199" t="n"/>
      <c r="N718" s="102" t="n"/>
      <c r="O718" s="102" t="n"/>
      <c r="P718" s="102" t="n"/>
      <c r="Q718" s="102" t="n"/>
      <c r="R718" s="102" t="n"/>
      <c r="S718" s="102" t="n"/>
      <c r="T718" s="102" t="n"/>
      <c r="U718" s="102" t="n"/>
      <c r="V718" s="102" t="n"/>
      <c r="W718" s="102" t="n"/>
      <c r="X718" s="102" t="n"/>
      <c r="Y718" s="102" t="n"/>
      <c r="Z718" s="102" t="n"/>
      <c r="AA718" s="102" t="n"/>
      <c r="AB718" s="102" t="n"/>
      <c r="AC718" s="102" t="n"/>
      <c r="AD718" s="102" t="n"/>
    </row>
    <row r="719" ht="15.75" customHeight="1" s="205">
      <c r="A719" s="102" t="n"/>
      <c r="B719" s="142" t="n"/>
      <c r="C719" s="143" t="n"/>
      <c r="D719" s="143" t="n"/>
      <c r="E719" s="143" t="n"/>
      <c r="F719" s="143" t="n"/>
      <c r="G719" s="144" t="n"/>
      <c r="H719" s="145">
        <f>IF(K719&lt;&gt;"", HYPERLINK("https://chatgpt.com/?prompt=" &amp; SUBSTITUTE(SUBSTITUTE(K719, " ", "+"), "&amp;", "dan") &amp; "&amp;force-refresh=true&amp;timestamp=" &amp; TEXT(NOW(), "yyyymmddhhmmss"), "👉 Klik untuk Generate Script! 🔥"), "")</f>
        <v/>
      </c>
      <c r="I719" s="143" t="n"/>
      <c r="J719" s="146" t="n"/>
      <c r="K719" s="130">
        <f>IF(AND(B719&lt;&gt;"", C719&lt;&gt;"", D719&lt;&gt;"", E719&lt;&gt;"", F719&lt;&gt;"", G719&lt;&gt;"", J719&lt;&gt;"", 'CONTENT PILLAR MAPPING'!C622&lt;&gt;"", 'CONTENT PILLAR MAPPING'!E622&lt;&gt;"", 'CONTENT PILLAR MAPPING'!F622&lt;&gt;"", 'CONTENT PILLAR MAPPING'!C625&lt;&gt;"", 'CONTENT PILLAR MAPPING'!C630&lt;&gt;"", 'CONTENT PILLAR MAPPING'!D630&lt;&gt;"", 'CONTENT PILLAR MAPPING'!E630&lt;&gt;"", 'CONTENT PILLAR MAPPING'!D638&lt;&gt;"", 'CONTENT PILLAR MAPPING'!D639&lt;&gt;""),
CONCATENATE(
"Sebagai seorang top konten kreator dengan niche utama '", 'CONTENT PILLAR MAPPING'!C622, "', spesifik kategori '", 'CONTENT PILLAR MAPPING'!E622, "', dan super spesifik '", 'CONTENT PILLAR MAPPING'!F622, "', yang dikenal sebagai '", 'CONTENT PILLAR MAPPING'!C625, "'.", CHAR(10),
"Saya memiliki Tone of Voice: '", 'CONTENT PILLAR MAPPING'!C630, "', Brand Archetype: '", 'CONTENT PILLAR MAPPING'!D630, "', dan Deskripsi Gaya Komunikasi: '", 'CONTENT PILLAR MAPPING'!E630, "'.", CHAR(10),
"Target audiens saya adalah: '", 'CONTENT PILLAR MAPPING'!D638, "', dengan segmentasi audiens: '", 'CONTENT PILLAR MAPPING'!D639, "'.", CHAR(10), CHAR(10),
"Mohon buatkan script konten yang **sangat powerful, menarik, inovatif, dan siap pakai** dengan judul ide '", B719, "'.", CHAR(10),
"Konten ini memiliki pilar '", C719, "', nilai tambah utama '", F719, "', dan akan menggunakan storytelling framework '", G719, "'.", CHAR(10),
"Gambaran singkat ide kontennya adalah: '", J719, "'.", CHAR(10),
"Konten ini akan diunggah di platform '", E719, "' dengan format '", D719,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MAPPING'!C625, "'.** Sesuaikan dengan gaya komunikasi saya, dengan fokus pada nilai tambah '", F719,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MAPPING'!D638, ", khusus ", 'CONTENT PILLAR MAPPING'!D639, ") dan membantu mereka menyelesaikan masalah atau mencapai tujuan mereka.", CHAR(10),
"✔ Membantuku membangun personal branding yang kuat dan sustainable, sesuai dengan Positioning saya sebagai '", 'CONTENT PILLAR MAPPING'!C625, "' dan Brand Archetype '", 'CONTENT PILLAR MAPPING'!D630, "'.", CHAR(10),
"✔ Kemas dalam bentuk tabel agar rapi, mudah di baca dan dipahami, dengan kolom 'Judul Konten', 'Pilar', 'Format', 'Draft Script', 'CTA', 'Saran Visual', dan 'Full Caption'. (Kosongkan kolom Link Prompt jika ada)."
),
"")</f>
        <v/>
      </c>
      <c r="L719" s="91" t="n"/>
      <c r="M719" s="91" t="n"/>
      <c r="N719" s="102" t="n"/>
      <c r="O719" s="102" t="n"/>
      <c r="P719" s="102" t="n"/>
      <c r="Q719" s="102" t="n"/>
      <c r="R719" s="102" t="n"/>
      <c r="S719" s="102" t="n"/>
      <c r="T719" s="102" t="n"/>
      <c r="U719" s="102" t="n"/>
      <c r="V719" s="102" t="n"/>
      <c r="W719" s="102" t="n"/>
      <c r="X719" s="102" t="n"/>
      <c r="Y719" s="102" t="n"/>
      <c r="Z719" s="102" t="n"/>
      <c r="AA719" s="102" t="n"/>
      <c r="AB719" s="102" t="n"/>
      <c r="AC719" s="102" t="n"/>
      <c r="AD719" s="102" t="n"/>
    </row>
    <row r="720" ht="15.75" customHeight="1" s="205">
      <c r="A720" s="102" t="n"/>
      <c r="B720" s="147" t="n"/>
      <c r="C720" s="144" t="n"/>
      <c r="D720" s="144" t="n"/>
      <c r="E720" s="144" t="n"/>
      <c r="F720" s="144" t="n"/>
      <c r="G720" s="144" t="n"/>
      <c r="H720" s="141">
        <f>IF(K720&lt;&gt;"", HYPERLINK("https://chatgpt.com/?prompt=" &amp; SUBSTITUTE(SUBSTITUTE(K720, " ", "+"), "&amp;", "dan") &amp; "&amp;force-refresh=true&amp;timestamp=" &amp; TEXT(NOW(), "yyyymmddhhmmss"), "👉 Klik untuk Generate Script! 🔥"), "")</f>
        <v/>
      </c>
      <c r="I720" s="144" t="n"/>
      <c r="J720" s="148" t="n"/>
      <c r="K720" s="140">
        <f>IF(AND(B720&lt;&gt;"", C720&lt;&gt;"", D720&lt;&gt;"", E720&lt;&gt;"", F720&lt;&gt;"", G720&lt;&gt;"", J720&lt;&gt;"", 'CONTENT PILLAR MAPPING'!C622&lt;&gt;"", 'CONTENT PILLAR MAPPING'!E622&lt;&gt;"", 'CONTENT PILLAR MAPPING'!F622&lt;&gt;"", 'CONTENT PILLAR MAPPING'!C625&lt;&gt;"", 'CONTENT PILLAR MAPPING'!C630&lt;&gt;"", 'CONTENT PILLAR MAPPING'!D630&lt;&gt;"", 'CONTENT PILLAR MAPPING'!E630&lt;&gt;"", 'CONTENT PILLAR MAPPING'!D638&lt;&gt;"", 'CONTENT PILLAR MAPPING'!D639&lt;&gt;""),
CONCATENATE(
"Sebagai seorang top konten kreator dengan niche utama '", 'CONTENT PILLAR MAPPING'!C622, "', spesifik kategori '", 'CONTENT PILLAR MAPPING'!E622, "', dan super spesifik '", 'CONTENT PILLAR MAPPING'!F622, "', yang dikenal sebagai '", 'CONTENT PILLAR MAPPING'!C625, "'.", CHAR(10),
"Saya memiliki Tone of Voice: '", 'CONTENT PILLAR MAPPING'!C630, "', Brand Archetype: '", 'CONTENT PILLAR MAPPING'!D630, "', dan Deskripsi Gaya Komunikasi: '", 'CONTENT PILLAR MAPPING'!E630, "'.", CHAR(10),
"Target audiens saya adalah: '", 'CONTENT PILLAR MAPPING'!D638, "', dengan segmentasi audiens: '", 'CONTENT PILLAR MAPPING'!D639, "'.", CHAR(10), CHAR(10),
"Mohon buatkan script konten yang **sangat powerful, menarik, inovatif, dan siap pakai** dengan judul ide '", B720, "'.", CHAR(10),
"Konten ini memiliki pilar '", C720, "', nilai tambah utama '", F720, "', dan akan menggunakan storytelling framework '", G720, "'.", CHAR(10),
"Gambaran singkat ide kontennya adalah: '", J720, "'.", CHAR(10),
"Konten ini akan diunggah di platform '", E720, "' dengan format '", D720,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MAPPING'!C625, "'.** Sesuaikan dengan gaya komunikasi saya, dengan fokus pada nilai tambah '", F720,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MAPPING'!D638, ", khusus ", 'CONTENT PILLAR MAPPING'!D639, ") dan membantu mereka menyelesaikan masalah atau mencapai tujuan mereka.", CHAR(10),
"✔ Membantuku membangun personal branding yang kuat dan sustainable, sesuai dengan Positioning saya sebagai '", 'CONTENT PILLAR MAPPING'!C625, "' dan Brand Archetype '", 'CONTENT PILLAR MAPPING'!D630, "'.", CHAR(10),
"✔ Kemas dalam bentuk tabel agar rapi, mudah di baca dan dipahami, dengan kolom 'Judul Konten', 'Pilar', 'Format', 'Draft Script', 'CTA', 'Saran Visual', dan 'Full Caption'. (Kosongkan kolom Link Prompt jika ada)."
),
"")</f>
        <v/>
      </c>
      <c r="L720" s="199" t="n"/>
      <c r="M720" s="199" t="n"/>
      <c r="N720" s="102" t="n"/>
      <c r="O720" s="102" t="n"/>
      <c r="P720" s="102" t="n"/>
      <c r="Q720" s="102" t="n"/>
      <c r="R720" s="102" t="n"/>
      <c r="S720" s="102" t="n"/>
      <c r="T720" s="102" t="n"/>
      <c r="U720" s="102" t="n"/>
      <c r="V720" s="102" t="n"/>
      <c r="W720" s="102" t="n"/>
      <c r="X720" s="102" t="n"/>
      <c r="Y720" s="102" t="n"/>
      <c r="Z720" s="102" t="n"/>
      <c r="AA720" s="102" t="n"/>
      <c r="AB720" s="102" t="n"/>
      <c r="AC720" s="102" t="n"/>
      <c r="AD720" s="102" t="n"/>
    </row>
    <row r="721" ht="15.75" customHeight="1" s="205">
      <c r="A721" s="102" t="n"/>
      <c r="B721" s="142" t="n"/>
      <c r="C721" s="143" t="n"/>
      <c r="D721" s="143" t="n"/>
      <c r="E721" s="143" t="n"/>
      <c r="F721" s="143" t="n"/>
      <c r="G721" s="144" t="n"/>
      <c r="H721" s="145">
        <f>IF(K721&lt;&gt;"", HYPERLINK("https://chatgpt.com/?prompt=" &amp; SUBSTITUTE(SUBSTITUTE(K721, " ", "+"), "&amp;", "dan") &amp; "&amp;force-refresh=true&amp;timestamp=" &amp; TEXT(NOW(), "yyyymmddhhmmss"), "👉 Klik untuk Generate Script! 🔥"), "")</f>
        <v/>
      </c>
      <c r="I721" s="143" t="n"/>
      <c r="J721" s="146" t="n"/>
      <c r="K721" s="130">
        <f>IF(AND(B721&lt;&gt;"", C721&lt;&gt;"", D721&lt;&gt;"", E721&lt;&gt;"", F721&lt;&gt;"", G721&lt;&gt;"", J721&lt;&gt;"", 'CONTENT PILLAR MAPPING'!C624&lt;&gt;"", 'CONTENT PILLAR MAPPING'!E624&lt;&gt;"", 'CONTENT PILLAR MAPPING'!F624&lt;&gt;"", 'CONTENT PILLAR MAPPING'!C627&lt;&gt;"", 'CONTENT PILLAR MAPPING'!C632&lt;&gt;"", 'CONTENT PILLAR MAPPING'!D632&lt;&gt;"", 'CONTENT PILLAR MAPPING'!E632&lt;&gt;"", 'CONTENT PILLAR MAPPING'!D640&lt;&gt;"", 'CONTENT PILLAR MAPPING'!D641&lt;&gt;""),
CONCATENATE(
"Sebagai seorang top konten kreator dengan niche utama '", 'CONTENT PILLAR MAPPING'!C624, "', spesifik kategori '", 'CONTENT PILLAR MAPPING'!E624, "', dan super spesifik '", 'CONTENT PILLAR MAPPING'!F624, "', yang dikenal sebagai '", 'CONTENT PILLAR MAPPING'!C627, "'.", CHAR(10),
"Saya memiliki Tone of Voice: '", 'CONTENT PILLAR MAPPING'!C632, "', Brand Archetype: '", 'CONTENT PILLAR MAPPING'!D632, "', dan Deskripsi Gaya Komunikasi: '", 'CONTENT PILLAR MAPPING'!E632, "'.", CHAR(10),
"Target audiens saya adalah: '", 'CONTENT PILLAR MAPPING'!D640, "', dengan segmentasi audiens: '", 'CONTENT PILLAR MAPPING'!D641, "'.", CHAR(10), CHAR(10),
"Mohon buatkan script konten yang **sangat powerful, menarik, inovatif, dan siap pakai** dengan judul ide '", B721, "'.", CHAR(10),
"Konten ini memiliki pilar '", C721, "', nilai tambah utama '", F721, "', dan akan menggunakan storytelling framework '", G721, "'.", CHAR(10),
"Gambaran singkat ide kontennya adalah: '", J721, "'.", CHAR(10),
"Konten ini akan diunggah di platform '", E721, "' dengan format '", D721,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MAPPING'!C627, "'.** Sesuaikan dengan gaya komunikasi saya, dengan fokus pada nilai tambah '", F721,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MAPPING'!D640, ", khusus ", 'CONTENT PILLAR MAPPING'!D641, ") dan membantu mereka menyelesaikan masalah atau mencapai tujuan mereka.", CHAR(10),
"✔ Membantuku membangun personal branding yang kuat dan sustainable, sesuai dengan Positioning saya sebagai '", 'CONTENT PILLAR MAPPING'!C627, "' dan Brand Archetype '", 'CONTENT PILLAR MAPPING'!D632, "'.", CHAR(10),
"✔ Kemas dalam bentuk tabel agar rapi, mudah di baca dan dipahami, dengan kolom 'Judul Konten', 'Pilar', 'Format', 'Draft Script', 'CTA', 'Saran Visual', dan 'Full Caption'. (Kosongkan kolom Link Prompt jika ada)."
),
"")</f>
        <v/>
      </c>
      <c r="L721" s="91" t="n"/>
      <c r="M721" s="91" t="n"/>
      <c r="N721" s="102" t="n"/>
      <c r="O721" s="102" t="n"/>
      <c r="P721" s="102" t="n"/>
      <c r="Q721" s="102" t="n"/>
      <c r="R721" s="102" t="n"/>
      <c r="S721" s="102" t="n"/>
      <c r="T721" s="102" t="n"/>
      <c r="U721" s="102" t="n"/>
      <c r="V721" s="102" t="n"/>
      <c r="W721" s="102" t="n"/>
      <c r="X721" s="102" t="n"/>
      <c r="Y721" s="102" t="n"/>
      <c r="Z721" s="102" t="n"/>
      <c r="AA721" s="102" t="n"/>
      <c r="AB721" s="102" t="n"/>
      <c r="AC721" s="102" t="n"/>
      <c r="AD721" s="102" t="n"/>
    </row>
    <row r="722" ht="15.75" customHeight="1" s="205">
      <c r="A722" s="102" t="n"/>
      <c r="B722" s="147" t="n"/>
      <c r="C722" s="144" t="n"/>
      <c r="D722" s="144" t="n"/>
      <c r="E722" s="144" t="n"/>
      <c r="F722" s="144" t="n"/>
      <c r="G722" s="144" t="n"/>
      <c r="H722" s="141">
        <f>IF(K722&lt;&gt;"", HYPERLINK("https://chatgpt.com/?prompt=" &amp; SUBSTITUTE(SUBSTITUTE(K722, " ", "+"), "&amp;", "dan") &amp; "&amp;force-refresh=true&amp;timestamp=" &amp; TEXT(NOW(), "yyyymmddhhmmss"), "👉 Klik untuk Generate Script! 🔥"), "")</f>
        <v/>
      </c>
      <c r="I722" s="144" t="n"/>
      <c r="J722" s="148" t="n"/>
      <c r="K722" s="140">
        <f>IF(AND(B722&lt;&gt;"", C722&lt;&gt;"", D722&lt;&gt;"", E722&lt;&gt;"", F722&lt;&gt;"", G722&lt;&gt;"", J722&lt;&gt;"", 'CONTENT PILLAR MAPPING'!C624&lt;&gt;"", 'CONTENT PILLAR MAPPING'!E624&lt;&gt;"", 'CONTENT PILLAR MAPPING'!F624&lt;&gt;"", 'CONTENT PILLAR MAPPING'!C627&lt;&gt;"", 'CONTENT PILLAR MAPPING'!C632&lt;&gt;"", 'CONTENT PILLAR MAPPING'!D632&lt;&gt;"", 'CONTENT PILLAR MAPPING'!E632&lt;&gt;"", 'CONTENT PILLAR MAPPING'!D640&lt;&gt;"", 'CONTENT PILLAR MAPPING'!D641&lt;&gt;""),
CONCATENATE(
"Sebagai seorang top konten kreator dengan niche utama '", 'CONTENT PILLAR MAPPING'!C624, "', spesifik kategori '", 'CONTENT PILLAR MAPPING'!E624, "', dan super spesifik '", 'CONTENT PILLAR MAPPING'!F624, "', yang dikenal sebagai '", 'CONTENT PILLAR MAPPING'!C627, "'.", CHAR(10),
"Saya memiliki Tone of Voice: '", 'CONTENT PILLAR MAPPING'!C632, "', Brand Archetype: '", 'CONTENT PILLAR MAPPING'!D632, "', dan Deskripsi Gaya Komunikasi: '", 'CONTENT PILLAR MAPPING'!E632, "'.", CHAR(10),
"Target audiens saya adalah: '", 'CONTENT PILLAR MAPPING'!D640, "', dengan segmentasi audiens: '", 'CONTENT PILLAR MAPPING'!D641, "'.", CHAR(10), CHAR(10),
"Mohon buatkan script konten yang **sangat powerful, menarik, inovatif, dan siap pakai** dengan judul ide '", B722, "'.", CHAR(10),
"Konten ini memiliki pilar '", C722, "', nilai tambah utama '", F722, "', dan akan menggunakan storytelling framework '", G722, "'.", CHAR(10),
"Gambaran singkat ide kontennya adalah: '", J722, "'.", CHAR(10),
"Konten ini akan diunggah di platform '", E722, "' dengan format '", D722,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MAPPING'!C627, "'.** Sesuaikan dengan gaya komunikasi saya, dengan fokus pada nilai tambah '", F722,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MAPPING'!D640, ", khusus ", 'CONTENT PILLAR MAPPING'!D641, ") dan membantu mereka menyelesaikan masalah atau mencapai tujuan mereka.", CHAR(10),
"✔ Membantuku membangun personal branding yang kuat dan sustainable, sesuai dengan Positioning saya sebagai '", 'CONTENT PILLAR MAPPING'!C627, "' dan Brand Archetype '", 'CONTENT PILLAR MAPPING'!D632, "'.", CHAR(10),
"✔ Kemas dalam bentuk tabel agar rapi, mudah di baca dan dipahami, dengan kolom 'Judul Konten', 'Pilar', 'Format', 'Draft Script', 'CTA', 'Saran Visual', dan 'Full Caption'. (Kosongkan kolom Link Prompt jika ada)."
),
"")</f>
        <v/>
      </c>
      <c r="L722" s="199" t="n"/>
      <c r="M722" s="199" t="n"/>
      <c r="N722" s="102" t="n"/>
      <c r="O722" s="102" t="n"/>
      <c r="P722" s="102" t="n"/>
      <c r="Q722" s="102" t="n"/>
      <c r="R722" s="102" t="n"/>
      <c r="S722" s="102" t="n"/>
      <c r="T722" s="102" t="n"/>
      <c r="U722" s="102" t="n"/>
      <c r="V722" s="102" t="n"/>
      <c r="W722" s="102" t="n"/>
      <c r="X722" s="102" t="n"/>
      <c r="Y722" s="102" t="n"/>
      <c r="Z722" s="102" t="n"/>
      <c r="AA722" s="102" t="n"/>
      <c r="AB722" s="102" t="n"/>
      <c r="AC722" s="102" t="n"/>
      <c r="AD722" s="102" t="n"/>
    </row>
    <row r="723" ht="15.75" customHeight="1" s="205">
      <c r="A723" s="102" t="n"/>
      <c r="B723" s="142" t="n"/>
      <c r="C723" s="143" t="n"/>
      <c r="D723" s="143" t="n"/>
      <c r="E723" s="143" t="n"/>
      <c r="F723" s="143" t="n"/>
      <c r="G723" s="144" t="n"/>
      <c r="H723" s="145">
        <f>IF(K723&lt;&gt;"", HYPERLINK("https://chatgpt.com/?prompt=" &amp; SUBSTITUTE(SUBSTITUTE(K723, " ", "+"), "&amp;", "dan") &amp; "&amp;force-refresh=true&amp;timestamp=" &amp; TEXT(NOW(), "yyyymmddhhmmss"), "👉 Klik untuk Generate Script! 🔥"), "")</f>
        <v/>
      </c>
      <c r="I723" s="143" t="n"/>
      <c r="J723" s="146" t="n"/>
      <c r="K723" s="130">
        <f>IF(AND(B723&lt;&gt;"", C723&lt;&gt;"", D723&lt;&gt;"", E723&lt;&gt;"", F723&lt;&gt;"", G723&lt;&gt;"", J723&lt;&gt;"", 'CONTENT PILLAR MAPPING'!C626&lt;&gt;"", 'CONTENT PILLAR MAPPING'!E626&lt;&gt;"", 'CONTENT PILLAR MAPPING'!F626&lt;&gt;"", 'CONTENT PILLAR MAPPING'!C629&lt;&gt;"", 'CONTENT PILLAR MAPPING'!C634&lt;&gt;"", 'CONTENT PILLAR MAPPING'!D634&lt;&gt;"", 'CONTENT PILLAR MAPPING'!E634&lt;&gt;"", 'CONTENT PILLAR MAPPING'!D642&lt;&gt;"", 'CONTENT PILLAR MAPPING'!D643&lt;&gt;""),
CONCATENATE(
"Sebagai seorang top konten kreator dengan niche utama '", 'CONTENT PILLAR MAPPING'!C626, "', spesifik kategori '", 'CONTENT PILLAR MAPPING'!E626, "', dan super spesifik '", 'CONTENT PILLAR MAPPING'!F626, "', yang dikenal sebagai '", 'CONTENT PILLAR MAPPING'!C629, "'.", CHAR(10),
"Saya memiliki Tone of Voice: '", 'CONTENT PILLAR MAPPING'!C634, "', Brand Archetype: '", 'CONTENT PILLAR MAPPING'!D634, "', dan Deskripsi Gaya Komunikasi: '", 'CONTENT PILLAR MAPPING'!E634, "'.", CHAR(10),
"Target audiens saya adalah: '", 'CONTENT PILLAR MAPPING'!D642, "', dengan segmentasi audiens: '", 'CONTENT PILLAR MAPPING'!D643, "'.", CHAR(10), CHAR(10),
"Mohon buatkan script konten yang **sangat powerful, menarik, inovatif, dan siap pakai** dengan judul ide '", B723, "'.", CHAR(10),
"Konten ini memiliki pilar '", C723, "', nilai tambah utama '", F723, "', dan akan menggunakan storytelling framework '", G723, "'.", CHAR(10),
"Gambaran singkat ide kontennya adalah: '", J723, "'.", CHAR(10),
"Konten ini akan diunggah di platform '", E723, "' dengan format '", D723,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MAPPING'!C629, "'.** Sesuaikan dengan gaya komunikasi saya, dengan fokus pada nilai tambah '", F723,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MAPPING'!D642, ", khusus ", 'CONTENT PILLAR MAPPING'!D643, ") dan membantu mereka menyelesaikan masalah atau mencapai tujuan mereka.", CHAR(10),
"✔ Membantuku membangun personal branding yang kuat dan sustainable, sesuai dengan Positioning saya sebagai '", 'CONTENT PILLAR MAPPING'!C629, "' dan Brand Archetype '", 'CONTENT PILLAR MAPPING'!D634, "'.", CHAR(10),
"✔ Kemas dalam bentuk tabel agar rapi, mudah di baca dan dipahami, dengan kolom 'Judul Konten', 'Pilar', 'Format', 'Draft Script', 'CTA', 'Saran Visual', dan 'Full Caption'. (Kosongkan kolom Link Prompt jika ada)."
),
"")</f>
        <v/>
      </c>
      <c r="L723" s="91" t="n"/>
      <c r="M723" s="91" t="n"/>
      <c r="N723" s="102" t="n"/>
      <c r="O723" s="102" t="n"/>
      <c r="P723" s="102" t="n"/>
      <c r="Q723" s="102" t="n"/>
      <c r="R723" s="102" t="n"/>
      <c r="S723" s="102" t="n"/>
      <c r="T723" s="102" t="n"/>
      <c r="U723" s="102" t="n"/>
      <c r="V723" s="102" t="n"/>
      <c r="W723" s="102" t="n"/>
      <c r="X723" s="102" t="n"/>
      <c r="Y723" s="102" t="n"/>
      <c r="Z723" s="102" t="n"/>
      <c r="AA723" s="102" t="n"/>
      <c r="AB723" s="102" t="n"/>
      <c r="AC723" s="102" t="n"/>
      <c r="AD723" s="102" t="n"/>
    </row>
    <row r="724" ht="15.75" customHeight="1" s="205">
      <c r="A724" s="102" t="n"/>
      <c r="B724" s="147" t="n"/>
      <c r="C724" s="144" t="n"/>
      <c r="D724" s="144" t="n"/>
      <c r="E724" s="144" t="n"/>
      <c r="F724" s="144" t="n"/>
      <c r="G724" s="144" t="n"/>
      <c r="H724" s="141">
        <f>IF(K724&lt;&gt;"", HYPERLINK("https://chatgpt.com/?prompt=" &amp; SUBSTITUTE(SUBSTITUTE(K724, " ", "+"), "&amp;", "dan") &amp; "&amp;force-refresh=true&amp;timestamp=" &amp; TEXT(NOW(), "yyyymmddhhmmss"), "👉 Klik untuk Generate Script! 🔥"), "")</f>
        <v/>
      </c>
      <c r="I724" s="144" t="n"/>
      <c r="J724" s="148" t="n"/>
      <c r="K724" s="140">
        <f>IF(AND(B724&lt;&gt;"", C724&lt;&gt;"", D724&lt;&gt;"", E724&lt;&gt;"", F724&lt;&gt;"", G724&lt;&gt;"", J724&lt;&gt;"", 'CONTENT PILLAR MAPPING'!C626&lt;&gt;"", 'CONTENT PILLAR MAPPING'!E626&lt;&gt;"", 'CONTENT PILLAR MAPPING'!F626&lt;&gt;"", 'CONTENT PILLAR MAPPING'!C629&lt;&gt;"", 'CONTENT PILLAR MAPPING'!C634&lt;&gt;"", 'CONTENT PILLAR MAPPING'!D634&lt;&gt;"", 'CONTENT PILLAR MAPPING'!E634&lt;&gt;"", 'CONTENT PILLAR MAPPING'!D642&lt;&gt;"", 'CONTENT PILLAR MAPPING'!D643&lt;&gt;""),
CONCATENATE(
"Sebagai seorang top konten kreator dengan niche utama '", 'CONTENT PILLAR MAPPING'!C626, "', spesifik kategori '", 'CONTENT PILLAR MAPPING'!E626, "', dan super spesifik '", 'CONTENT PILLAR MAPPING'!F626, "', yang dikenal sebagai '", 'CONTENT PILLAR MAPPING'!C629, "'.", CHAR(10),
"Saya memiliki Tone of Voice: '", 'CONTENT PILLAR MAPPING'!C634, "', Brand Archetype: '", 'CONTENT PILLAR MAPPING'!D634, "', dan Deskripsi Gaya Komunikasi: '", 'CONTENT PILLAR MAPPING'!E634, "'.", CHAR(10),
"Target audiens saya adalah: '", 'CONTENT PILLAR MAPPING'!D642, "', dengan segmentasi audiens: '", 'CONTENT PILLAR MAPPING'!D643, "'.", CHAR(10), CHAR(10),
"Mohon buatkan script konten yang **sangat powerful, menarik, inovatif, dan siap pakai** dengan judul ide '", B724, "'.", CHAR(10),
"Konten ini memiliki pilar '", C724, "', nilai tambah utama '", F724, "', dan akan menggunakan storytelling framework '", G724, "'.", CHAR(10),
"Gambaran singkat ide kontennya adalah: '", J724, "'.", CHAR(10),
"Konten ini akan diunggah di platform '", E724, "' dengan format '", D724,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MAPPING'!C629, "'.** Sesuaikan dengan gaya komunikasi saya, dengan fokus pada nilai tambah '", F724,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MAPPING'!D642, ", khusus ", 'CONTENT PILLAR MAPPING'!D643, ") dan membantu mereka menyelesaikan masalah atau mencapai tujuan mereka.", CHAR(10),
"✔ Membantuku membangun personal branding yang kuat dan sustainable, sesuai dengan Positioning saya sebagai '", 'CONTENT PILLAR MAPPING'!C629, "' dan Brand Archetype '", 'CONTENT PILLAR MAPPING'!D634, "'.", CHAR(10),
"✔ Kemas dalam bentuk tabel agar rapi, mudah di baca dan dipahami, dengan kolom 'Judul Konten', 'Pilar', 'Format', 'Draft Script', 'CTA', 'Saran Visual', dan 'Full Caption'. (Kosongkan kolom Link Prompt jika ada)."
),
"")</f>
        <v/>
      </c>
      <c r="L724" s="199" t="n"/>
      <c r="M724" s="199" t="n"/>
      <c r="N724" s="102" t="n"/>
      <c r="O724" s="102" t="n"/>
      <c r="P724" s="102" t="n"/>
      <c r="Q724" s="102" t="n"/>
      <c r="R724" s="102" t="n"/>
      <c r="S724" s="102" t="n"/>
      <c r="T724" s="102" t="n"/>
      <c r="U724" s="102" t="n"/>
      <c r="V724" s="102" t="n"/>
      <c r="W724" s="102" t="n"/>
      <c r="X724" s="102" t="n"/>
      <c r="Y724" s="102" t="n"/>
      <c r="Z724" s="102" t="n"/>
      <c r="AA724" s="102" t="n"/>
      <c r="AB724" s="102" t="n"/>
      <c r="AC724" s="102" t="n"/>
      <c r="AD724" s="102" t="n"/>
    </row>
    <row r="725" ht="15.75" customHeight="1" s="205">
      <c r="A725" s="102" t="n"/>
      <c r="B725" s="142" t="n"/>
      <c r="C725" s="143" t="n"/>
      <c r="D725" s="143" t="n"/>
      <c r="E725" s="143" t="n"/>
      <c r="F725" s="143" t="n"/>
      <c r="G725" s="144" t="n"/>
      <c r="H725" s="145">
        <f>IF(K725&lt;&gt;"", HYPERLINK("https://chatgpt.com/?prompt=" &amp; SUBSTITUTE(SUBSTITUTE(K725, " ", "+"), "&amp;", "dan") &amp; "&amp;force-refresh=true&amp;timestamp=" &amp; TEXT(NOW(), "yyyymmddhhmmss"), "👉 Klik untuk Generate Script! 🔥"), "")</f>
        <v/>
      </c>
      <c r="I725" s="143" t="n"/>
      <c r="J725" s="146" t="n"/>
      <c r="K725" s="130">
        <f>IF(AND(B725&lt;&gt;"", C725&lt;&gt;"", D725&lt;&gt;"", E725&lt;&gt;"", F725&lt;&gt;"", G725&lt;&gt;"", J725&lt;&gt;"", 'CONTENT PILLAR MAPPING'!C628&lt;&gt;"", 'CONTENT PILLAR MAPPING'!E628&lt;&gt;"", 'CONTENT PILLAR MAPPING'!F628&lt;&gt;"", 'CONTENT PILLAR MAPPING'!C631&lt;&gt;"", 'CONTENT PILLAR MAPPING'!C636&lt;&gt;"", 'CONTENT PILLAR MAPPING'!D636&lt;&gt;"", 'CONTENT PILLAR MAPPING'!E636&lt;&gt;"", 'CONTENT PILLAR MAPPING'!D644&lt;&gt;"", 'CONTENT PILLAR MAPPING'!D645&lt;&gt;""),
CONCATENATE(
"Sebagai seorang top konten kreator dengan niche utama '", 'CONTENT PILLAR MAPPING'!C628, "', spesifik kategori '", 'CONTENT PILLAR MAPPING'!E628, "', dan super spesifik '", 'CONTENT PILLAR MAPPING'!F628, "', yang dikenal sebagai '", 'CONTENT PILLAR MAPPING'!C631, "'.", CHAR(10),
"Saya memiliki Tone of Voice: '", 'CONTENT PILLAR MAPPING'!C636, "', Brand Archetype: '", 'CONTENT PILLAR MAPPING'!D636, "', dan Deskripsi Gaya Komunikasi: '", 'CONTENT PILLAR MAPPING'!E636, "'.", CHAR(10),
"Target audiens saya adalah: '", 'CONTENT PILLAR MAPPING'!D644, "', dengan segmentasi audiens: '", 'CONTENT PILLAR MAPPING'!D645, "'.", CHAR(10), CHAR(10),
"Mohon buatkan script konten yang **sangat powerful, menarik, inovatif, dan siap pakai** dengan judul ide '", B725, "'.", CHAR(10),
"Konten ini memiliki pilar '", C725, "', nilai tambah utama '", F725, "', dan akan menggunakan storytelling framework '", G725, "'.", CHAR(10),
"Gambaran singkat ide kontennya adalah: '", J725, "'.", CHAR(10),
"Konten ini akan diunggah di platform '", E725, "' dengan format '", D725,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MAPPING'!C631, "'.** Sesuaikan dengan gaya komunikasi saya, dengan fokus pada nilai tambah '", F725,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MAPPING'!D644, ", khusus ", 'CONTENT PILLAR MAPPING'!D645, ") dan membantu mereka menyelesaikan masalah atau mencapai tujuan mereka.", CHAR(10),
"✔ Membantuku membangun personal branding yang kuat dan sustainable, sesuai dengan Positioning saya sebagai '", 'CONTENT PILLAR MAPPING'!C631, "' dan Brand Archetype '", 'CONTENT PILLAR MAPPING'!D636, "'.", CHAR(10),
"✔ Kemas dalam bentuk tabel agar rapi, mudah di baca dan dipahami, dengan kolom 'Judul Konten', 'Pilar', 'Format', 'Draft Script', 'CTA', 'Saran Visual', dan 'Full Caption'. (Kosongkan kolom Link Prompt jika ada)."
),
"")</f>
        <v/>
      </c>
      <c r="L725" s="91" t="n"/>
      <c r="M725" s="91" t="n"/>
      <c r="N725" s="102" t="n"/>
      <c r="O725" s="102" t="n"/>
      <c r="P725" s="102" t="n"/>
      <c r="Q725" s="102" t="n"/>
      <c r="R725" s="102" t="n"/>
      <c r="S725" s="102" t="n"/>
      <c r="T725" s="102" t="n"/>
      <c r="U725" s="102" t="n"/>
      <c r="V725" s="102" t="n"/>
      <c r="W725" s="102" t="n"/>
      <c r="X725" s="102" t="n"/>
      <c r="Y725" s="102" t="n"/>
      <c r="Z725" s="102" t="n"/>
      <c r="AA725" s="102" t="n"/>
      <c r="AB725" s="102" t="n"/>
      <c r="AC725" s="102" t="n"/>
      <c r="AD725" s="102" t="n"/>
    </row>
    <row r="726" ht="15.75" customHeight="1" s="205">
      <c r="A726" s="102" t="n"/>
      <c r="B726" s="147" t="n"/>
      <c r="C726" s="144" t="n"/>
      <c r="D726" s="144" t="n"/>
      <c r="E726" s="144" t="n"/>
      <c r="F726" s="144" t="n"/>
      <c r="G726" s="144" t="n"/>
      <c r="H726" s="141">
        <f>IF(K726&lt;&gt;"", HYPERLINK("https://chatgpt.com/?prompt=" &amp; SUBSTITUTE(SUBSTITUTE(K726, " ", "+"), "&amp;", "dan") &amp; "&amp;force-refresh=true&amp;timestamp=" &amp; TEXT(NOW(), "yyyymmddhhmmss"), "👉 Klik untuk Generate Script! 🔥"), "")</f>
        <v/>
      </c>
      <c r="I726" s="144" t="n"/>
      <c r="J726" s="148" t="n"/>
      <c r="K726" s="140">
        <f>IF(AND(B726&lt;&gt;"", C726&lt;&gt;"", D726&lt;&gt;"", E726&lt;&gt;"", F726&lt;&gt;"", G726&lt;&gt;"", J726&lt;&gt;"", 'CONTENT PILLAR MAPPING'!C628&lt;&gt;"", 'CONTENT PILLAR MAPPING'!E628&lt;&gt;"", 'CONTENT PILLAR MAPPING'!F628&lt;&gt;"", 'CONTENT PILLAR MAPPING'!C631&lt;&gt;"", 'CONTENT PILLAR MAPPING'!C636&lt;&gt;"", 'CONTENT PILLAR MAPPING'!D636&lt;&gt;"", 'CONTENT PILLAR MAPPING'!E636&lt;&gt;"", 'CONTENT PILLAR MAPPING'!D644&lt;&gt;"", 'CONTENT PILLAR MAPPING'!D645&lt;&gt;""),
CONCATENATE(
"Sebagai seorang top konten kreator dengan niche utama '", 'CONTENT PILLAR MAPPING'!C628, "', spesifik kategori '", 'CONTENT PILLAR MAPPING'!E628, "', dan super spesifik '", 'CONTENT PILLAR MAPPING'!F628, "', yang dikenal sebagai '", 'CONTENT PILLAR MAPPING'!C631, "'.", CHAR(10),
"Saya memiliki Tone of Voice: '", 'CONTENT PILLAR MAPPING'!C636, "', Brand Archetype: '", 'CONTENT PILLAR MAPPING'!D636, "', dan Deskripsi Gaya Komunikasi: '", 'CONTENT PILLAR MAPPING'!E636, "'.", CHAR(10),
"Target audiens saya adalah: '", 'CONTENT PILLAR MAPPING'!D644, "', dengan segmentasi audiens: '", 'CONTENT PILLAR MAPPING'!D645, "'.", CHAR(10), CHAR(10),
"Mohon buatkan script konten yang **sangat powerful, menarik, inovatif, dan siap pakai** dengan judul ide '", B726, "'.", CHAR(10),
"Konten ini memiliki pilar '", C726, "', nilai tambah utama '", F726, "', dan akan menggunakan storytelling framework '", G726, "'.", CHAR(10),
"Gambaran singkat ide kontennya adalah: '", J726, "'.", CHAR(10),
"Konten ini akan diunggah di platform '", E726, "' dengan format '", D726,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MAPPING'!C631, "'.** Sesuaikan dengan gaya komunikasi saya, dengan fokus pada nilai tambah '", F726,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MAPPING'!D644, ", khusus ", 'CONTENT PILLAR MAPPING'!D645, ") dan membantu mereka menyelesaikan masalah atau mencapai tujuan mereka.", CHAR(10),
"✔ Membantuku membangun personal branding yang kuat dan sustainable, sesuai dengan Positioning saya sebagai '", 'CONTENT PILLAR MAPPING'!C631, "' dan Brand Archetype '", 'CONTENT PILLAR MAPPING'!D636, "'.", CHAR(10),
"✔ Kemas dalam bentuk tabel agar rapi, mudah di baca dan dipahami, dengan kolom 'Judul Konten', 'Pilar', 'Format', 'Draft Script', 'CTA', 'Saran Visual', dan 'Full Caption'. (Kosongkan kolom Link Prompt jika ada)."
),
"")</f>
        <v/>
      </c>
      <c r="L726" s="199" t="n"/>
      <c r="M726" s="199" t="n"/>
      <c r="N726" s="102" t="n"/>
      <c r="O726" s="102" t="n"/>
      <c r="P726" s="102" t="n"/>
      <c r="Q726" s="102" t="n"/>
      <c r="R726" s="102" t="n"/>
      <c r="S726" s="102" t="n"/>
      <c r="T726" s="102" t="n"/>
      <c r="U726" s="102" t="n"/>
      <c r="V726" s="102" t="n"/>
      <c r="W726" s="102" t="n"/>
      <c r="X726" s="102" t="n"/>
      <c r="Y726" s="102" t="n"/>
      <c r="Z726" s="102" t="n"/>
      <c r="AA726" s="102" t="n"/>
      <c r="AB726" s="102" t="n"/>
      <c r="AC726" s="102" t="n"/>
      <c r="AD726" s="102" t="n"/>
    </row>
    <row r="727" ht="15.75" customHeight="1" s="205">
      <c r="A727" s="102" t="n"/>
      <c r="B727" s="142" t="n"/>
      <c r="C727" s="143" t="n"/>
      <c r="D727" s="143" t="n"/>
      <c r="E727" s="143" t="n"/>
      <c r="F727" s="143" t="n"/>
      <c r="G727" s="144" t="n"/>
      <c r="H727" s="145">
        <f>IF(K727&lt;&gt;"", HYPERLINK("https://chatgpt.com/?prompt=" &amp; SUBSTITUTE(SUBSTITUTE(K727, " ", "+"), "&amp;", "dan") &amp; "&amp;force-refresh=true&amp;timestamp=" &amp; TEXT(NOW(), "yyyymmddhhmmss"), "👉 Klik untuk Generate Script! 🔥"), "")</f>
        <v/>
      </c>
      <c r="I727" s="143" t="n"/>
      <c r="J727" s="146" t="n"/>
      <c r="K727" s="130">
        <f>IF(AND(B727&lt;&gt;"", C727&lt;&gt;"", D727&lt;&gt;"", E727&lt;&gt;"", F727&lt;&gt;"", G727&lt;&gt;"", J727&lt;&gt;"", 'CONTENT PILLAR MAPPING'!C630&lt;&gt;"", 'CONTENT PILLAR MAPPING'!E630&lt;&gt;"", 'CONTENT PILLAR MAPPING'!F630&lt;&gt;"", 'CONTENT PILLAR MAPPING'!C633&lt;&gt;"", 'CONTENT PILLAR MAPPING'!C638&lt;&gt;"", 'CONTENT PILLAR MAPPING'!D638&lt;&gt;"", 'CONTENT PILLAR MAPPING'!E638&lt;&gt;"", 'CONTENT PILLAR MAPPING'!D646&lt;&gt;"", 'CONTENT PILLAR MAPPING'!D647&lt;&gt;""),
CONCATENATE(
"Sebagai seorang top konten kreator dengan niche utama '", 'CONTENT PILLAR MAPPING'!C630, "', spesifik kategori '", 'CONTENT PILLAR MAPPING'!E630, "', dan super spesifik '", 'CONTENT PILLAR MAPPING'!F630, "', yang dikenal sebagai '", 'CONTENT PILLAR MAPPING'!C633, "'.", CHAR(10),
"Saya memiliki Tone of Voice: '", 'CONTENT PILLAR MAPPING'!C638, "', Brand Archetype: '", 'CONTENT PILLAR MAPPING'!D638, "', dan Deskripsi Gaya Komunikasi: '", 'CONTENT PILLAR MAPPING'!E638, "'.", CHAR(10),
"Target audiens saya adalah: '", 'CONTENT PILLAR MAPPING'!D646, "', dengan segmentasi audiens: '", 'CONTENT PILLAR MAPPING'!D647, "'.", CHAR(10), CHAR(10),
"Mohon buatkan script konten yang **sangat powerful, menarik, inovatif, dan siap pakai** dengan judul ide '", B727, "'.", CHAR(10),
"Konten ini memiliki pilar '", C727, "', nilai tambah utama '", F727, "', dan akan menggunakan storytelling framework '", G727, "'.", CHAR(10),
"Gambaran singkat ide kontennya adalah: '", J727, "'.", CHAR(10),
"Konten ini akan diunggah di platform '", E727, "' dengan format '", D727,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MAPPING'!C633, "'.** Sesuaikan dengan gaya komunikasi saya, dengan fokus pada nilai tambah '", F727,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MAPPING'!D646, ", khusus ", 'CONTENT PILLAR MAPPING'!D647, ") dan membantu mereka menyelesaikan masalah atau mencapai tujuan mereka.", CHAR(10),
"✔ Membantuku membangun personal branding yang kuat dan sustainable, sesuai dengan Positioning saya sebagai '", 'CONTENT PILLAR MAPPING'!C633, "' dan Brand Archetype '", 'CONTENT PILLAR MAPPING'!D638, "'.", CHAR(10),
"✔ Kemas dalam bentuk tabel agar rapi, mudah di baca dan dipahami, dengan kolom 'Judul Konten', 'Pilar', 'Format', 'Draft Script', 'CTA', 'Saran Visual', dan 'Full Caption'. (Kosongkan kolom Link Prompt jika ada)."
),
"")</f>
        <v/>
      </c>
      <c r="L727" s="91" t="n"/>
      <c r="M727" s="91" t="n"/>
      <c r="N727" s="102" t="n"/>
      <c r="O727" s="102" t="n"/>
      <c r="P727" s="102" t="n"/>
      <c r="Q727" s="102" t="n"/>
      <c r="R727" s="102" t="n"/>
      <c r="S727" s="102" t="n"/>
      <c r="T727" s="102" t="n"/>
      <c r="U727" s="102" t="n"/>
      <c r="V727" s="102" t="n"/>
      <c r="W727" s="102" t="n"/>
      <c r="X727" s="102" t="n"/>
      <c r="Y727" s="102" t="n"/>
      <c r="Z727" s="102" t="n"/>
      <c r="AA727" s="102" t="n"/>
      <c r="AB727" s="102" t="n"/>
      <c r="AC727" s="102" t="n"/>
      <c r="AD727" s="102" t="n"/>
    </row>
    <row r="728" ht="15.75" customHeight="1" s="205">
      <c r="A728" s="102" t="n"/>
      <c r="B728" s="147" t="n"/>
      <c r="C728" s="144" t="n"/>
      <c r="D728" s="144" t="n"/>
      <c r="E728" s="144" t="n"/>
      <c r="F728" s="144" t="n"/>
      <c r="G728" s="144" t="n"/>
      <c r="H728" s="141">
        <f>IF(K728&lt;&gt;"", HYPERLINK("https://chatgpt.com/?prompt=" &amp; SUBSTITUTE(SUBSTITUTE(K728, " ", "+"), "&amp;", "dan") &amp; "&amp;force-refresh=true&amp;timestamp=" &amp; TEXT(NOW(), "yyyymmddhhmmss"), "👉 Klik untuk Generate Script! 🔥"), "")</f>
        <v/>
      </c>
      <c r="I728" s="144" t="n"/>
      <c r="J728" s="148" t="n"/>
      <c r="K728" s="140">
        <f>IF(AND(B728&lt;&gt;"", C728&lt;&gt;"", D728&lt;&gt;"", E728&lt;&gt;"", F728&lt;&gt;"", G728&lt;&gt;"", J728&lt;&gt;"", 'CONTENT PILLAR MAPPING'!C630&lt;&gt;"", 'CONTENT PILLAR MAPPING'!E630&lt;&gt;"", 'CONTENT PILLAR MAPPING'!F630&lt;&gt;"", 'CONTENT PILLAR MAPPING'!C633&lt;&gt;"", 'CONTENT PILLAR MAPPING'!C638&lt;&gt;"", 'CONTENT PILLAR MAPPING'!D638&lt;&gt;"", 'CONTENT PILLAR MAPPING'!E638&lt;&gt;"", 'CONTENT PILLAR MAPPING'!D646&lt;&gt;"", 'CONTENT PILLAR MAPPING'!D647&lt;&gt;""),
CONCATENATE(
"Sebagai seorang top konten kreator dengan niche utama '", 'CONTENT PILLAR MAPPING'!C630, "', spesifik kategori '", 'CONTENT PILLAR MAPPING'!E630, "', dan super spesifik '", 'CONTENT PILLAR MAPPING'!F630, "', yang dikenal sebagai '", 'CONTENT PILLAR MAPPING'!C633, "'.", CHAR(10),
"Saya memiliki Tone of Voice: '", 'CONTENT PILLAR MAPPING'!C638, "', Brand Archetype: '", 'CONTENT PILLAR MAPPING'!D638, "', dan Deskripsi Gaya Komunikasi: '", 'CONTENT PILLAR MAPPING'!E638, "'.", CHAR(10),
"Target audiens saya adalah: '", 'CONTENT PILLAR MAPPING'!D646, "', dengan segmentasi audiens: '", 'CONTENT PILLAR MAPPING'!D647, "'.", CHAR(10), CHAR(10),
"Mohon buatkan script konten yang **sangat powerful, menarik, inovatif, dan siap pakai** dengan judul ide '", B728, "'.", CHAR(10),
"Konten ini memiliki pilar '", C728, "', nilai tambah utama '", F728, "', dan akan menggunakan storytelling framework '", G728, "'.", CHAR(10),
"Gambaran singkat ide kontennya adalah: '", J728, "'.", CHAR(10),
"Konten ini akan diunggah di platform '", E728, "' dengan format '", D728,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MAPPING'!C633, "'.** Sesuaikan dengan gaya komunikasi saya, dengan fokus pada nilai tambah '", F728,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MAPPING'!D646, ", khusus ", 'CONTENT PILLAR MAPPING'!D647, ") dan membantu mereka menyelesaikan masalah atau mencapai tujuan mereka.", CHAR(10),
"✔ Membantuku membangun personal branding yang kuat dan sustainable, sesuai dengan Positioning saya sebagai '", 'CONTENT PILLAR MAPPING'!C633, "' dan Brand Archetype '", 'CONTENT PILLAR MAPPING'!D638, "'.", CHAR(10),
"✔ Kemas dalam bentuk tabel agar rapi, mudah di baca dan dipahami, dengan kolom 'Judul Konten', 'Pilar', 'Format', 'Draft Script', 'CTA', 'Saran Visual', dan 'Full Caption'. (Kosongkan kolom Link Prompt jika ada)."
),
"")</f>
        <v/>
      </c>
      <c r="L728" s="199" t="n"/>
      <c r="M728" s="199" t="n"/>
      <c r="N728" s="102" t="n"/>
      <c r="O728" s="102" t="n"/>
      <c r="P728" s="102" t="n"/>
      <c r="Q728" s="102" t="n"/>
      <c r="R728" s="102" t="n"/>
      <c r="S728" s="102" t="n"/>
      <c r="T728" s="102" t="n"/>
      <c r="U728" s="102" t="n"/>
      <c r="V728" s="102" t="n"/>
      <c r="W728" s="102" t="n"/>
      <c r="X728" s="102" t="n"/>
      <c r="Y728" s="102" t="n"/>
      <c r="Z728" s="102" t="n"/>
      <c r="AA728" s="102" t="n"/>
      <c r="AB728" s="102" t="n"/>
      <c r="AC728" s="102" t="n"/>
      <c r="AD728" s="102" t="n"/>
    </row>
    <row r="729" ht="15.75" customHeight="1" s="205">
      <c r="A729" s="102" t="n"/>
      <c r="B729" s="142" t="n"/>
      <c r="C729" s="143" t="n"/>
      <c r="D729" s="143" t="n"/>
      <c r="E729" s="143" t="n"/>
      <c r="F729" s="143" t="n"/>
      <c r="G729" s="144" t="n"/>
      <c r="H729" s="145">
        <f>IF(K729&lt;&gt;"", HYPERLINK("https://chatgpt.com/?prompt=" &amp; SUBSTITUTE(SUBSTITUTE(K729, " ", "+"), "&amp;", "dan") &amp; "&amp;force-refresh=true&amp;timestamp=" &amp; TEXT(NOW(), "yyyymmddhhmmss"), "👉 Klik untuk Generate Script! 🔥"), "")</f>
        <v/>
      </c>
      <c r="I729" s="143" t="n"/>
      <c r="J729" s="146" t="n"/>
      <c r="K729" s="130">
        <f>IF(AND(B729&lt;&gt;"", C729&lt;&gt;"", D729&lt;&gt;"", E729&lt;&gt;"", F729&lt;&gt;"", G729&lt;&gt;"", J729&lt;&gt;"", 'CONTENT PILLAR MAPPING'!C632&lt;&gt;"", 'CONTENT PILLAR MAPPING'!E632&lt;&gt;"", 'CONTENT PILLAR MAPPING'!F632&lt;&gt;"", 'CONTENT PILLAR MAPPING'!C635&lt;&gt;"", 'CONTENT PILLAR MAPPING'!C640&lt;&gt;"", 'CONTENT PILLAR MAPPING'!D640&lt;&gt;"", 'CONTENT PILLAR MAPPING'!E640&lt;&gt;"", 'CONTENT PILLAR MAPPING'!D648&lt;&gt;"", 'CONTENT PILLAR MAPPING'!D649&lt;&gt;""),
CONCATENATE(
"Sebagai seorang top konten kreator dengan niche utama '", 'CONTENT PILLAR MAPPING'!C632, "', spesifik kategori '", 'CONTENT PILLAR MAPPING'!E632, "', dan super spesifik '", 'CONTENT PILLAR MAPPING'!F632, "', yang dikenal sebagai '", 'CONTENT PILLAR MAPPING'!C635, "'.", CHAR(10),
"Saya memiliki Tone of Voice: '", 'CONTENT PILLAR MAPPING'!C640, "', Brand Archetype: '", 'CONTENT PILLAR MAPPING'!D640, "', dan Deskripsi Gaya Komunikasi: '", 'CONTENT PILLAR MAPPING'!E640, "'.", CHAR(10),
"Target audiens saya adalah: '", 'CONTENT PILLAR MAPPING'!D648, "', dengan segmentasi audiens: '", 'CONTENT PILLAR MAPPING'!D649, "'.", CHAR(10), CHAR(10),
"Mohon buatkan script konten yang **sangat powerful, menarik, inovatif, dan siap pakai** dengan judul ide '", B729, "'.", CHAR(10),
"Konten ini memiliki pilar '", C729, "', nilai tambah utama '", F729, "', dan akan menggunakan storytelling framework '", G729, "'.", CHAR(10),
"Gambaran singkat ide kontennya adalah: '", J729, "'.", CHAR(10),
"Konten ini akan diunggah di platform '", E729, "' dengan format '", D729,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MAPPING'!C635, "'.** Sesuaikan dengan gaya komunikasi saya, dengan fokus pada nilai tambah '", F729,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MAPPING'!D648, ", khusus ", 'CONTENT PILLAR MAPPING'!D649, ") dan membantu mereka menyelesaikan masalah atau mencapai tujuan mereka.", CHAR(10),
"✔ Membantuku membangun personal branding yang kuat dan sustainable, sesuai dengan Positioning saya sebagai '", 'CONTENT PILLAR MAPPING'!C635, "' dan Brand Archetype '", 'CONTENT PILLAR MAPPING'!D640, "'.", CHAR(10),
"✔ Kemas dalam bentuk tabel agar rapi, mudah di baca dan dipahami, dengan kolom 'Judul Konten', 'Pilar', 'Format', 'Draft Script', 'CTA', 'Saran Visual', dan 'Full Caption'. (Kosongkan kolom Link Prompt jika ada)."
),
"")</f>
        <v/>
      </c>
      <c r="L729" s="91" t="n"/>
      <c r="M729" s="91" t="n"/>
      <c r="N729" s="102" t="n"/>
      <c r="O729" s="102" t="n"/>
      <c r="P729" s="102" t="n"/>
      <c r="Q729" s="102" t="n"/>
      <c r="R729" s="102" t="n"/>
      <c r="S729" s="102" t="n"/>
      <c r="T729" s="102" t="n"/>
      <c r="U729" s="102" t="n"/>
      <c r="V729" s="102" t="n"/>
      <c r="W729" s="102" t="n"/>
      <c r="X729" s="102" t="n"/>
      <c r="Y729" s="102" t="n"/>
      <c r="Z729" s="102" t="n"/>
      <c r="AA729" s="102" t="n"/>
      <c r="AB729" s="102" t="n"/>
      <c r="AC729" s="102" t="n"/>
      <c r="AD729" s="102" t="n"/>
    </row>
    <row r="730" ht="15.75" customHeight="1" s="205">
      <c r="A730" s="102" t="n"/>
      <c r="B730" s="147" t="n"/>
      <c r="C730" s="144" t="n"/>
      <c r="D730" s="144" t="n"/>
      <c r="E730" s="144" t="n"/>
      <c r="F730" s="144" t="n"/>
      <c r="G730" s="144" t="n"/>
      <c r="H730" s="141">
        <f>IF(K730&lt;&gt;"", HYPERLINK("https://chatgpt.com/?prompt=" &amp; SUBSTITUTE(SUBSTITUTE(K730, " ", "+"), "&amp;", "dan") &amp; "&amp;force-refresh=true&amp;timestamp=" &amp; TEXT(NOW(), "yyyymmddhhmmss"), "👉 Klik untuk Generate Script! 🔥"), "")</f>
        <v/>
      </c>
      <c r="I730" s="144" t="n"/>
      <c r="J730" s="148" t="n"/>
      <c r="K730" s="140">
        <f>IF(AND(B730&lt;&gt;"", C730&lt;&gt;"", D730&lt;&gt;"", E730&lt;&gt;"", F730&lt;&gt;"", G730&lt;&gt;"", J730&lt;&gt;"", 'CONTENT PILLAR MAPPING'!C632&lt;&gt;"", 'CONTENT PILLAR MAPPING'!E632&lt;&gt;"", 'CONTENT PILLAR MAPPING'!F632&lt;&gt;"", 'CONTENT PILLAR MAPPING'!C635&lt;&gt;"", 'CONTENT PILLAR MAPPING'!C640&lt;&gt;"", 'CONTENT PILLAR MAPPING'!D640&lt;&gt;"", 'CONTENT PILLAR MAPPING'!E640&lt;&gt;"", 'CONTENT PILLAR MAPPING'!D648&lt;&gt;"", 'CONTENT PILLAR MAPPING'!D649&lt;&gt;""),
CONCATENATE(
"Sebagai seorang top konten kreator dengan niche utama '", 'CONTENT PILLAR MAPPING'!C632, "', spesifik kategori '", 'CONTENT PILLAR MAPPING'!E632, "', dan super spesifik '", 'CONTENT PILLAR MAPPING'!F632, "', yang dikenal sebagai '", 'CONTENT PILLAR MAPPING'!C635, "'.", CHAR(10),
"Saya memiliki Tone of Voice: '", 'CONTENT PILLAR MAPPING'!C640, "', Brand Archetype: '", 'CONTENT PILLAR MAPPING'!D640, "', dan Deskripsi Gaya Komunikasi: '", 'CONTENT PILLAR MAPPING'!E640, "'.", CHAR(10),
"Target audiens saya adalah: '", 'CONTENT PILLAR MAPPING'!D648, "', dengan segmentasi audiens: '", 'CONTENT PILLAR MAPPING'!D649, "'.", CHAR(10), CHAR(10),
"Mohon buatkan script konten yang **sangat powerful, menarik, inovatif, dan siap pakai** dengan judul ide '", B730, "'.", CHAR(10),
"Konten ini memiliki pilar '", C730, "', nilai tambah utama '", F730, "', dan akan menggunakan storytelling framework '", G730, "'.", CHAR(10),
"Gambaran singkat ide kontennya adalah: '", J730, "'.", CHAR(10),
"Konten ini akan diunggah di platform '", E730, "' dengan format '", D730,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MAPPING'!C635, "'.** Sesuaikan dengan gaya komunikasi saya, dengan fokus pada nilai tambah '", F730,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MAPPING'!D648, ", khusus ", 'CONTENT PILLAR MAPPING'!D649, ") dan membantu mereka menyelesaikan masalah atau mencapai tujuan mereka.", CHAR(10),
"✔ Membantuku membangun personal branding yang kuat dan sustainable, sesuai dengan Positioning saya sebagai '", 'CONTENT PILLAR MAPPING'!C635, "' dan Brand Archetype '", 'CONTENT PILLAR MAPPING'!D640, "'.", CHAR(10),
"✔ Kemas dalam bentuk tabel agar rapi, mudah di baca dan dipahami, dengan kolom 'Judul Konten', 'Pilar', 'Format', 'Draft Script', 'CTA', 'Saran Visual', dan 'Full Caption'. (Kosongkan kolom Link Prompt jika ada)."
),
"")</f>
        <v/>
      </c>
      <c r="L730" s="199" t="n"/>
      <c r="M730" s="199" t="n"/>
      <c r="N730" s="102" t="n"/>
      <c r="O730" s="102" t="n"/>
      <c r="P730" s="102" t="n"/>
      <c r="Q730" s="102" t="n"/>
      <c r="R730" s="102" t="n"/>
      <c r="S730" s="102" t="n"/>
      <c r="T730" s="102" t="n"/>
      <c r="U730" s="102" t="n"/>
      <c r="V730" s="102" t="n"/>
      <c r="W730" s="102" t="n"/>
      <c r="X730" s="102" t="n"/>
      <c r="Y730" s="102" t="n"/>
      <c r="Z730" s="102" t="n"/>
      <c r="AA730" s="102" t="n"/>
      <c r="AB730" s="102" t="n"/>
      <c r="AC730" s="102" t="n"/>
      <c r="AD730" s="102" t="n"/>
    </row>
    <row r="731" ht="15.75" customHeight="1" s="205">
      <c r="A731" s="102" t="n"/>
      <c r="B731" s="142" t="n"/>
      <c r="C731" s="143" t="n"/>
      <c r="D731" s="143" t="n"/>
      <c r="E731" s="143" t="n"/>
      <c r="F731" s="143" t="n"/>
      <c r="G731" s="144" t="n"/>
      <c r="H731" s="145">
        <f>IF(K731&lt;&gt;"", HYPERLINK("https://chatgpt.com/?prompt=" &amp; SUBSTITUTE(SUBSTITUTE(K731, " ", "+"), "&amp;", "dan") &amp; "&amp;force-refresh=true&amp;timestamp=" &amp; TEXT(NOW(), "yyyymmddhhmmss"), "👉 Klik untuk Generate Script! 🔥"), "")</f>
        <v/>
      </c>
      <c r="I731" s="143" t="n"/>
      <c r="J731" s="146" t="n"/>
      <c r="K731" s="130">
        <f>IF(AND(B731&lt;&gt;"", C731&lt;&gt;"", D731&lt;&gt;"", E731&lt;&gt;"", F731&lt;&gt;"", G731&lt;&gt;"", J731&lt;&gt;"", 'CONTENT PILLAR MAPPING'!C634&lt;&gt;"", 'CONTENT PILLAR MAPPING'!E634&lt;&gt;"", 'CONTENT PILLAR MAPPING'!F634&lt;&gt;"", 'CONTENT PILLAR MAPPING'!C637&lt;&gt;"", 'CONTENT PILLAR MAPPING'!C642&lt;&gt;"", 'CONTENT PILLAR MAPPING'!D642&lt;&gt;"", 'CONTENT PILLAR MAPPING'!E642&lt;&gt;"", 'CONTENT PILLAR MAPPING'!D650&lt;&gt;"", 'CONTENT PILLAR MAPPING'!D651&lt;&gt;""),
CONCATENATE(
"Sebagai seorang top konten kreator dengan niche utama '", 'CONTENT PILLAR MAPPING'!C634, "', spesifik kategori '", 'CONTENT PILLAR MAPPING'!E634, "', dan super spesifik '", 'CONTENT PILLAR MAPPING'!F634, "', yang dikenal sebagai '", 'CONTENT PILLAR MAPPING'!C637, "'.", CHAR(10),
"Saya memiliki Tone of Voice: '", 'CONTENT PILLAR MAPPING'!C642, "', Brand Archetype: '", 'CONTENT PILLAR MAPPING'!D642, "', dan Deskripsi Gaya Komunikasi: '", 'CONTENT PILLAR MAPPING'!E642, "'.", CHAR(10),
"Target audiens saya adalah: '", 'CONTENT PILLAR MAPPING'!D650, "', dengan segmentasi audiens: '", 'CONTENT PILLAR MAPPING'!D651, "'.", CHAR(10), CHAR(10),
"Mohon buatkan script konten yang **sangat powerful, menarik, inovatif, dan siap pakai** dengan judul ide '", B731, "'.", CHAR(10),
"Konten ini memiliki pilar '", C731, "', nilai tambah utama '", F731, "', dan akan menggunakan storytelling framework '", G731, "'.", CHAR(10),
"Gambaran singkat ide kontennya adalah: '", J731, "'.", CHAR(10),
"Konten ini akan diunggah di platform '", E731, "' dengan format '", D731,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MAPPING'!C637, "'.** Sesuaikan dengan gaya komunikasi saya, dengan fokus pada nilai tambah '", F731,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MAPPING'!D650, ", khusus ", 'CONTENT PILLAR MAPPING'!D651, ") dan membantu mereka menyelesaikan masalah atau mencapai tujuan mereka.", CHAR(10),
"✔ Membantuku membangun personal branding yang kuat dan sustainable, sesuai dengan Positioning saya sebagai '", 'CONTENT PILLAR MAPPING'!C637, "' dan Brand Archetype '", 'CONTENT PILLAR MAPPING'!D642, "'.", CHAR(10),
"✔ Kemas dalam bentuk tabel agar rapi, mudah di baca dan dipahami, dengan kolom 'Judul Konten', 'Pilar', 'Format', 'Draft Script', 'CTA', 'Saran Visual', dan 'Full Caption'. (Kosongkan kolom Link Prompt jika ada)."
),
"")</f>
        <v/>
      </c>
      <c r="L731" s="91" t="n"/>
      <c r="M731" s="91" t="n"/>
      <c r="N731" s="102" t="n"/>
      <c r="O731" s="102" t="n"/>
      <c r="P731" s="102" t="n"/>
      <c r="Q731" s="102" t="n"/>
      <c r="R731" s="102" t="n"/>
      <c r="S731" s="102" t="n"/>
      <c r="T731" s="102" t="n"/>
      <c r="U731" s="102" t="n"/>
      <c r="V731" s="102" t="n"/>
      <c r="W731" s="102" t="n"/>
      <c r="X731" s="102" t="n"/>
      <c r="Y731" s="102" t="n"/>
      <c r="Z731" s="102" t="n"/>
      <c r="AA731" s="102" t="n"/>
      <c r="AB731" s="102" t="n"/>
      <c r="AC731" s="102" t="n"/>
      <c r="AD731" s="102" t="n"/>
    </row>
    <row r="732" ht="15.75" customHeight="1" s="205">
      <c r="A732" s="102" t="n"/>
      <c r="B732" s="147" t="n"/>
      <c r="C732" s="144" t="n"/>
      <c r="D732" s="144" t="n"/>
      <c r="E732" s="144" t="n"/>
      <c r="F732" s="144" t="n"/>
      <c r="G732" s="144" t="n"/>
      <c r="H732" s="141">
        <f>IF(K732&lt;&gt;"", HYPERLINK("https://chatgpt.com/?prompt=" &amp; SUBSTITUTE(SUBSTITUTE(K732, " ", "+"), "&amp;", "dan") &amp; "&amp;force-refresh=true&amp;timestamp=" &amp; TEXT(NOW(), "yyyymmddhhmmss"), "👉 Klik untuk Generate Script! 🔥"), "")</f>
        <v/>
      </c>
      <c r="I732" s="144" t="n"/>
      <c r="J732" s="148" t="n"/>
      <c r="K732" s="140">
        <f>IF(AND(B732&lt;&gt;"", C732&lt;&gt;"", D732&lt;&gt;"", E732&lt;&gt;"", F732&lt;&gt;"", G732&lt;&gt;"", J732&lt;&gt;"", 'CONTENT PILLAR MAPPING'!C634&lt;&gt;"", 'CONTENT PILLAR MAPPING'!E634&lt;&gt;"", 'CONTENT PILLAR MAPPING'!F634&lt;&gt;"", 'CONTENT PILLAR MAPPING'!C637&lt;&gt;"", 'CONTENT PILLAR MAPPING'!C642&lt;&gt;"", 'CONTENT PILLAR MAPPING'!D642&lt;&gt;"", 'CONTENT PILLAR MAPPING'!E642&lt;&gt;"", 'CONTENT PILLAR MAPPING'!D650&lt;&gt;"", 'CONTENT PILLAR MAPPING'!D651&lt;&gt;""),
CONCATENATE(
"Sebagai seorang top konten kreator dengan niche utama '", 'CONTENT PILLAR MAPPING'!C634, "', spesifik kategori '", 'CONTENT PILLAR MAPPING'!E634, "', dan super spesifik '", 'CONTENT PILLAR MAPPING'!F634, "', yang dikenal sebagai '", 'CONTENT PILLAR MAPPING'!C637, "'.", CHAR(10),
"Saya memiliki Tone of Voice: '", 'CONTENT PILLAR MAPPING'!C642, "', Brand Archetype: '", 'CONTENT PILLAR MAPPING'!D642, "', dan Deskripsi Gaya Komunikasi: '", 'CONTENT PILLAR MAPPING'!E642, "'.", CHAR(10),
"Target audiens saya adalah: '", 'CONTENT PILLAR MAPPING'!D650, "', dengan segmentasi audiens: '", 'CONTENT PILLAR MAPPING'!D651, "'.", CHAR(10), CHAR(10),
"Mohon buatkan script konten yang **sangat powerful, menarik, inovatif, dan siap pakai** dengan judul ide '", B732, "'.", CHAR(10),
"Konten ini memiliki pilar '", C732, "', nilai tambah utama '", F732, "', dan akan menggunakan storytelling framework '", G732, "'.", CHAR(10),
"Gambaran singkat ide kontennya adalah: '", J732, "'.", CHAR(10),
"Konten ini akan diunggah di platform '", E732, "' dengan format '", D732,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MAPPING'!C637, "'.** Sesuaikan dengan gaya komunikasi saya, dengan fokus pada nilai tambah '", F732,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MAPPING'!D650, ", khusus ", 'CONTENT PILLAR MAPPING'!D651, ") dan membantu mereka menyelesaikan masalah atau mencapai tujuan mereka.", CHAR(10),
"✔ Membantuku membangun personal branding yang kuat dan sustainable, sesuai dengan Positioning saya sebagai '", 'CONTENT PILLAR MAPPING'!C637, "' dan Brand Archetype '", 'CONTENT PILLAR MAPPING'!D642, "'.", CHAR(10),
"✔ Kemas dalam bentuk tabel agar rapi, mudah di baca dan dipahami, dengan kolom 'Judul Konten', 'Pilar', 'Format', 'Draft Script', 'CTA', 'Saran Visual', dan 'Full Caption'. (Kosongkan kolom Link Prompt jika ada)."
),
"")</f>
        <v/>
      </c>
      <c r="L732" s="199" t="n"/>
      <c r="M732" s="199" t="n"/>
      <c r="N732" s="102" t="n"/>
      <c r="O732" s="102" t="n"/>
      <c r="P732" s="102" t="n"/>
      <c r="Q732" s="102" t="n"/>
      <c r="R732" s="102" t="n"/>
      <c r="S732" s="102" t="n"/>
      <c r="T732" s="102" t="n"/>
      <c r="U732" s="102" t="n"/>
      <c r="V732" s="102" t="n"/>
      <c r="W732" s="102" t="n"/>
      <c r="X732" s="102" t="n"/>
      <c r="Y732" s="102" t="n"/>
      <c r="Z732" s="102" t="n"/>
      <c r="AA732" s="102" t="n"/>
      <c r="AB732" s="102" t="n"/>
      <c r="AC732" s="102" t="n"/>
      <c r="AD732" s="102" t="n"/>
    </row>
    <row r="733" ht="15.75" customHeight="1" s="205">
      <c r="A733" s="102" t="n"/>
      <c r="B733" s="142" t="n"/>
      <c r="C733" s="143" t="n"/>
      <c r="D733" s="143" t="n"/>
      <c r="E733" s="143" t="n"/>
      <c r="F733" s="143" t="n"/>
      <c r="G733" s="144" t="n"/>
      <c r="H733" s="145">
        <f>IF(K733&lt;&gt;"", HYPERLINK("https://chatgpt.com/?prompt=" &amp; SUBSTITUTE(SUBSTITUTE(K733, " ", "+"), "&amp;", "dan") &amp; "&amp;force-refresh=true&amp;timestamp=" &amp; TEXT(NOW(), "yyyymmddhhmmss"), "👉 Klik untuk Generate Script! 🔥"), "")</f>
        <v/>
      </c>
      <c r="I733" s="143" t="n"/>
      <c r="J733" s="146" t="n"/>
      <c r="K733" s="130">
        <f>IF(AND(B733&lt;&gt;"", C733&lt;&gt;"", D733&lt;&gt;"", E733&lt;&gt;"", F733&lt;&gt;"", G733&lt;&gt;"", J733&lt;&gt;"", 'CONTENT PILLAR MAPPING'!C636&lt;&gt;"", 'CONTENT PILLAR MAPPING'!E636&lt;&gt;"", 'CONTENT PILLAR MAPPING'!F636&lt;&gt;"", 'CONTENT PILLAR MAPPING'!C639&lt;&gt;"", 'CONTENT PILLAR MAPPING'!C644&lt;&gt;"", 'CONTENT PILLAR MAPPING'!D644&lt;&gt;"", 'CONTENT PILLAR MAPPING'!E644&lt;&gt;"", 'CONTENT PILLAR MAPPING'!D652&lt;&gt;"", 'CONTENT PILLAR MAPPING'!D653&lt;&gt;""),
CONCATENATE(
"Sebagai seorang top konten kreator dengan niche utama '", 'CONTENT PILLAR MAPPING'!C636, "', spesifik kategori '", 'CONTENT PILLAR MAPPING'!E636, "', dan super spesifik '", 'CONTENT PILLAR MAPPING'!F636, "', yang dikenal sebagai '", 'CONTENT PILLAR MAPPING'!C639, "'.", CHAR(10),
"Saya memiliki Tone of Voice: '", 'CONTENT PILLAR MAPPING'!C644, "', Brand Archetype: '", 'CONTENT PILLAR MAPPING'!D644, "', dan Deskripsi Gaya Komunikasi: '", 'CONTENT PILLAR MAPPING'!E644, "'.", CHAR(10),
"Target audiens saya adalah: '", 'CONTENT PILLAR MAPPING'!D652, "', dengan segmentasi audiens: '", 'CONTENT PILLAR MAPPING'!D653, "'.", CHAR(10), CHAR(10),
"Mohon buatkan script konten yang **sangat powerful, menarik, inovatif, dan siap pakai** dengan judul ide '", B733, "'.", CHAR(10),
"Konten ini memiliki pilar '", C733, "', nilai tambah utama '", F733, "', dan akan menggunakan storytelling framework '", G733, "'.", CHAR(10),
"Gambaran singkat ide kontennya adalah: '", J733, "'.", CHAR(10),
"Konten ini akan diunggah di platform '", E733, "' dengan format '", D733,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MAPPING'!C639, "'.** Sesuaikan dengan gaya komunikasi saya, dengan fokus pada nilai tambah '", F733,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MAPPING'!D652, ", khusus ", 'CONTENT PILLAR MAPPING'!D653, ") dan membantu mereka menyelesaikan masalah atau mencapai tujuan mereka.", CHAR(10),
"✔ Membantuku membangun personal branding yang kuat dan sustainable, sesuai dengan Positioning saya sebagai '", 'CONTENT PILLAR MAPPING'!C639, "' dan Brand Archetype '", 'CONTENT PILLAR MAPPING'!D644, "'.", CHAR(10),
"✔ Kemas dalam bentuk tabel agar rapi, mudah di baca dan dipahami, dengan kolom 'Judul Konten', 'Pilar', 'Format', 'Draft Script', 'CTA', 'Saran Visual', dan 'Full Caption'. (Kosongkan kolom Link Prompt jika ada)."
),
"")</f>
        <v/>
      </c>
      <c r="L733" s="91" t="n"/>
      <c r="M733" s="91" t="n"/>
      <c r="N733" s="102" t="n"/>
      <c r="O733" s="102" t="n"/>
      <c r="P733" s="102" t="n"/>
      <c r="Q733" s="102" t="n"/>
      <c r="R733" s="102" t="n"/>
      <c r="S733" s="102" t="n"/>
      <c r="T733" s="102" t="n"/>
      <c r="U733" s="102" t="n"/>
      <c r="V733" s="102" t="n"/>
      <c r="W733" s="102" t="n"/>
      <c r="X733" s="102" t="n"/>
      <c r="Y733" s="102" t="n"/>
      <c r="Z733" s="102" t="n"/>
      <c r="AA733" s="102" t="n"/>
      <c r="AB733" s="102" t="n"/>
      <c r="AC733" s="102" t="n"/>
      <c r="AD733" s="102" t="n"/>
    </row>
    <row r="734" ht="15.75" customHeight="1" s="205">
      <c r="A734" s="102" t="n"/>
      <c r="B734" s="147" t="n"/>
      <c r="C734" s="144" t="n"/>
      <c r="D734" s="144" t="n"/>
      <c r="E734" s="144" t="n"/>
      <c r="F734" s="144" t="n"/>
      <c r="G734" s="144" t="n"/>
      <c r="H734" s="141">
        <f>IF(K734&lt;&gt;"", HYPERLINK("https://chatgpt.com/?prompt=" &amp; SUBSTITUTE(SUBSTITUTE(K734, " ", "+"), "&amp;", "dan") &amp; "&amp;force-refresh=true&amp;timestamp=" &amp; TEXT(NOW(), "yyyymmddhhmmss"), "👉 Klik untuk Generate Script! 🔥"), "")</f>
        <v/>
      </c>
      <c r="I734" s="144" t="n"/>
      <c r="J734" s="148" t="n"/>
      <c r="K734" s="140">
        <f>IF(AND(B734&lt;&gt;"", C734&lt;&gt;"", D734&lt;&gt;"", E734&lt;&gt;"", F734&lt;&gt;"", G734&lt;&gt;"", J734&lt;&gt;"", 'CONTENT PILLAR MAPPING'!C636&lt;&gt;"", 'CONTENT PILLAR MAPPING'!E636&lt;&gt;"", 'CONTENT PILLAR MAPPING'!F636&lt;&gt;"", 'CONTENT PILLAR MAPPING'!C639&lt;&gt;"", 'CONTENT PILLAR MAPPING'!C644&lt;&gt;"", 'CONTENT PILLAR MAPPING'!D644&lt;&gt;"", 'CONTENT PILLAR MAPPING'!E644&lt;&gt;"", 'CONTENT PILLAR MAPPING'!D652&lt;&gt;"", 'CONTENT PILLAR MAPPING'!D653&lt;&gt;""),
CONCATENATE(
"Sebagai seorang top konten kreator dengan niche utama '", 'CONTENT PILLAR MAPPING'!C636, "', spesifik kategori '", 'CONTENT PILLAR MAPPING'!E636, "', dan super spesifik '", 'CONTENT PILLAR MAPPING'!F636, "', yang dikenal sebagai '", 'CONTENT PILLAR MAPPING'!C639, "'.", CHAR(10),
"Saya memiliki Tone of Voice: '", 'CONTENT PILLAR MAPPING'!C644, "', Brand Archetype: '", 'CONTENT PILLAR MAPPING'!D644, "', dan Deskripsi Gaya Komunikasi: '", 'CONTENT PILLAR MAPPING'!E644, "'.", CHAR(10),
"Target audiens saya adalah: '", 'CONTENT PILLAR MAPPING'!D652, "', dengan segmentasi audiens: '", 'CONTENT PILLAR MAPPING'!D653, "'.", CHAR(10), CHAR(10),
"Mohon buatkan script konten yang **sangat powerful, menarik, inovatif, dan siap pakai** dengan judul ide '", B734, "'.", CHAR(10),
"Konten ini memiliki pilar '", C734, "', nilai tambah utama '", F734, "', dan akan menggunakan storytelling framework '", G734, "'.", CHAR(10),
"Gambaran singkat ide kontennya adalah: '", J734, "'.", CHAR(10),
"Konten ini akan diunggah di platform '", E734, "' dengan format '", D734,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MAPPING'!C639, "'.** Sesuaikan dengan gaya komunikasi saya, dengan fokus pada nilai tambah '", F734,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MAPPING'!D652, ", khusus ", 'CONTENT PILLAR MAPPING'!D653, ") dan membantu mereka menyelesaikan masalah atau mencapai tujuan mereka.", CHAR(10),
"✔ Membantuku membangun personal branding yang kuat dan sustainable, sesuai dengan Positioning saya sebagai '", 'CONTENT PILLAR MAPPING'!C639, "' dan Brand Archetype '", 'CONTENT PILLAR MAPPING'!D644, "'.", CHAR(10),
"✔ Kemas dalam bentuk tabel agar rapi, mudah di baca dan dipahami, dengan kolom 'Judul Konten', 'Pilar', 'Format', 'Draft Script', 'CTA', 'Saran Visual', dan 'Full Caption'. (Kosongkan kolom Link Prompt jika ada)."
),
"")</f>
        <v/>
      </c>
      <c r="L734" s="199" t="n"/>
      <c r="M734" s="199" t="n"/>
      <c r="N734" s="102" t="n"/>
      <c r="O734" s="102" t="n"/>
      <c r="P734" s="102" t="n"/>
      <c r="Q734" s="102" t="n"/>
      <c r="R734" s="102" t="n"/>
      <c r="S734" s="102" t="n"/>
      <c r="T734" s="102" t="n"/>
      <c r="U734" s="102" t="n"/>
      <c r="V734" s="102" t="n"/>
      <c r="W734" s="102" t="n"/>
      <c r="X734" s="102" t="n"/>
      <c r="Y734" s="102" t="n"/>
      <c r="Z734" s="102" t="n"/>
      <c r="AA734" s="102" t="n"/>
      <c r="AB734" s="102" t="n"/>
      <c r="AC734" s="102" t="n"/>
      <c r="AD734" s="102" t="n"/>
    </row>
    <row r="735" ht="15.75" customHeight="1" s="205">
      <c r="A735" s="102" t="n"/>
      <c r="B735" s="142" t="n"/>
      <c r="C735" s="143" t="n"/>
      <c r="D735" s="143" t="n"/>
      <c r="E735" s="143" t="n"/>
      <c r="F735" s="143" t="n"/>
      <c r="G735" s="144" t="n"/>
      <c r="H735" s="145">
        <f>IF(K735&lt;&gt;"", HYPERLINK("https://chatgpt.com/?prompt=" &amp; SUBSTITUTE(SUBSTITUTE(K735, " ", "+"), "&amp;", "dan") &amp; "&amp;force-refresh=true&amp;timestamp=" &amp; TEXT(NOW(), "yyyymmddhhmmss"), "👉 Klik untuk Generate Script! 🔥"), "")</f>
        <v/>
      </c>
      <c r="I735" s="143" t="n"/>
      <c r="J735" s="146" t="n"/>
      <c r="K735" s="130">
        <f>IF(AND(B735&lt;&gt;"", C735&lt;&gt;"", D735&lt;&gt;"", E735&lt;&gt;"", F735&lt;&gt;"", G735&lt;&gt;"", J735&lt;&gt;"", 'CONTENT PILLAR MAPPING'!C638&lt;&gt;"", 'CONTENT PILLAR MAPPING'!E638&lt;&gt;"", 'CONTENT PILLAR MAPPING'!F638&lt;&gt;"", 'CONTENT PILLAR MAPPING'!C641&lt;&gt;"", 'CONTENT PILLAR MAPPING'!C646&lt;&gt;"", 'CONTENT PILLAR MAPPING'!D646&lt;&gt;"", 'CONTENT PILLAR MAPPING'!E646&lt;&gt;"", 'CONTENT PILLAR MAPPING'!D654&lt;&gt;"", 'CONTENT PILLAR MAPPING'!D655&lt;&gt;""),
CONCATENATE(
"Sebagai seorang top konten kreator dengan niche utama '", 'CONTENT PILLAR MAPPING'!C638, "', spesifik kategori '", 'CONTENT PILLAR MAPPING'!E638, "', dan super spesifik '", 'CONTENT PILLAR MAPPING'!F638, "', yang dikenal sebagai '", 'CONTENT PILLAR MAPPING'!C641, "'.", CHAR(10),
"Saya memiliki Tone of Voice: '", 'CONTENT PILLAR MAPPING'!C646, "', Brand Archetype: '", 'CONTENT PILLAR MAPPING'!D646, "', dan Deskripsi Gaya Komunikasi: '", 'CONTENT PILLAR MAPPING'!E646, "'.", CHAR(10),
"Target audiens saya adalah: '", 'CONTENT PILLAR MAPPING'!D654, "', dengan segmentasi audiens: '", 'CONTENT PILLAR MAPPING'!D655, "'.", CHAR(10), CHAR(10),
"Mohon buatkan script konten yang **sangat powerful, menarik, inovatif, dan siap pakai** dengan judul ide '", B735, "'.", CHAR(10),
"Konten ini memiliki pilar '", C735, "', nilai tambah utama '", F735, "', dan akan menggunakan storytelling framework '", G735, "'.", CHAR(10),
"Gambaran singkat ide kontennya adalah: '", J735, "'.", CHAR(10),
"Konten ini akan diunggah di platform '", E735, "' dengan format '", D735,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MAPPING'!C641, "'.** Sesuaikan dengan gaya komunikasi saya, dengan fokus pada nilai tambah '", F735,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MAPPING'!D654, ", khusus ", 'CONTENT PILLAR MAPPING'!D655, ") dan membantu mereka menyelesaikan masalah atau mencapai tujuan mereka.", CHAR(10),
"✔ Membantuku membangun personal branding yang kuat dan sustainable, sesuai dengan Positioning saya sebagai '", 'CONTENT PILLAR MAPPING'!C641, "' dan Brand Archetype '", 'CONTENT PILLAR MAPPING'!D646, "'.", CHAR(10),
"✔ Kemas dalam bentuk tabel agar rapi, mudah di baca dan dipahami, dengan kolom 'Judul Konten', 'Pilar', 'Format', 'Draft Script', 'CTA', 'Saran Visual', dan 'Full Caption'. (Kosongkan kolom Link Prompt jika ada)."
),
"")</f>
        <v/>
      </c>
      <c r="L735" s="91" t="n"/>
      <c r="M735" s="91" t="n"/>
      <c r="N735" s="102" t="n"/>
      <c r="O735" s="102" t="n"/>
      <c r="P735" s="102" t="n"/>
      <c r="Q735" s="102" t="n"/>
      <c r="R735" s="102" t="n"/>
      <c r="S735" s="102" t="n"/>
      <c r="T735" s="102" t="n"/>
      <c r="U735" s="102" t="n"/>
      <c r="V735" s="102" t="n"/>
      <c r="W735" s="102" t="n"/>
      <c r="X735" s="102" t="n"/>
      <c r="Y735" s="102" t="n"/>
      <c r="Z735" s="102" t="n"/>
      <c r="AA735" s="102" t="n"/>
      <c r="AB735" s="102" t="n"/>
      <c r="AC735" s="102" t="n"/>
      <c r="AD735" s="102" t="n"/>
    </row>
    <row r="736" ht="15.75" customHeight="1" s="205">
      <c r="A736" s="102" t="n"/>
      <c r="B736" s="147" t="n"/>
      <c r="C736" s="144" t="n"/>
      <c r="D736" s="144" t="n"/>
      <c r="E736" s="144" t="n"/>
      <c r="F736" s="144" t="n"/>
      <c r="G736" s="144" t="n"/>
      <c r="H736" s="141">
        <f>IF(K736&lt;&gt;"", HYPERLINK("https://chatgpt.com/?prompt=" &amp; SUBSTITUTE(SUBSTITUTE(K736, " ", "+"), "&amp;", "dan") &amp; "&amp;force-refresh=true&amp;timestamp=" &amp; TEXT(NOW(), "yyyymmddhhmmss"), "👉 Klik untuk Generate Script! 🔥"), "")</f>
        <v/>
      </c>
      <c r="I736" s="144" t="n"/>
      <c r="J736" s="148" t="n"/>
      <c r="K736" s="140">
        <f>IF(AND(B736&lt;&gt;"", C736&lt;&gt;"", D736&lt;&gt;"", E736&lt;&gt;"", F736&lt;&gt;"", G736&lt;&gt;"", J736&lt;&gt;"", 'CONTENT PILLAR MAPPING'!C638&lt;&gt;"", 'CONTENT PILLAR MAPPING'!E638&lt;&gt;"", 'CONTENT PILLAR MAPPING'!F638&lt;&gt;"", 'CONTENT PILLAR MAPPING'!C641&lt;&gt;"", 'CONTENT PILLAR MAPPING'!C646&lt;&gt;"", 'CONTENT PILLAR MAPPING'!D646&lt;&gt;"", 'CONTENT PILLAR MAPPING'!E646&lt;&gt;"", 'CONTENT PILLAR MAPPING'!D654&lt;&gt;"", 'CONTENT PILLAR MAPPING'!D655&lt;&gt;""),
CONCATENATE(
"Sebagai seorang top konten kreator dengan niche utama '", 'CONTENT PILLAR MAPPING'!C638, "', spesifik kategori '", 'CONTENT PILLAR MAPPING'!E638, "', dan super spesifik '", 'CONTENT PILLAR MAPPING'!F638, "', yang dikenal sebagai '", 'CONTENT PILLAR MAPPING'!C641, "'.", CHAR(10),
"Saya memiliki Tone of Voice: '", 'CONTENT PILLAR MAPPING'!C646, "', Brand Archetype: '", 'CONTENT PILLAR MAPPING'!D646, "', dan Deskripsi Gaya Komunikasi: '", 'CONTENT PILLAR MAPPING'!E646, "'.", CHAR(10),
"Target audiens saya adalah: '", 'CONTENT PILLAR MAPPING'!D654, "', dengan segmentasi audiens: '", 'CONTENT PILLAR MAPPING'!D655, "'.", CHAR(10), CHAR(10),
"Mohon buatkan script konten yang **sangat powerful, menarik, inovatif, dan siap pakai** dengan judul ide '", B736, "'.", CHAR(10),
"Konten ini memiliki pilar '", C736, "', nilai tambah utama '", F736, "', dan akan menggunakan storytelling framework '", G736, "'.", CHAR(10),
"Gambaran singkat ide kontennya adalah: '", J736, "'.", CHAR(10),
"Konten ini akan diunggah di platform '", E736, "' dengan format '", D736,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MAPPING'!C641, "'.** Sesuaikan dengan gaya komunikasi saya, dengan fokus pada nilai tambah '", F736,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MAPPING'!D654, ", khusus ", 'CONTENT PILLAR MAPPING'!D655, ") dan membantu mereka menyelesaikan masalah atau mencapai tujuan mereka.", CHAR(10),
"✔ Membantuku membangun personal branding yang kuat dan sustainable, sesuai dengan Positioning saya sebagai '", 'CONTENT PILLAR MAPPING'!C641, "' dan Brand Archetype '", 'CONTENT PILLAR MAPPING'!D646, "'.", CHAR(10),
"✔ Kemas dalam bentuk tabel agar rapi, mudah di baca dan dipahami, dengan kolom 'Judul Konten', 'Pilar', 'Format', 'Draft Script', 'CTA', 'Saran Visual', dan 'Full Caption'. (Kosongkan kolom Link Prompt jika ada)."
),
"")</f>
        <v/>
      </c>
      <c r="L736" s="199" t="n"/>
      <c r="M736" s="199" t="n"/>
      <c r="N736" s="102" t="n"/>
      <c r="O736" s="102" t="n"/>
      <c r="P736" s="102" t="n"/>
      <c r="Q736" s="102" t="n"/>
      <c r="R736" s="102" t="n"/>
      <c r="S736" s="102" t="n"/>
      <c r="T736" s="102" t="n"/>
      <c r="U736" s="102" t="n"/>
      <c r="V736" s="102" t="n"/>
      <c r="W736" s="102" t="n"/>
      <c r="X736" s="102" t="n"/>
      <c r="Y736" s="102" t="n"/>
      <c r="Z736" s="102" t="n"/>
      <c r="AA736" s="102" t="n"/>
      <c r="AB736" s="102" t="n"/>
      <c r="AC736" s="102" t="n"/>
      <c r="AD736" s="102" t="n"/>
    </row>
    <row r="737" ht="15.75" customHeight="1" s="205">
      <c r="A737" s="102" t="n"/>
      <c r="B737" s="142" t="n"/>
      <c r="C737" s="143" t="n"/>
      <c r="D737" s="143" t="n"/>
      <c r="E737" s="143" t="n"/>
      <c r="F737" s="143" t="n"/>
      <c r="G737" s="144" t="n"/>
      <c r="H737" s="145">
        <f>IF(K737&lt;&gt;"", HYPERLINK("https://chatgpt.com/?prompt=" &amp; SUBSTITUTE(SUBSTITUTE(K737, " ", "+"), "&amp;", "dan") &amp; "&amp;force-refresh=true&amp;timestamp=" &amp; TEXT(NOW(), "yyyymmddhhmmss"), "👉 Klik untuk Generate Script! 🔥"), "")</f>
        <v/>
      </c>
      <c r="I737" s="143" t="n"/>
      <c r="J737" s="146" t="n"/>
      <c r="K737" s="130">
        <f>IF(AND(B737&lt;&gt;"", C737&lt;&gt;"", D737&lt;&gt;"", E737&lt;&gt;"", F737&lt;&gt;"", G737&lt;&gt;"", J737&lt;&gt;"", 'CONTENT PILLAR MAPPING'!C640&lt;&gt;"", 'CONTENT PILLAR MAPPING'!E640&lt;&gt;"", 'CONTENT PILLAR MAPPING'!F640&lt;&gt;"", 'CONTENT PILLAR MAPPING'!C643&lt;&gt;"", 'CONTENT PILLAR MAPPING'!C648&lt;&gt;"", 'CONTENT PILLAR MAPPING'!D648&lt;&gt;"", 'CONTENT PILLAR MAPPING'!E648&lt;&gt;"", 'CONTENT PILLAR MAPPING'!D656&lt;&gt;"", 'CONTENT PILLAR MAPPING'!D657&lt;&gt;""),
CONCATENATE(
"Sebagai seorang top konten kreator dengan niche utama '", 'CONTENT PILLAR MAPPING'!C640, "', spesifik kategori '", 'CONTENT PILLAR MAPPING'!E640, "', dan super spesifik '", 'CONTENT PILLAR MAPPING'!F640, "', yang dikenal sebagai '", 'CONTENT PILLAR MAPPING'!C643, "'.", CHAR(10),
"Saya memiliki Tone of Voice: '", 'CONTENT PILLAR MAPPING'!C648, "', Brand Archetype: '", 'CONTENT PILLAR MAPPING'!D648, "', dan Deskripsi Gaya Komunikasi: '", 'CONTENT PILLAR MAPPING'!E648, "'.", CHAR(10),
"Target audiens saya adalah: '", 'CONTENT PILLAR MAPPING'!D656, "', dengan segmentasi audiens: '", 'CONTENT PILLAR MAPPING'!D657, "'.", CHAR(10), CHAR(10),
"Mohon buatkan script konten yang **sangat powerful, menarik, inovatif, dan siap pakai** dengan judul ide '", B737, "'.", CHAR(10),
"Konten ini memiliki pilar '", C737, "', nilai tambah utama '", F737, "', dan akan menggunakan storytelling framework '", G737, "'.", CHAR(10),
"Gambaran singkat ide kontennya adalah: '", J737, "'.", CHAR(10),
"Konten ini akan diunggah di platform '", E737, "' dengan format '", D737,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MAPPING'!C643, "'.** Sesuaikan dengan gaya komunikasi saya, dengan fokus pada nilai tambah '", F737,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MAPPING'!D656, ", khusus ", 'CONTENT PILLAR MAPPING'!D657, ") dan membantu mereka menyelesaikan masalah atau mencapai tujuan mereka.", CHAR(10),
"✔ Membantuku membangun personal branding yang kuat dan sustainable, sesuai dengan Positioning saya sebagai '", 'CONTENT PILLAR MAPPING'!C643, "' dan Brand Archetype '", 'CONTENT PILLAR MAPPING'!D648, "'.", CHAR(10),
"✔ Kemas dalam bentuk tabel agar rapi, mudah di baca dan dipahami, dengan kolom 'Judul Konten', 'Pilar', 'Format', 'Draft Script', 'CTA', 'Saran Visual', dan 'Full Caption'. (Kosongkan kolom Link Prompt jika ada)."
),
"")</f>
        <v/>
      </c>
      <c r="L737" s="91" t="n"/>
      <c r="M737" s="91" t="n"/>
      <c r="N737" s="102" t="n"/>
      <c r="O737" s="102" t="n"/>
      <c r="P737" s="102" t="n"/>
      <c r="Q737" s="102" t="n"/>
      <c r="R737" s="102" t="n"/>
      <c r="S737" s="102" t="n"/>
      <c r="T737" s="102" t="n"/>
      <c r="U737" s="102" t="n"/>
      <c r="V737" s="102" t="n"/>
      <c r="W737" s="102" t="n"/>
      <c r="X737" s="102" t="n"/>
      <c r="Y737" s="102" t="n"/>
      <c r="Z737" s="102" t="n"/>
      <c r="AA737" s="102" t="n"/>
      <c r="AB737" s="102" t="n"/>
      <c r="AC737" s="102" t="n"/>
      <c r="AD737" s="102" t="n"/>
    </row>
    <row r="738" ht="15.75" customHeight="1" s="205">
      <c r="A738" s="102" t="n"/>
      <c r="B738" s="147" t="n"/>
      <c r="C738" s="144" t="n"/>
      <c r="D738" s="144" t="n"/>
      <c r="E738" s="144" t="n"/>
      <c r="F738" s="144" t="n"/>
      <c r="G738" s="144" t="n"/>
      <c r="H738" s="141">
        <f>IF(K738&lt;&gt;"", HYPERLINK("https://chatgpt.com/?prompt=" &amp; SUBSTITUTE(SUBSTITUTE(K738, " ", "+"), "&amp;", "dan") &amp; "&amp;force-refresh=true&amp;timestamp=" &amp; TEXT(NOW(), "yyyymmddhhmmss"), "👉 Klik untuk Generate Script! 🔥"), "")</f>
        <v/>
      </c>
      <c r="I738" s="144" t="n"/>
      <c r="J738" s="148" t="n"/>
      <c r="K738" s="140">
        <f>IF(AND(B738&lt;&gt;"", C738&lt;&gt;"", D738&lt;&gt;"", E738&lt;&gt;"", F738&lt;&gt;"", G738&lt;&gt;"", J738&lt;&gt;"", 'CONTENT PILLAR MAPPING'!C640&lt;&gt;"", 'CONTENT PILLAR MAPPING'!E640&lt;&gt;"", 'CONTENT PILLAR MAPPING'!F640&lt;&gt;"", 'CONTENT PILLAR MAPPING'!C643&lt;&gt;"", 'CONTENT PILLAR MAPPING'!C648&lt;&gt;"", 'CONTENT PILLAR MAPPING'!D648&lt;&gt;"", 'CONTENT PILLAR MAPPING'!E648&lt;&gt;"", 'CONTENT PILLAR MAPPING'!D656&lt;&gt;"", 'CONTENT PILLAR MAPPING'!D657&lt;&gt;""),
CONCATENATE(
"Sebagai seorang top konten kreator dengan niche utama '", 'CONTENT PILLAR MAPPING'!C640, "', spesifik kategori '", 'CONTENT PILLAR MAPPING'!E640, "', dan super spesifik '", 'CONTENT PILLAR MAPPING'!F640, "', yang dikenal sebagai '", 'CONTENT PILLAR MAPPING'!C643, "'.", CHAR(10),
"Saya memiliki Tone of Voice: '", 'CONTENT PILLAR MAPPING'!C648, "', Brand Archetype: '", 'CONTENT PILLAR MAPPING'!D648, "', dan Deskripsi Gaya Komunikasi: '", 'CONTENT PILLAR MAPPING'!E648, "'.", CHAR(10),
"Target audiens saya adalah: '", 'CONTENT PILLAR MAPPING'!D656, "', dengan segmentasi audiens: '", 'CONTENT PILLAR MAPPING'!D657, "'.", CHAR(10), CHAR(10),
"Mohon buatkan script konten yang **sangat powerful, menarik, inovatif, dan siap pakai** dengan judul ide '", B738, "'.", CHAR(10),
"Konten ini memiliki pilar '", C738, "', nilai tambah utama '", F738, "', dan akan menggunakan storytelling framework '", G738, "'.", CHAR(10),
"Gambaran singkat ide kontennya adalah: '", J738, "'.", CHAR(10),
"Konten ini akan diunggah di platform '", E738, "' dengan format '", D738,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MAPPING'!C643, "'.** Sesuaikan dengan gaya komunikasi saya, dengan fokus pada nilai tambah '", F738,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MAPPING'!D656, ", khusus ", 'CONTENT PILLAR MAPPING'!D657, ") dan membantu mereka menyelesaikan masalah atau mencapai tujuan mereka.", CHAR(10),
"✔ Membantuku membangun personal branding yang kuat dan sustainable, sesuai dengan Positioning saya sebagai '", 'CONTENT PILLAR MAPPING'!C643, "' dan Brand Archetype '", 'CONTENT PILLAR MAPPING'!D648, "'.", CHAR(10),
"✔ Kemas dalam bentuk tabel agar rapi, mudah di baca dan dipahami, dengan kolom 'Judul Konten', 'Pilar', 'Format', 'Draft Script', 'CTA', 'Saran Visual', dan 'Full Caption'. (Kosongkan kolom Link Prompt jika ada)."
),
"")</f>
        <v/>
      </c>
      <c r="L738" s="199" t="n"/>
      <c r="M738" s="199" t="n"/>
      <c r="N738" s="102" t="n"/>
      <c r="O738" s="102" t="n"/>
      <c r="P738" s="102" t="n"/>
      <c r="Q738" s="102" t="n"/>
      <c r="R738" s="102" t="n"/>
      <c r="S738" s="102" t="n"/>
      <c r="T738" s="102" t="n"/>
      <c r="U738" s="102" t="n"/>
      <c r="V738" s="102" t="n"/>
      <c r="W738" s="102" t="n"/>
      <c r="X738" s="102" t="n"/>
      <c r="Y738" s="102" t="n"/>
      <c r="Z738" s="102" t="n"/>
      <c r="AA738" s="102" t="n"/>
      <c r="AB738" s="102" t="n"/>
      <c r="AC738" s="102" t="n"/>
      <c r="AD738" s="102" t="n"/>
    </row>
    <row r="739" ht="15.75" customHeight="1" s="205">
      <c r="A739" s="102" t="n"/>
      <c r="B739" s="142" t="n"/>
      <c r="C739" s="143" t="n"/>
      <c r="D739" s="143" t="n"/>
      <c r="E739" s="143" t="n"/>
      <c r="F739" s="143" t="n"/>
      <c r="G739" s="144" t="n"/>
      <c r="H739" s="145">
        <f>IF(K739&lt;&gt;"", HYPERLINK("https://chatgpt.com/?prompt=" &amp; SUBSTITUTE(SUBSTITUTE(K739, " ", "+"), "&amp;", "dan") &amp; "&amp;force-refresh=true&amp;timestamp=" &amp; TEXT(NOW(), "yyyymmddhhmmss"), "👉 Klik untuk Generate Script! 🔥"), "")</f>
        <v/>
      </c>
      <c r="I739" s="143" t="n"/>
      <c r="J739" s="146" t="n"/>
      <c r="K739" s="130">
        <f>IF(AND(B739&lt;&gt;"", C739&lt;&gt;"", D739&lt;&gt;"", E739&lt;&gt;"", F739&lt;&gt;"", G739&lt;&gt;"", J739&lt;&gt;"", 'CONTENT PILLAR MAPPING'!C642&lt;&gt;"", 'CONTENT PILLAR MAPPING'!E642&lt;&gt;"", 'CONTENT PILLAR MAPPING'!F642&lt;&gt;"", 'CONTENT PILLAR MAPPING'!C645&lt;&gt;"", 'CONTENT PILLAR MAPPING'!C650&lt;&gt;"", 'CONTENT PILLAR MAPPING'!D650&lt;&gt;"", 'CONTENT PILLAR MAPPING'!E650&lt;&gt;"", 'CONTENT PILLAR MAPPING'!D658&lt;&gt;"", 'CONTENT PILLAR MAPPING'!D659&lt;&gt;""),
CONCATENATE(
"Sebagai seorang top konten kreator dengan niche utama '", 'CONTENT PILLAR MAPPING'!C642, "', spesifik kategori '", 'CONTENT PILLAR MAPPING'!E642, "', dan super spesifik '", 'CONTENT PILLAR MAPPING'!F642, "', yang dikenal sebagai '", 'CONTENT PILLAR MAPPING'!C645, "'.", CHAR(10),
"Saya memiliki Tone of Voice: '", 'CONTENT PILLAR MAPPING'!C650, "', Brand Archetype: '", 'CONTENT PILLAR MAPPING'!D650, "', dan Deskripsi Gaya Komunikasi: '", 'CONTENT PILLAR MAPPING'!E650, "'.", CHAR(10),
"Target audiens saya adalah: '", 'CONTENT PILLAR MAPPING'!D658, "', dengan segmentasi audiens: '", 'CONTENT PILLAR MAPPING'!D659, "'.", CHAR(10), CHAR(10),
"Mohon buatkan script konten yang **sangat powerful, menarik, inovatif, dan siap pakai** dengan judul ide '", B739, "'.", CHAR(10),
"Konten ini memiliki pilar '", C739, "', nilai tambah utama '", F739, "', dan akan menggunakan storytelling framework '", G739, "'.", CHAR(10),
"Gambaran singkat ide kontennya adalah: '", J739, "'.", CHAR(10),
"Konten ini akan diunggah di platform '", E739, "' dengan format '", D739,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MAPPING'!C645, "'.** Sesuaikan dengan gaya komunikasi saya, dengan fokus pada nilai tambah '", F739,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MAPPING'!D658, ", khusus ", 'CONTENT PILLAR MAPPING'!D659, ") dan membantu mereka menyelesaikan masalah atau mencapai tujuan mereka.", CHAR(10),
"✔ Membantuku membangun personal branding yang kuat dan sustainable, sesuai dengan Positioning saya sebagai '", 'CONTENT PILLAR MAPPING'!C645, "' dan Brand Archetype '", 'CONTENT PILLAR MAPPING'!D650, "'.", CHAR(10),
"✔ Kemas dalam bentuk tabel agar rapi, mudah di baca dan dipahami, dengan kolom 'Judul Konten', 'Pilar', 'Format', 'Draft Script', 'CTA', 'Saran Visual', dan 'Full Caption'. (Kosongkan kolom Link Prompt jika ada)."
),
"")</f>
        <v/>
      </c>
      <c r="L739" s="91" t="n"/>
      <c r="M739" s="91" t="n"/>
      <c r="N739" s="102" t="n"/>
      <c r="O739" s="102" t="n"/>
      <c r="P739" s="102" t="n"/>
      <c r="Q739" s="102" t="n"/>
      <c r="R739" s="102" t="n"/>
      <c r="S739" s="102" t="n"/>
      <c r="T739" s="102" t="n"/>
      <c r="U739" s="102" t="n"/>
      <c r="V739" s="102" t="n"/>
      <c r="W739" s="102" t="n"/>
      <c r="X739" s="102" t="n"/>
      <c r="Y739" s="102" t="n"/>
      <c r="Z739" s="102" t="n"/>
      <c r="AA739" s="102" t="n"/>
      <c r="AB739" s="102" t="n"/>
      <c r="AC739" s="102" t="n"/>
      <c r="AD739" s="102" t="n"/>
    </row>
    <row r="740" ht="15.75" customHeight="1" s="205">
      <c r="A740" s="102" t="n"/>
      <c r="B740" s="147" t="n"/>
      <c r="C740" s="144" t="n"/>
      <c r="D740" s="144" t="n"/>
      <c r="E740" s="144" t="n"/>
      <c r="F740" s="144" t="n"/>
      <c r="G740" s="144" t="n"/>
      <c r="H740" s="141">
        <f>IF(K740&lt;&gt;"", HYPERLINK("https://chatgpt.com/?prompt=" &amp; SUBSTITUTE(SUBSTITUTE(K740, " ", "+"), "&amp;", "dan") &amp; "&amp;force-refresh=true&amp;timestamp=" &amp; TEXT(NOW(), "yyyymmddhhmmss"), "👉 Klik untuk Generate Script! 🔥"), "")</f>
        <v/>
      </c>
      <c r="I740" s="144" t="n"/>
      <c r="J740" s="148" t="n"/>
      <c r="K740" s="140">
        <f>IF(AND(B740&lt;&gt;"", C740&lt;&gt;"", D740&lt;&gt;"", E740&lt;&gt;"", F740&lt;&gt;"", G740&lt;&gt;"", J740&lt;&gt;"", 'CONTENT PILLAR MAPPING'!C642&lt;&gt;"", 'CONTENT PILLAR MAPPING'!E642&lt;&gt;"", 'CONTENT PILLAR MAPPING'!F642&lt;&gt;"", 'CONTENT PILLAR MAPPING'!C645&lt;&gt;"", 'CONTENT PILLAR MAPPING'!C650&lt;&gt;"", 'CONTENT PILLAR MAPPING'!D650&lt;&gt;"", 'CONTENT PILLAR MAPPING'!E650&lt;&gt;"", 'CONTENT PILLAR MAPPING'!D658&lt;&gt;"", 'CONTENT PILLAR MAPPING'!D659&lt;&gt;""),
CONCATENATE(
"Sebagai seorang top konten kreator dengan niche utama '", 'CONTENT PILLAR MAPPING'!C642, "', spesifik kategori '", 'CONTENT PILLAR MAPPING'!E642, "', dan super spesifik '", 'CONTENT PILLAR MAPPING'!F642, "', yang dikenal sebagai '", 'CONTENT PILLAR MAPPING'!C645, "'.", CHAR(10),
"Saya memiliki Tone of Voice: '", 'CONTENT PILLAR MAPPING'!C650, "', Brand Archetype: '", 'CONTENT PILLAR MAPPING'!D650, "', dan Deskripsi Gaya Komunikasi: '", 'CONTENT PILLAR MAPPING'!E650, "'.", CHAR(10),
"Target audiens saya adalah: '", 'CONTENT PILLAR MAPPING'!D658, "', dengan segmentasi audiens: '", 'CONTENT PILLAR MAPPING'!D659, "'.", CHAR(10), CHAR(10),
"Mohon buatkan script konten yang **sangat powerful, menarik, inovatif, dan siap pakai** dengan judul ide '", B740, "'.", CHAR(10),
"Konten ini memiliki pilar '", C740, "', nilai tambah utama '", F740, "', dan akan menggunakan storytelling framework '", G740, "'.", CHAR(10),
"Gambaran singkat ide kontennya adalah: '", J740, "'.", CHAR(10),
"Konten ini akan diunggah di platform '", E740, "' dengan format '", D740,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MAPPING'!C645, "'.** Sesuaikan dengan gaya komunikasi saya, dengan fokus pada nilai tambah '", F740,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MAPPING'!D658, ", khusus ", 'CONTENT PILLAR MAPPING'!D659, ") dan membantu mereka menyelesaikan masalah atau mencapai tujuan mereka.", CHAR(10),
"✔ Membantuku membangun personal branding yang kuat dan sustainable, sesuai dengan Positioning saya sebagai '", 'CONTENT PILLAR MAPPING'!C645, "' dan Brand Archetype '", 'CONTENT PILLAR MAPPING'!D650, "'.", CHAR(10),
"✔ Kemas dalam bentuk tabel agar rapi, mudah di baca dan dipahami, dengan kolom 'Judul Konten', 'Pilar', 'Format', 'Draft Script', 'CTA', 'Saran Visual', dan 'Full Caption'. (Kosongkan kolom Link Prompt jika ada)."
),
"")</f>
        <v/>
      </c>
      <c r="L740" s="199" t="n"/>
      <c r="M740" s="199" t="n"/>
      <c r="N740" s="102" t="n"/>
      <c r="O740" s="102" t="n"/>
      <c r="P740" s="102" t="n"/>
      <c r="Q740" s="102" t="n"/>
      <c r="R740" s="102" t="n"/>
      <c r="S740" s="102" t="n"/>
      <c r="T740" s="102" t="n"/>
      <c r="U740" s="102" t="n"/>
      <c r="V740" s="102" t="n"/>
      <c r="W740" s="102" t="n"/>
      <c r="X740" s="102" t="n"/>
      <c r="Y740" s="102" t="n"/>
      <c r="Z740" s="102" t="n"/>
      <c r="AA740" s="102" t="n"/>
      <c r="AB740" s="102" t="n"/>
      <c r="AC740" s="102" t="n"/>
      <c r="AD740" s="102" t="n"/>
    </row>
    <row r="741" ht="15.75" customHeight="1" s="205">
      <c r="A741" s="102" t="n"/>
      <c r="B741" s="142" t="n"/>
      <c r="C741" s="143" t="n"/>
      <c r="D741" s="143" t="n"/>
      <c r="E741" s="143" t="n"/>
      <c r="F741" s="143" t="n"/>
      <c r="G741" s="144" t="n"/>
      <c r="H741" s="145">
        <f>IF(K741&lt;&gt;"", HYPERLINK("https://chatgpt.com/?prompt=" &amp; SUBSTITUTE(SUBSTITUTE(K741, " ", "+"), "&amp;", "dan") &amp; "&amp;force-refresh=true&amp;timestamp=" &amp; TEXT(NOW(), "yyyymmddhhmmss"), "👉 Klik untuk Generate Script! 🔥"), "")</f>
        <v/>
      </c>
      <c r="I741" s="143" t="n"/>
      <c r="J741" s="146" t="n"/>
      <c r="K741" s="130">
        <f>IF(AND(B741&lt;&gt;"", C741&lt;&gt;"", D741&lt;&gt;"", E741&lt;&gt;"", F741&lt;&gt;"", G741&lt;&gt;"", J741&lt;&gt;"", 'CONTENT PILLAR MAPPING'!C644&lt;&gt;"", 'CONTENT PILLAR MAPPING'!E644&lt;&gt;"", 'CONTENT PILLAR MAPPING'!F644&lt;&gt;"", 'CONTENT PILLAR MAPPING'!C647&lt;&gt;"", 'CONTENT PILLAR MAPPING'!C652&lt;&gt;"", 'CONTENT PILLAR MAPPING'!D652&lt;&gt;"", 'CONTENT PILLAR MAPPING'!E652&lt;&gt;"", 'CONTENT PILLAR MAPPING'!D660&lt;&gt;"", 'CONTENT PILLAR MAPPING'!D661&lt;&gt;""),
CONCATENATE(
"Sebagai seorang top konten kreator dengan niche utama '", 'CONTENT PILLAR MAPPING'!C644, "', spesifik kategori '", 'CONTENT PILLAR MAPPING'!E644, "', dan super spesifik '", 'CONTENT PILLAR MAPPING'!F644, "', yang dikenal sebagai '", 'CONTENT PILLAR MAPPING'!C647, "'.", CHAR(10),
"Saya memiliki Tone of Voice: '", 'CONTENT PILLAR MAPPING'!C652, "', Brand Archetype: '", 'CONTENT PILLAR MAPPING'!D652, "', dan Deskripsi Gaya Komunikasi: '", 'CONTENT PILLAR MAPPING'!E652, "'.", CHAR(10),
"Target audiens saya adalah: '", 'CONTENT PILLAR MAPPING'!D660, "', dengan segmentasi audiens: '", 'CONTENT PILLAR MAPPING'!D661, "'.", CHAR(10), CHAR(10),
"Mohon buatkan script konten yang **sangat powerful, menarik, inovatif, dan siap pakai** dengan judul ide '", B741, "'.", CHAR(10),
"Konten ini memiliki pilar '", C741, "', nilai tambah utama '", F741, "', dan akan menggunakan storytelling framework '", G741, "'.", CHAR(10),
"Gambaran singkat ide kontennya adalah: '", J741, "'.", CHAR(10),
"Konten ini akan diunggah di platform '", E741, "' dengan format '", D741,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MAPPING'!C647, "'.** Sesuaikan dengan gaya komunikasi saya, dengan fokus pada nilai tambah '", F741,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MAPPING'!D660, ", khusus ", 'CONTENT PILLAR MAPPING'!D661, ") dan membantu mereka menyelesaikan masalah atau mencapai tujuan mereka.", CHAR(10),
"✔ Membantuku membangun personal branding yang kuat dan sustainable, sesuai dengan Positioning saya sebagai '", 'CONTENT PILLAR MAPPING'!C647, "' dan Brand Archetype '", 'CONTENT PILLAR MAPPING'!D652, "'.", CHAR(10),
"✔ Kemas dalam bentuk tabel agar rapi, mudah di baca dan dipahami, dengan kolom 'Judul Konten', 'Pilar', 'Format', 'Draft Script', 'CTA', 'Saran Visual', dan 'Full Caption'. (Kosongkan kolom Link Prompt jika ada)."
),
"")</f>
        <v/>
      </c>
      <c r="L741" s="91" t="n"/>
      <c r="M741" s="91" t="n"/>
      <c r="N741" s="102" t="n"/>
      <c r="O741" s="102" t="n"/>
      <c r="P741" s="102" t="n"/>
      <c r="Q741" s="102" t="n"/>
      <c r="R741" s="102" t="n"/>
      <c r="S741" s="102" t="n"/>
      <c r="T741" s="102" t="n"/>
      <c r="U741" s="102" t="n"/>
      <c r="V741" s="102" t="n"/>
      <c r="W741" s="102" t="n"/>
      <c r="X741" s="102" t="n"/>
      <c r="Y741" s="102" t="n"/>
      <c r="Z741" s="102" t="n"/>
      <c r="AA741" s="102" t="n"/>
      <c r="AB741" s="102" t="n"/>
      <c r="AC741" s="102" t="n"/>
      <c r="AD741" s="102" t="n"/>
    </row>
    <row r="742" ht="15.75" customHeight="1" s="205">
      <c r="A742" s="102" t="n"/>
      <c r="B742" s="147" t="n"/>
      <c r="C742" s="144" t="n"/>
      <c r="D742" s="144" t="n"/>
      <c r="E742" s="144" t="n"/>
      <c r="F742" s="144" t="n"/>
      <c r="G742" s="144" t="n"/>
      <c r="H742" s="141">
        <f>IF(K742&lt;&gt;"", HYPERLINK("https://chatgpt.com/?prompt=" &amp; SUBSTITUTE(SUBSTITUTE(K742, " ", "+"), "&amp;", "dan") &amp; "&amp;force-refresh=true&amp;timestamp=" &amp; TEXT(NOW(), "yyyymmddhhmmss"), "👉 Klik untuk Generate Script! 🔥"), "")</f>
        <v/>
      </c>
      <c r="I742" s="144" t="n"/>
      <c r="J742" s="148" t="n"/>
      <c r="K742" s="140">
        <f>IF(AND(B742&lt;&gt;"", C742&lt;&gt;"", D742&lt;&gt;"", E742&lt;&gt;"", F742&lt;&gt;"", G742&lt;&gt;"", J742&lt;&gt;"", 'CONTENT PILLAR MAPPING'!C644&lt;&gt;"", 'CONTENT PILLAR MAPPING'!E644&lt;&gt;"", 'CONTENT PILLAR MAPPING'!F644&lt;&gt;"", 'CONTENT PILLAR MAPPING'!C647&lt;&gt;"", 'CONTENT PILLAR MAPPING'!C652&lt;&gt;"", 'CONTENT PILLAR MAPPING'!D652&lt;&gt;"", 'CONTENT PILLAR MAPPING'!E652&lt;&gt;"", 'CONTENT PILLAR MAPPING'!D660&lt;&gt;"", 'CONTENT PILLAR MAPPING'!D661&lt;&gt;""),
CONCATENATE(
"Sebagai seorang top konten kreator dengan niche utama '", 'CONTENT PILLAR MAPPING'!C644, "', spesifik kategori '", 'CONTENT PILLAR MAPPING'!E644, "', dan super spesifik '", 'CONTENT PILLAR MAPPING'!F644, "', yang dikenal sebagai '", 'CONTENT PILLAR MAPPING'!C647, "'.", CHAR(10),
"Saya memiliki Tone of Voice: '", 'CONTENT PILLAR MAPPING'!C652, "', Brand Archetype: '", 'CONTENT PILLAR MAPPING'!D652, "', dan Deskripsi Gaya Komunikasi: '", 'CONTENT PILLAR MAPPING'!E652, "'.", CHAR(10),
"Target audiens saya adalah: '", 'CONTENT PILLAR MAPPING'!D660, "', dengan segmentasi audiens: '", 'CONTENT PILLAR MAPPING'!D661, "'.", CHAR(10), CHAR(10),
"Mohon buatkan script konten yang **sangat powerful, menarik, inovatif, dan siap pakai** dengan judul ide '", B742, "'.", CHAR(10),
"Konten ini memiliki pilar '", C742, "', nilai tambah utama '", F742, "', dan akan menggunakan storytelling framework '", G742, "'.", CHAR(10),
"Gambaran singkat ide kontennya adalah: '", J742, "'.", CHAR(10),
"Konten ini akan diunggah di platform '", E742, "' dengan format '", D742,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MAPPING'!C647, "'.** Sesuaikan dengan gaya komunikasi saya, dengan fokus pada nilai tambah '", F742,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MAPPING'!D660, ", khusus ", 'CONTENT PILLAR MAPPING'!D661, ") dan membantu mereka menyelesaikan masalah atau mencapai tujuan mereka.", CHAR(10),
"✔ Membantuku membangun personal branding yang kuat dan sustainable, sesuai dengan Positioning saya sebagai '", 'CONTENT PILLAR MAPPING'!C647, "' dan Brand Archetype '", 'CONTENT PILLAR MAPPING'!D652, "'.", CHAR(10),
"✔ Kemas dalam bentuk tabel agar rapi, mudah di baca dan dipahami, dengan kolom 'Judul Konten', 'Pilar', 'Format', 'Draft Script', 'CTA', 'Saran Visual', dan 'Full Caption'. (Kosongkan kolom Link Prompt jika ada)."
),
"")</f>
        <v/>
      </c>
      <c r="L742" s="199" t="n"/>
      <c r="M742" s="199" t="n"/>
      <c r="N742" s="102" t="n"/>
      <c r="O742" s="102" t="n"/>
      <c r="P742" s="102" t="n"/>
      <c r="Q742" s="102" t="n"/>
      <c r="R742" s="102" t="n"/>
      <c r="S742" s="102" t="n"/>
      <c r="T742" s="102" t="n"/>
      <c r="U742" s="102" t="n"/>
      <c r="V742" s="102" t="n"/>
      <c r="W742" s="102" t="n"/>
      <c r="X742" s="102" t="n"/>
      <c r="Y742" s="102" t="n"/>
      <c r="Z742" s="102" t="n"/>
      <c r="AA742" s="102" t="n"/>
      <c r="AB742" s="102" t="n"/>
      <c r="AC742" s="102" t="n"/>
      <c r="AD742" s="102" t="n"/>
    </row>
    <row r="743" ht="15.75" customHeight="1" s="205">
      <c r="A743" s="102" t="n"/>
      <c r="B743" s="142" t="n"/>
      <c r="C743" s="143" t="n"/>
      <c r="D743" s="143" t="n"/>
      <c r="E743" s="143" t="n"/>
      <c r="F743" s="143" t="n"/>
      <c r="G743" s="144" t="n"/>
      <c r="H743" s="145">
        <f>IF(K743&lt;&gt;"", HYPERLINK("https://chatgpt.com/?prompt=" &amp; SUBSTITUTE(SUBSTITUTE(K743, " ", "+"), "&amp;", "dan") &amp; "&amp;force-refresh=true&amp;timestamp=" &amp; TEXT(NOW(), "yyyymmddhhmmss"), "👉 Klik untuk Generate Script! 🔥"), "")</f>
        <v/>
      </c>
      <c r="I743" s="143" t="n"/>
      <c r="J743" s="146" t="n"/>
      <c r="K743" s="130">
        <f>IF(AND(B743&lt;&gt;"", C743&lt;&gt;"", D743&lt;&gt;"", E743&lt;&gt;"", F743&lt;&gt;"", G743&lt;&gt;"", J743&lt;&gt;"", 'CONTENT PILLAR MAPPING'!C646&lt;&gt;"", 'CONTENT PILLAR MAPPING'!E646&lt;&gt;"", 'CONTENT PILLAR MAPPING'!F646&lt;&gt;"", 'CONTENT PILLAR MAPPING'!C649&lt;&gt;"", 'CONTENT PILLAR MAPPING'!C654&lt;&gt;"", 'CONTENT PILLAR MAPPING'!D654&lt;&gt;"", 'CONTENT PILLAR MAPPING'!E654&lt;&gt;"", 'CONTENT PILLAR MAPPING'!D662&lt;&gt;"", 'CONTENT PILLAR MAPPING'!D663&lt;&gt;""),
CONCATENATE(
"Sebagai seorang top konten kreator dengan niche utama '", 'CONTENT PILLAR MAPPING'!C646, "', spesifik kategori '", 'CONTENT PILLAR MAPPING'!E646, "', dan super spesifik '", 'CONTENT PILLAR MAPPING'!F646, "', yang dikenal sebagai '", 'CONTENT PILLAR MAPPING'!C649, "'.", CHAR(10),
"Saya memiliki Tone of Voice: '", 'CONTENT PILLAR MAPPING'!C654, "', Brand Archetype: '", 'CONTENT PILLAR MAPPING'!D654, "', dan Deskripsi Gaya Komunikasi: '", 'CONTENT PILLAR MAPPING'!E654, "'.", CHAR(10),
"Target audiens saya adalah: '", 'CONTENT PILLAR MAPPING'!D662, "', dengan segmentasi audiens: '", 'CONTENT PILLAR MAPPING'!D663, "'.", CHAR(10), CHAR(10),
"Mohon buatkan script konten yang **sangat powerful, menarik, inovatif, dan siap pakai** dengan judul ide '", B743, "'.", CHAR(10),
"Konten ini memiliki pilar '", C743, "', nilai tambah utama '", F743, "', dan akan menggunakan storytelling framework '", G743, "'.", CHAR(10),
"Gambaran singkat ide kontennya adalah: '", J743, "'.", CHAR(10),
"Konten ini akan diunggah di platform '", E743, "' dengan format '", D743,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MAPPING'!C649, "'.** Sesuaikan dengan gaya komunikasi saya, dengan fokus pada nilai tambah '", F743,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MAPPING'!D662, ", khusus ", 'CONTENT PILLAR MAPPING'!D663, ") dan membantu mereka menyelesaikan masalah atau mencapai tujuan mereka.", CHAR(10),
"✔ Membantuku membangun personal branding yang kuat dan sustainable, sesuai dengan Positioning saya sebagai '", 'CONTENT PILLAR MAPPING'!C649, "' dan Brand Archetype '", 'CONTENT PILLAR MAPPING'!D654, "'.", CHAR(10),
"✔ Kemas dalam bentuk tabel agar rapi, mudah di baca dan dipahami, dengan kolom 'Judul Konten', 'Pilar', 'Format', 'Draft Script', 'CTA', 'Saran Visual', dan 'Full Caption'. (Kosongkan kolom Link Prompt jika ada)."
),
"")</f>
        <v/>
      </c>
      <c r="L743" s="91" t="n"/>
      <c r="M743" s="91" t="n"/>
      <c r="N743" s="102" t="n"/>
      <c r="O743" s="102" t="n"/>
      <c r="P743" s="102" t="n"/>
      <c r="Q743" s="102" t="n"/>
      <c r="R743" s="102" t="n"/>
      <c r="S743" s="102" t="n"/>
      <c r="T743" s="102" t="n"/>
      <c r="U743" s="102" t="n"/>
      <c r="V743" s="102" t="n"/>
      <c r="W743" s="102" t="n"/>
      <c r="X743" s="102" t="n"/>
      <c r="Y743" s="102" t="n"/>
      <c r="Z743" s="102" t="n"/>
      <c r="AA743" s="102" t="n"/>
      <c r="AB743" s="102" t="n"/>
      <c r="AC743" s="102" t="n"/>
      <c r="AD743" s="102" t="n"/>
    </row>
    <row r="744" ht="15.75" customHeight="1" s="205">
      <c r="A744" s="102" t="n"/>
      <c r="B744" s="147" t="n"/>
      <c r="C744" s="144" t="n"/>
      <c r="D744" s="144" t="n"/>
      <c r="E744" s="144" t="n"/>
      <c r="F744" s="144" t="n"/>
      <c r="G744" s="144" t="n"/>
      <c r="H744" s="141">
        <f>IF(K744&lt;&gt;"", HYPERLINK("https://chatgpt.com/?prompt=" &amp; SUBSTITUTE(SUBSTITUTE(K744, " ", "+"), "&amp;", "dan") &amp; "&amp;force-refresh=true&amp;timestamp=" &amp; TEXT(NOW(), "yyyymmddhhmmss"), "👉 Klik untuk Generate Script! 🔥"), "")</f>
        <v/>
      </c>
      <c r="I744" s="144" t="n"/>
      <c r="J744" s="148" t="n"/>
      <c r="K744" s="140">
        <f>IF(AND(B744&lt;&gt;"", C744&lt;&gt;"", D744&lt;&gt;"", E744&lt;&gt;"", F744&lt;&gt;"", G744&lt;&gt;"", J744&lt;&gt;"", 'CONTENT PILLAR MAPPING'!C646&lt;&gt;"", 'CONTENT PILLAR MAPPING'!E646&lt;&gt;"", 'CONTENT PILLAR MAPPING'!F646&lt;&gt;"", 'CONTENT PILLAR MAPPING'!C649&lt;&gt;"", 'CONTENT PILLAR MAPPING'!C654&lt;&gt;"", 'CONTENT PILLAR MAPPING'!D654&lt;&gt;"", 'CONTENT PILLAR MAPPING'!E654&lt;&gt;"", 'CONTENT PILLAR MAPPING'!D662&lt;&gt;"", 'CONTENT PILLAR MAPPING'!D663&lt;&gt;""),
CONCATENATE(
"Sebagai seorang top konten kreator dengan niche utama '", 'CONTENT PILLAR MAPPING'!C646, "', spesifik kategori '", 'CONTENT PILLAR MAPPING'!E646, "', dan super spesifik '", 'CONTENT PILLAR MAPPING'!F646, "', yang dikenal sebagai '", 'CONTENT PILLAR MAPPING'!C649, "'.", CHAR(10),
"Saya memiliki Tone of Voice: '", 'CONTENT PILLAR MAPPING'!C654, "', Brand Archetype: '", 'CONTENT PILLAR MAPPING'!D654, "', dan Deskripsi Gaya Komunikasi: '", 'CONTENT PILLAR MAPPING'!E654, "'.", CHAR(10),
"Target audiens saya adalah: '", 'CONTENT PILLAR MAPPING'!D662, "', dengan segmentasi audiens: '", 'CONTENT PILLAR MAPPING'!D663, "'.", CHAR(10), CHAR(10),
"Mohon buatkan script konten yang **sangat powerful, menarik, inovatif, dan siap pakai** dengan judul ide '", B744, "'.", CHAR(10),
"Konten ini memiliki pilar '", C744, "', nilai tambah utama '", F744, "', dan akan menggunakan storytelling framework '", G744, "'.", CHAR(10),
"Gambaran singkat ide kontennya adalah: '", J744, "'.", CHAR(10),
"Konten ini akan diunggah di platform '", E744, "' dengan format '", D744,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MAPPING'!C649, "'.** Sesuaikan dengan gaya komunikasi saya, dengan fokus pada nilai tambah '", F744,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MAPPING'!D662, ", khusus ", 'CONTENT PILLAR MAPPING'!D663, ") dan membantu mereka menyelesaikan masalah atau mencapai tujuan mereka.", CHAR(10),
"✔ Membantuku membangun personal branding yang kuat dan sustainable, sesuai dengan Positioning saya sebagai '", 'CONTENT PILLAR MAPPING'!C649, "' dan Brand Archetype '", 'CONTENT PILLAR MAPPING'!D654, "'.", CHAR(10),
"✔ Kemas dalam bentuk tabel agar rapi, mudah di baca dan dipahami, dengan kolom 'Judul Konten', 'Pilar', 'Format', 'Draft Script', 'CTA', 'Saran Visual', dan 'Full Caption'. (Kosongkan kolom Link Prompt jika ada)."
),
"")</f>
        <v/>
      </c>
      <c r="L744" s="199" t="n"/>
      <c r="M744" s="199" t="n"/>
      <c r="N744" s="102" t="n"/>
      <c r="O744" s="102" t="n"/>
      <c r="P744" s="102" t="n"/>
      <c r="Q744" s="102" t="n"/>
      <c r="R744" s="102" t="n"/>
      <c r="S744" s="102" t="n"/>
      <c r="T744" s="102" t="n"/>
      <c r="U744" s="102" t="n"/>
      <c r="V744" s="102" t="n"/>
      <c r="W744" s="102" t="n"/>
      <c r="X744" s="102" t="n"/>
      <c r="Y744" s="102" t="n"/>
      <c r="Z744" s="102" t="n"/>
      <c r="AA744" s="102" t="n"/>
      <c r="AB744" s="102" t="n"/>
      <c r="AC744" s="102" t="n"/>
      <c r="AD744" s="102" t="n"/>
    </row>
    <row r="745" ht="15.75" customHeight="1" s="205">
      <c r="A745" s="102" t="n"/>
      <c r="B745" s="142" t="n"/>
      <c r="C745" s="143" t="n"/>
      <c r="D745" s="143" t="n"/>
      <c r="E745" s="143" t="n"/>
      <c r="F745" s="143" t="n"/>
      <c r="G745" s="144" t="n"/>
      <c r="H745" s="145">
        <f>IF(K745&lt;&gt;"", HYPERLINK("https://chatgpt.com/?prompt=" &amp; SUBSTITUTE(SUBSTITUTE(K745, " ", "+"), "&amp;", "dan") &amp; "&amp;force-refresh=true&amp;timestamp=" &amp; TEXT(NOW(), "yyyymmddhhmmss"), "👉 Klik untuk Generate Script! 🔥"), "")</f>
        <v/>
      </c>
      <c r="I745" s="143" t="n"/>
      <c r="J745" s="146" t="n"/>
      <c r="K745" s="130">
        <f>IF(AND(B745&lt;&gt;"", C745&lt;&gt;"", D745&lt;&gt;"", E745&lt;&gt;"", F745&lt;&gt;"", G745&lt;&gt;"", J745&lt;&gt;"", 'CONTENT PILLAR MAPPING'!C648&lt;&gt;"", 'CONTENT PILLAR MAPPING'!E648&lt;&gt;"", 'CONTENT PILLAR MAPPING'!F648&lt;&gt;"", 'CONTENT PILLAR MAPPING'!C651&lt;&gt;"", 'CONTENT PILLAR MAPPING'!C656&lt;&gt;"", 'CONTENT PILLAR MAPPING'!D656&lt;&gt;"", 'CONTENT PILLAR MAPPING'!E656&lt;&gt;"", 'CONTENT PILLAR MAPPING'!D664&lt;&gt;"", 'CONTENT PILLAR MAPPING'!D665&lt;&gt;""),
CONCATENATE(
"Sebagai seorang top konten kreator dengan niche utama '", 'CONTENT PILLAR MAPPING'!C648, "', spesifik kategori '", 'CONTENT PILLAR MAPPING'!E648, "', dan super spesifik '", 'CONTENT PILLAR MAPPING'!F648, "', yang dikenal sebagai '", 'CONTENT PILLAR MAPPING'!C651, "'.", CHAR(10),
"Saya memiliki Tone of Voice: '", 'CONTENT PILLAR MAPPING'!C656, "', Brand Archetype: '", 'CONTENT PILLAR MAPPING'!D656, "', dan Deskripsi Gaya Komunikasi: '", 'CONTENT PILLAR MAPPING'!E656, "'.", CHAR(10),
"Target audiens saya adalah: '", 'CONTENT PILLAR MAPPING'!D664, "', dengan segmentasi audiens: '", 'CONTENT PILLAR MAPPING'!D665, "'.", CHAR(10), CHAR(10),
"Mohon buatkan script konten yang **sangat powerful, menarik, inovatif, dan siap pakai** dengan judul ide '", B745, "'.", CHAR(10),
"Konten ini memiliki pilar '", C745, "', nilai tambah utama '", F745, "', dan akan menggunakan storytelling framework '", G745, "'.", CHAR(10),
"Gambaran singkat ide kontennya adalah: '", J745, "'.", CHAR(10),
"Konten ini akan diunggah di platform '", E745, "' dengan format '", D745,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MAPPING'!C651, "'.** Sesuaikan dengan gaya komunikasi saya, dengan fokus pada nilai tambah '", F745,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MAPPING'!D664, ", khusus ", 'CONTENT PILLAR MAPPING'!D665, ") dan membantu mereka menyelesaikan masalah atau mencapai tujuan mereka.", CHAR(10),
"✔ Membantuku membangun personal branding yang kuat dan sustainable, sesuai dengan Positioning saya sebagai '", 'CONTENT PILLAR MAPPING'!C651, "' dan Brand Archetype '", 'CONTENT PILLAR MAPPING'!D656, "'.", CHAR(10),
"✔ Kemas dalam bentuk tabel agar rapi, mudah di baca dan dipahami, dengan kolom 'Judul Konten', 'Pilar', 'Format', 'Draft Script', 'CTA', 'Saran Visual', dan 'Full Caption'. (Kosongkan kolom Link Prompt jika ada)."
),
"")</f>
        <v/>
      </c>
      <c r="L745" s="91" t="n"/>
      <c r="M745" s="91" t="n"/>
      <c r="N745" s="102" t="n"/>
      <c r="O745" s="102" t="n"/>
      <c r="P745" s="102" t="n"/>
      <c r="Q745" s="102" t="n"/>
      <c r="R745" s="102" t="n"/>
      <c r="S745" s="102" t="n"/>
      <c r="T745" s="102" t="n"/>
      <c r="U745" s="102" t="n"/>
      <c r="V745" s="102" t="n"/>
      <c r="W745" s="102" t="n"/>
      <c r="X745" s="102" t="n"/>
      <c r="Y745" s="102" t="n"/>
      <c r="Z745" s="102" t="n"/>
      <c r="AA745" s="102" t="n"/>
      <c r="AB745" s="102" t="n"/>
      <c r="AC745" s="102" t="n"/>
      <c r="AD745" s="102" t="n"/>
    </row>
    <row r="746" ht="15.75" customHeight="1" s="205">
      <c r="A746" s="102" t="n"/>
      <c r="B746" s="147" t="n"/>
      <c r="C746" s="144" t="n"/>
      <c r="D746" s="144" t="n"/>
      <c r="E746" s="144" t="n"/>
      <c r="F746" s="144" t="n"/>
      <c r="G746" s="144" t="n"/>
      <c r="H746" s="141">
        <f>IF(K746&lt;&gt;"", HYPERLINK("https://chatgpt.com/?prompt=" &amp; SUBSTITUTE(SUBSTITUTE(K746, " ", "+"), "&amp;", "dan") &amp; "&amp;force-refresh=true&amp;timestamp=" &amp; TEXT(NOW(), "yyyymmddhhmmss"), "👉 Klik untuk Generate Script! 🔥"), "")</f>
        <v/>
      </c>
      <c r="I746" s="144" t="n"/>
      <c r="J746" s="148" t="n"/>
      <c r="K746" s="140">
        <f>IF(AND(B746&lt;&gt;"", C746&lt;&gt;"", D746&lt;&gt;"", E746&lt;&gt;"", F746&lt;&gt;"", G746&lt;&gt;"", J746&lt;&gt;"", 'CONTENT PILLAR MAPPING'!C648&lt;&gt;"", 'CONTENT PILLAR MAPPING'!E648&lt;&gt;"", 'CONTENT PILLAR MAPPING'!F648&lt;&gt;"", 'CONTENT PILLAR MAPPING'!C651&lt;&gt;"", 'CONTENT PILLAR MAPPING'!C656&lt;&gt;"", 'CONTENT PILLAR MAPPING'!D656&lt;&gt;"", 'CONTENT PILLAR MAPPING'!E656&lt;&gt;"", 'CONTENT PILLAR MAPPING'!D664&lt;&gt;"", 'CONTENT PILLAR MAPPING'!D665&lt;&gt;""),
CONCATENATE(
"Sebagai seorang top konten kreator dengan niche utama '", 'CONTENT PILLAR MAPPING'!C648, "', spesifik kategori '", 'CONTENT PILLAR MAPPING'!E648, "', dan super spesifik '", 'CONTENT PILLAR MAPPING'!F648, "', yang dikenal sebagai '", 'CONTENT PILLAR MAPPING'!C651, "'.", CHAR(10),
"Saya memiliki Tone of Voice: '", 'CONTENT PILLAR MAPPING'!C656, "', Brand Archetype: '", 'CONTENT PILLAR MAPPING'!D656, "', dan Deskripsi Gaya Komunikasi: '", 'CONTENT PILLAR MAPPING'!E656, "'.", CHAR(10),
"Target audiens saya adalah: '", 'CONTENT PILLAR MAPPING'!D664, "', dengan segmentasi audiens: '", 'CONTENT PILLAR MAPPING'!D665, "'.", CHAR(10), CHAR(10),
"Mohon buatkan script konten yang **sangat powerful, menarik, inovatif, dan siap pakai** dengan judul ide '", B746, "'.", CHAR(10),
"Konten ini memiliki pilar '", C746, "', nilai tambah utama '", F746, "', dan akan menggunakan storytelling framework '", G746, "'.", CHAR(10),
"Gambaran singkat ide kontennya adalah: '", J746, "'.", CHAR(10),
"Konten ini akan diunggah di platform '", E746, "' dengan format '", D746,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MAPPING'!C651, "'.** Sesuaikan dengan gaya komunikasi saya, dengan fokus pada nilai tambah '", F746,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MAPPING'!D664, ", khusus ", 'CONTENT PILLAR MAPPING'!D665, ") dan membantu mereka menyelesaikan masalah atau mencapai tujuan mereka.", CHAR(10),
"✔ Membantuku membangun personal branding yang kuat dan sustainable, sesuai dengan Positioning saya sebagai '", 'CONTENT PILLAR MAPPING'!C651, "' dan Brand Archetype '", 'CONTENT PILLAR MAPPING'!D656, "'.", CHAR(10),
"✔ Kemas dalam bentuk tabel agar rapi, mudah di baca dan dipahami, dengan kolom 'Judul Konten', 'Pilar', 'Format', 'Draft Script', 'CTA', 'Saran Visual', dan 'Full Caption'. (Kosongkan kolom Link Prompt jika ada)."
),
"")</f>
        <v/>
      </c>
      <c r="L746" s="199" t="n"/>
      <c r="M746" s="199" t="n"/>
      <c r="N746" s="102" t="n"/>
      <c r="O746" s="102" t="n"/>
      <c r="P746" s="102" t="n"/>
      <c r="Q746" s="102" t="n"/>
      <c r="R746" s="102" t="n"/>
      <c r="S746" s="102" t="n"/>
      <c r="T746" s="102" t="n"/>
      <c r="U746" s="102" t="n"/>
      <c r="V746" s="102" t="n"/>
      <c r="W746" s="102" t="n"/>
      <c r="X746" s="102" t="n"/>
      <c r="Y746" s="102" t="n"/>
      <c r="Z746" s="102" t="n"/>
      <c r="AA746" s="102" t="n"/>
      <c r="AB746" s="102" t="n"/>
      <c r="AC746" s="102" t="n"/>
      <c r="AD746" s="102" t="n"/>
    </row>
    <row r="747" ht="15.75" customHeight="1" s="205">
      <c r="A747" s="102" t="n"/>
      <c r="B747" s="142" t="n"/>
      <c r="C747" s="143" t="n"/>
      <c r="D747" s="143" t="n"/>
      <c r="E747" s="143" t="n"/>
      <c r="F747" s="143" t="n"/>
      <c r="G747" s="144" t="n"/>
      <c r="H747" s="145">
        <f>IF(K747&lt;&gt;"", HYPERLINK("https://chatgpt.com/?prompt=" &amp; SUBSTITUTE(SUBSTITUTE(K747, " ", "+"), "&amp;", "dan") &amp; "&amp;force-refresh=true&amp;timestamp=" &amp; TEXT(NOW(), "yyyymmddhhmmss"), "👉 Klik untuk Generate Script! 🔥"), "")</f>
        <v/>
      </c>
      <c r="I747" s="143" t="n"/>
      <c r="J747" s="146" t="n"/>
      <c r="K747" s="130">
        <f>IF(AND(B747&lt;&gt;"", C747&lt;&gt;"", D747&lt;&gt;"", E747&lt;&gt;"", F747&lt;&gt;"", G747&lt;&gt;"", J747&lt;&gt;"", 'CONTENT PILLAR MAPPING'!C650&lt;&gt;"", 'CONTENT PILLAR MAPPING'!E650&lt;&gt;"", 'CONTENT PILLAR MAPPING'!F650&lt;&gt;"", 'CONTENT PILLAR MAPPING'!C653&lt;&gt;"", 'CONTENT PILLAR MAPPING'!C658&lt;&gt;"", 'CONTENT PILLAR MAPPING'!D658&lt;&gt;"", 'CONTENT PILLAR MAPPING'!E658&lt;&gt;"", 'CONTENT PILLAR MAPPING'!D666&lt;&gt;"", 'CONTENT PILLAR MAPPING'!D667&lt;&gt;""),
CONCATENATE(
"Sebagai seorang top konten kreator dengan niche utama '", 'CONTENT PILLAR MAPPING'!C650, "', spesifik kategori '", 'CONTENT PILLAR MAPPING'!E650, "', dan super spesifik '", 'CONTENT PILLAR MAPPING'!F650, "', yang dikenal sebagai '", 'CONTENT PILLAR MAPPING'!C653, "'.", CHAR(10),
"Saya memiliki Tone of Voice: '", 'CONTENT PILLAR MAPPING'!C658, "', Brand Archetype: '", 'CONTENT PILLAR MAPPING'!D658, "', dan Deskripsi Gaya Komunikasi: '", 'CONTENT PILLAR MAPPING'!E658, "'.", CHAR(10),
"Target audiens saya adalah: '", 'CONTENT PILLAR MAPPING'!D666, "', dengan segmentasi audiens: '", 'CONTENT PILLAR MAPPING'!D667, "'.", CHAR(10), CHAR(10),
"Mohon buatkan script konten yang **sangat powerful, menarik, inovatif, dan siap pakai** dengan judul ide '", B747, "'.", CHAR(10),
"Konten ini memiliki pilar '", C747, "', nilai tambah utama '", F747, "', dan akan menggunakan storytelling framework '", G747, "'.", CHAR(10),
"Gambaran singkat ide kontennya adalah: '", J747, "'.", CHAR(10),
"Konten ini akan diunggah di platform '", E747, "' dengan format '", D747,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MAPPING'!C653, "'.** Sesuaikan dengan gaya komunikasi saya, dengan fokus pada nilai tambah '", F747,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MAPPING'!D666, ", khusus ", 'CONTENT PILLAR MAPPING'!D667, ") dan membantu mereka menyelesaikan masalah atau mencapai tujuan mereka.", CHAR(10),
"✔ Membantuku membangun personal branding yang kuat dan sustainable, sesuai dengan Positioning saya sebagai '", 'CONTENT PILLAR MAPPING'!C653, "' dan Brand Archetype '", 'CONTENT PILLAR MAPPING'!D658, "'.", CHAR(10),
"✔ Kemas dalam bentuk tabel agar rapi, mudah di baca dan dipahami, dengan kolom 'Judul Konten', 'Pilar', 'Format', 'Draft Script', 'CTA', 'Saran Visual', dan 'Full Caption'. (Kosongkan kolom Link Prompt jika ada)."
),
"")</f>
        <v/>
      </c>
      <c r="L747" s="91" t="n"/>
      <c r="M747" s="91" t="n"/>
      <c r="N747" s="102" t="n"/>
      <c r="O747" s="102" t="n"/>
      <c r="P747" s="102" t="n"/>
      <c r="Q747" s="102" t="n"/>
      <c r="R747" s="102" t="n"/>
      <c r="S747" s="102" t="n"/>
      <c r="T747" s="102" t="n"/>
      <c r="U747" s="102" t="n"/>
      <c r="V747" s="102" t="n"/>
      <c r="W747" s="102" t="n"/>
      <c r="X747" s="102" t="n"/>
      <c r="Y747" s="102" t="n"/>
      <c r="Z747" s="102" t="n"/>
      <c r="AA747" s="102" t="n"/>
      <c r="AB747" s="102" t="n"/>
      <c r="AC747" s="102" t="n"/>
      <c r="AD747" s="102" t="n"/>
    </row>
    <row r="748" ht="15.75" customHeight="1" s="205">
      <c r="A748" s="102" t="n"/>
      <c r="B748" s="147" t="n"/>
      <c r="C748" s="144" t="n"/>
      <c r="D748" s="144" t="n"/>
      <c r="E748" s="144" t="n"/>
      <c r="F748" s="144" t="n"/>
      <c r="G748" s="144" t="n"/>
      <c r="H748" s="141">
        <f>IF(K748&lt;&gt;"", HYPERLINK("https://chatgpt.com/?prompt=" &amp; SUBSTITUTE(SUBSTITUTE(K748, " ", "+"), "&amp;", "dan") &amp; "&amp;force-refresh=true&amp;timestamp=" &amp; TEXT(NOW(), "yyyymmddhhmmss"), "👉 Klik untuk Generate Script! 🔥"), "")</f>
        <v/>
      </c>
      <c r="I748" s="144" t="n"/>
      <c r="J748" s="148" t="n"/>
      <c r="K748" s="140">
        <f>IF(AND(B748&lt;&gt;"", C748&lt;&gt;"", D748&lt;&gt;"", E748&lt;&gt;"", F748&lt;&gt;"", G748&lt;&gt;"", J748&lt;&gt;"", 'CONTENT PILLAR MAPPING'!C650&lt;&gt;"", 'CONTENT PILLAR MAPPING'!E650&lt;&gt;"", 'CONTENT PILLAR MAPPING'!F650&lt;&gt;"", 'CONTENT PILLAR MAPPING'!C653&lt;&gt;"", 'CONTENT PILLAR MAPPING'!C658&lt;&gt;"", 'CONTENT PILLAR MAPPING'!D658&lt;&gt;"", 'CONTENT PILLAR MAPPING'!E658&lt;&gt;"", 'CONTENT PILLAR MAPPING'!D666&lt;&gt;"", 'CONTENT PILLAR MAPPING'!D667&lt;&gt;""),
CONCATENATE(
"Sebagai seorang top konten kreator dengan niche utama '", 'CONTENT PILLAR MAPPING'!C650, "', spesifik kategori '", 'CONTENT PILLAR MAPPING'!E650, "', dan super spesifik '", 'CONTENT PILLAR MAPPING'!F650, "', yang dikenal sebagai '", 'CONTENT PILLAR MAPPING'!C653, "'.", CHAR(10),
"Saya memiliki Tone of Voice: '", 'CONTENT PILLAR MAPPING'!C658, "', Brand Archetype: '", 'CONTENT PILLAR MAPPING'!D658, "', dan Deskripsi Gaya Komunikasi: '", 'CONTENT PILLAR MAPPING'!E658, "'.", CHAR(10),
"Target audiens saya adalah: '", 'CONTENT PILLAR MAPPING'!D666, "', dengan segmentasi audiens: '", 'CONTENT PILLAR MAPPING'!D667, "'.", CHAR(10), CHAR(10),
"Mohon buatkan script konten yang **sangat powerful, menarik, inovatif, dan siap pakai** dengan judul ide '", B748, "'.", CHAR(10),
"Konten ini memiliki pilar '", C748, "', nilai tambah utama '", F748, "', dan akan menggunakan storytelling framework '", G748, "'.", CHAR(10),
"Gambaran singkat ide kontennya adalah: '", J748, "'.", CHAR(10),
"Konten ini akan diunggah di platform '", E748, "' dengan format '", D748,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MAPPING'!C653, "'.** Sesuaikan dengan gaya komunikasi saya, dengan fokus pada nilai tambah '", F748,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MAPPING'!D666, ", khusus ", 'CONTENT PILLAR MAPPING'!D667, ") dan membantu mereka menyelesaikan masalah atau mencapai tujuan mereka.", CHAR(10),
"✔ Membantuku membangun personal branding yang kuat dan sustainable, sesuai dengan Positioning saya sebagai '", 'CONTENT PILLAR MAPPING'!C653, "' dan Brand Archetype '", 'CONTENT PILLAR MAPPING'!D658, "'.", CHAR(10),
"✔ Kemas dalam bentuk tabel agar rapi, mudah di baca dan dipahami, dengan kolom 'Judul Konten', 'Pilar', 'Format', 'Draft Script', 'CTA', 'Saran Visual', dan 'Full Caption'. (Kosongkan kolom Link Prompt jika ada)."
),
"")</f>
        <v/>
      </c>
      <c r="L748" s="199" t="n"/>
      <c r="M748" s="199" t="n"/>
      <c r="N748" s="102" t="n"/>
      <c r="O748" s="102" t="n"/>
      <c r="P748" s="102" t="n"/>
      <c r="Q748" s="102" t="n"/>
      <c r="R748" s="102" t="n"/>
      <c r="S748" s="102" t="n"/>
      <c r="T748" s="102" t="n"/>
      <c r="U748" s="102" t="n"/>
      <c r="V748" s="102" t="n"/>
      <c r="W748" s="102" t="n"/>
      <c r="X748" s="102" t="n"/>
      <c r="Y748" s="102" t="n"/>
      <c r="Z748" s="102" t="n"/>
      <c r="AA748" s="102" t="n"/>
      <c r="AB748" s="102" t="n"/>
      <c r="AC748" s="102" t="n"/>
      <c r="AD748" s="102" t="n"/>
    </row>
    <row r="749" ht="15.75" customHeight="1" s="205">
      <c r="A749" s="102" t="n"/>
      <c r="B749" s="142" t="n"/>
      <c r="C749" s="143" t="n"/>
      <c r="D749" s="143" t="n"/>
      <c r="E749" s="143" t="n"/>
      <c r="F749" s="143" t="n"/>
      <c r="G749" s="144" t="n"/>
      <c r="H749" s="145">
        <f>IF(K749&lt;&gt;"", HYPERLINK("https://chatgpt.com/?prompt=" &amp; SUBSTITUTE(SUBSTITUTE(K749, " ", "+"), "&amp;", "dan") &amp; "&amp;force-refresh=true&amp;timestamp=" &amp; TEXT(NOW(), "yyyymmddhhmmss"), "👉 Klik untuk Generate Script! 🔥"), "")</f>
        <v/>
      </c>
      <c r="I749" s="143" t="n"/>
      <c r="J749" s="146" t="n"/>
      <c r="K749" s="130">
        <f>IF(AND(B749&lt;&gt;"", C749&lt;&gt;"", D749&lt;&gt;"", E749&lt;&gt;"", F749&lt;&gt;"", G749&lt;&gt;"", J749&lt;&gt;"", 'CONTENT PILLAR MAPPING'!C652&lt;&gt;"", 'CONTENT PILLAR MAPPING'!E652&lt;&gt;"", 'CONTENT PILLAR MAPPING'!F652&lt;&gt;"", 'CONTENT PILLAR MAPPING'!C655&lt;&gt;"", 'CONTENT PILLAR MAPPING'!C660&lt;&gt;"", 'CONTENT PILLAR MAPPING'!D660&lt;&gt;"", 'CONTENT PILLAR MAPPING'!E660&lt;&gt;"", 'CONTENT PILLAR MAPPING'!D668&lt;&gt;"", 'CONTENT PILLAR MAPPING'!D669&lt;&gt;""),
CONCATENATE(
"Sebagai seorang top konten kreator dengan niche utama '", 'CONTENT PILLAR MAPPING'!C652, "', spesifik kategori '", 'CONTENT PILLAR MAPPING'!E652, "', dan super spesifik '", 'CONTENT PILLAR MAPPING'!F652, "', yang dikenal sebagai '", 'CONTENT PILLAR MAPPING'!C655, "'.", CHAR(10),
"Saya memiliki Tone of Voice: '", 'CONTENT PILLAR MAPPING'!C660, "', Brand Archetype: '", 'CONTENT PILLAR MAPPING'!D660, "', dan Deskripsi Gaya Komunikasi: '", 'CONTENT PILLAR MAPPING'!E660, "'.", CHAR(10),
"Target audiens saya adalah: '", 'CONTENT PILLAR MAPPING'!D668, "', dengan segmentasi audiens: '", 'CONTENT PILLAR MAPPING'!D669, "'.", CHAR(10), CHAR(10),
"Mohon buatkan script konten yang **sangat powerful, menarik, inovatif, dan siap pakai** dengan judul ide '", B749, "'.", CHAR(10),
"Konten ini memiliki pilar '", C749, "', nilai tambah utama '", F749, "', dan akan menggunakan storytelling framework '", G749, "'.", CHAR(10),
"Gambaran singkat ide kontennya adalah: '", J749, "'.", CHAR(10),
"Konten ini akan diunggah di platform '", E749, "' dengan format '", D749,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MAPPING'!C655, "'.** Sesuaikan dengan gaya komunikasi saya, dengan fokus pada nilai tambah '", F749,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MAPPING'!D668, ", khusus ", 'CONTENT PILLAR MAPPING'!D669, ") dan membantu mereka menyelesaikan masalah atau mencapai tujuan mereka.", CHAR(10),
"✔ Membantuku membangun personal branding yang kuat dan sustainable, sesuai dengan Positioning saya sebagai '", 'CONTENT PILLAR MAPPING'!C655, "' dan Brand Archetype '", 'CONTENT PILLAR MAPPING'!D660, "'.", CHAR(10),
"✔ Kemas dalam bentuk tabel agar rapi, mudah di baca dan dipahami, dengan kolom 'Judul Konten', 'Pilar', 'Format', 'Draft Script', 'CTA', 'Saran Visual', dan 'Full Caption'. (Kosongkan kolom Link Prompt jika ada)."
),
"")</f>
        <v/>
      </c>
      <c r="L749" s="91" t="n"/>
      <c r="M749" s="91" t="n"/>
      <c r="N749" s="102" t="n"/>
      <c r="O749" s="102" t="n"/>
      <c r="P749" s="102" t="n"/>
      <c r="Q749" s="102" t="n"/>
      <c r="R749" s="102" t="n"/>
      <c r="S749" s="102" t="n"/>
      <c r="T749" s="102" t="n"/>
      <c r="U749" s="102" t="n"/>
      <c r="V749" s="102" t="n"/>
      <c r="W749" s="102" t="n"/>
      <c r="X749" s="102" t="n"/>
      <c r="Y749" s="102" t="n"/>
      <c r="Z749" s="102" t="n"/>
      <c r="AA749" s="102" t="n"/>
      <c r="AB749" s="102" t="n"/>
      <c r="AC749" s="102" t="n"/>
      <c r="AD749" s="102" t="n"/>
    </row>
    <row r="750" ht="15.75" customHeight="1" s="205">
      <c r="A750" s="102" t="n"/>
      <c r="B750" s="147" t="n"/>
      <c r="C750" s="144" t="n"/>
      <c r="D750" s="144" t="n"/>
      <c r="E750" s="144" t="n"/>
      <c r="F750" s="144" t="n"/>
      <c r="G750" s="144" t="n"/>
      <c r="H750" s="141">
        <f>IF(K750&lt;&gt;"", HYPERLINK("https://chatgpt.com/?prompt=" &amp; SUBSTITUTE(SUBSTITUTE(K750, " ", "+"), "&amp;", "dan") &amp; "&amp;force-refresh=true&amp;timestamp=" &amp; TEXT(NOW(), "yyyymmddhhmmss"), "👉 Klik untuk Generate Script! 🔥"), "")</f>
        <v/>
      </c>
      <c r="I750" s="144" t="n"/>
      <c r="J750" s="148" t="n"/>
      <c r="K750" s="140">
        <f>IF(AND(B750&lt;&gt;"", C750&lt;&gt;"", D750&lt;&gt;"", E750&lt;&gt;"", F750&lt;&gt;"", G750&lt;&gt;"", J750&lt;&gt;"", 'CONTENT PILLAR MAPPING'!C652&lt;&gt;"", 'CONTENT PILLAR MAPPING'!E652&lt;&gt;"", 'CONTENT PILLAR MAPPING'!F652&lt;&gt;"", 'CONTENT PILLAR MAPPING'!C655&lt;&gt;"", 'CONTENT PILLAR MAPPING'!C660&lt;&gt;"", 'CONTENT PILLAR MAPPING'!D660&lt;&gt;"", 'CONTENT PILLAR MAPPING'!E660&lt;&gt;"", 'CONTENT PILLAR MAPPING'!D668&lt;&gt;"", 'CONTENT PILLAR MAPPING'!D669&lt;&gt;""),
CONCATENATE(
"Sebagai seorang top konten kreator dengan niche utama '", 'CONTENT PILLAR MAPPING'!C652, "', spesifik kategori '", 'CONTENT PILLAR MAPPING'!E652, "', dan super spesifik '", 'CONTENT PILLAR MAPPING'!F652, "', yang dikenal sebagai '", 'CONTENT PILLAR MAPPING'!C655, "'.", CHAR(10),
"Saya memiliki Tone of Voice: '", 'CONTENT PILLAR MAPPING'!C660, "', Brand Archetype: '", 'CONTENT PILLAR MAPPING'!D660, "', dan Deskripsi Gaya Komunikasi: '", 'CONTENT PILLAR MAPPING'!E660, "'.", CHAR(10),
"Target audiens saya adalah: '", 'CONTENT PILLAR MAPPING'!D668, "', dengan segmentasi audiens: '", 'CONTENT PILLAR MAPPING'!D669, "'.", CHAR(10), CHAR(10),
"Mohon buatkan script konten yang **sangat powerful, menarik, inovatif, dan siap pakai** dengan judul ide '", B750, "'.", CHAR(10),
"Konten ini memiliki pilar '", C750, "', nilai tambah utama '", F750, "', dan akan menggunakan storytelling framework '", G750, "'.", CHAR(10),
"Gambaran singkat ide kontennya adalah: '", J750, "'.", CHAR(10),
"Konten ini akan diunggah di platform '", E750, "' dengan format '", D750,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MAPPING'!C655, "'.** Sesuaikan dengan gaya komunikasi saya, dengan fokus pada nilai tambah '", F750,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MAPPING'!D668, ", khusus ", 'CONTENT PILLAR MAPPING'!D669, ") dan membantu mereka menyelesaikan masalah atau mencapai tujuan mereka.", CHAR(10),
"✔ Membantuku membangun personal branding yang kuat dan sustainable, sesuai dengan Positioning saya sebagai '", 'CONTENT PILLAR MAPPING'!C655, "' dan Brand Archetype '", 'CONTENT PILLAR MAPPING'!D660, "'.", CHAR(10),
"✔ Kemas dalam bentuk tabel agar rapi, mudah di baca dan dipahami, dengan kolom 'Judul Konten', 'Pilar', 'Format', 'Draft Script', 'CTA', 'Saran Visual', dan 'Full Caption'. (Kosongkan kolom Link Prompt jika ada)."
),
"")</f>
        <v/>
      </c>
      <c r="L750" s="199" t="n"/>
      <c r="M750" s="199" t="n"/>
      <c r="N750" s="102" t="n"/>
      <c r="O750" s="102" t="n"/>
      <c r="P750" s="102" t="n"/>
      <c r="Q750" s="102" t="n"/>
      <c r="R750" s="102" t="n"/>
      <c r="S750" s="102" t="n"/>
      <c r="T750" s="102" t="n"/>
      <c r="U750" s="102" t="n"/>
      <c r="V750" s="102" t="n"/>
      <c r="W750" s="102" t="n"/>
      <c r="X750" s="102" t="n"/>
      <c r="Y750" s="102" t="n"/>
      <c r="Z750" s="102" t="n"/>
      <c r="AA750" s="102" t="n"/>
      <c r="AB750" s="102" t="n"/>
      <c r="AC750" s="102" t="n"/>
      <c r="AD750" s="102" t="n"/>
    </row>
    <row r="751" ht="15.75" customHeight="1" s="205">
      <c r="A751" s="102" t="n"/>
      <c r="B751" s="142" t="n"/>
      <c r="C751" s="143" t="n"/>
      <c r="D751" s="143" t="n"/>
      <c r="E751" s="143" t="n"/>
      <c r="F751" s="143" t="n"/>
      <c r="G751" s="144" t="n"/>
      <c r="H751" s="145">
        <f>IF(K751&lt;&gt;"", HYPERLINK("https://chatgpt.com/?prompt=" &amp; SUBSTITUTE(SUBSTITUTE(K751, " ", "+"), "&amp;", "dan") &amp; "&amp;force-refresh=true&amp;timestamp=" &amp; TEXT(NOW(), "yyyymmddhhmmss"), "👉 Klik untuk Generate Script! 🔥"), "")</f>
        <v/>
      </c>
      <c r="I751" s="143" t="n"/>
      <c r="J751" s="146" t="n"/>
      <c r="K751" s="130">
        <f>IF(AND(B751&lt;&gt;"", C751&lt;&gt;"", D751&lt;&gt;"", E751&lt;&gt;"", F751&lt;&gt;"", G751&lt;&gt;"", J751&lt;&gt;"", 'CONTENT PILLAR MAPPING'!C654&lt;&gt;"", 'CONTENT PILLAR MAPPING'!E654&lt;&gt;"", 'CONTENT PILLAR MAPPING'!F654&lt;&gt;"", 'CONTENT PILLAR MAPPING'!C657&lt;&gt;"", 'CONTENT PILLAR MAPPING'!C662&lt;&gt;"", 'CONTENT PILLAR MAPPING'!D662&lt;&gt;"", 'CONTENT PILLAR MAPPING'!E662&lt;&gt;"", 'CONTENT PILLAR MAPPING'!D670&lt;&gt;"", 'CONTENT PILLAR MAPPING'!D671&lt;&gt;""),
CONCATENATE(
"Sebagai seorang top konten kreator dengan niche utama '", 'CONTENT PILLAR MAPPING'!C654, "', spesifik kategori '", 'CONTENT PILLAR MAPPING'!E654, "', dan super spesifik '", 'CONTENT PILLAR MAPPING'!F654, "', yang dikenal sebagai '", 'CONTENT PILLAR MAPPING'!C657, "'.", CHAR(10),
"Saya memiliki Tone of Voice: '", 'CONTENT PILLAR MAPPING'!C662, "', Brand Archetype: '", 'CONTENT PILLAR MAPPING'!D662, "', dan Deskripsi Gaya Komunikasi: '", 'CONTENT PILLAR MAPPING'!E662, "'.", CHAR(10),
"Target audiens saya adalah: '", 'CONTENT PILLAR MAPPING'!D670, "', dengan segmentasi audiens: '", 'CONTENT PILLAR MAPPING'!D671, "'.", CHAR(10), CHAR(10),
"Mohon buatkan script konten yang **sangat powerful, menarik, inovatif, dan siap pakai** dengan judul ide '", B751, "'.", CHAR(10),
"Konten ini memiliki pilar '", C751, "', nilai tambah utama '", F751, "', dan akan menggunakan storytelling framework '", G751, "'.", CHAR(10),
"Gambaran singkat ide kontennya adalah: '", J751, "'.", CHAR(10),
"Konten ini akan diunggah di platform '", E751, "' dengan format '", D751,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MAPPING'!C657, "'.** Sesuaikan dengan gaya komunikasi saya, dengan fokus pada nilai tambah '", F751,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MAPPING'!D670, ", khusus ", 'CONTENT PILLAR MAPPING'!D671, ") dan membantu mereka menyelesaikan masalah atau mencapai tujuan mereka.", CHAR(10),
"✔ Membantuku membangun personal branding yang kuat dan sustainable, sesuai dengan Positioning saya sebagai '", 'CONTENT PILLAR MAPPING'!C657, "' dan Brand Archetype '", 'CONTENT PILLAR MAPPING'!D662, "'.", CHAR(10),
"✔ Kemas dalam bentuk tabel agar rapi, mudah di baca dan dipahami, dengan kolom 'Judul Konten', 'Pilar', 'Format', 'Draft Script', 'CTA', 'Saran Visual', dan 'Full Caption'. (Kosongkan kolom Link Prompt jika ada)."
),
"")</f>
        <v/>
      </c>
      <c r="L751" s="91" t="n"/>
      <c r="M751" s="91" t="n"/>
      <c r="N751" s="102" t="n"/>
      <c r="O751" s="102" t="n"/>
      <c r="P751" s="102" t="n"/>
      <c r="Q751" s="102" t="n"/>
      <c r="R751" s="102" t="n"/>
      <c r="S751" s="102" t="n"/>
      <c r="T751" s="102" t="n"/>
      <c r="U751" s="102" t="n"/>
      <c r="V751" s="102" t="n"/>
      <c r="W751" s="102" t="n"/>
      <c r="X751" s="102" t="n"/>
      <c r="Y751" s="102" t="n"/>
      <c r="Z751" s="102" t="n"/>
      <c r="AA751" s="102" t="n"/>
      <c r="AB751" s="102" t="n"/>
      <c r="AC751" s="102" t="n"/>
      <c r="AD751" s="102" t="n"/>
    </row>
    <row r="752" ht="15.75" customHeight="1" s="205">
      <c r="A752" s="102" t="n"/>
      <c r="B752" s="147" t="n"/>
      <c r="C752" s="144" t="n"/>
      <c r="D752" s="144" t="n"/>
      <c r="E752" s="144" t="n"/>
      <c r="F752" s="144" t="n"/>
      <c r="G752" s="144" t="n"/>
      <c r="H752" s="141">
        <f>IF(K752&lt;&gt;"", HYPERLINK("https://chatgpt.com/?prompt=" &amp; SUBSTITUTE(SUBSTITUTE(K752, " ", "+"), "&amp;", "dan") &amp; "&amp;force-refresh=true&amp;timestamp=" &amp; TEXT(NOW(), "yyyymmddhhmmss"), "👉 Klik untuk Generate Script! 🔥"), "")</f>
        <v/>
      </c>
      <c r="I752" s="144" t="n"/>
      <c r="J752" s="148" t="n"/>
      <c r="K752" s="140">
        <f>IF(AND(B752&lt;&gt;"", C752&lt;&gt;"", D752&lt;&gt;"", E752&lt;&gt;"", F752&lt;&gt;"", G752&lt;&gt;"", J752&lt;&gt;"", 'CONTENT PILLAR MAPPING'!C654&lt;&gt;"", 'CONTENT PILLAR MAPPING'!E654&lt;&gt;"", 'CONTENT PILLAR MAPPING'!F654&lt;&gt;"", 'CONTENT PILLAR MAPPING'!C657&lt;&gt;"", 'CONTENT PILLAR MAPPING'!C662&lt;&gt;"", 'CONTENT PILLAR MAPPING'!D662&lt;&gt;"", 'CONTENT PILLAR MAPPING'!E662&lt;&gt;"", 'CONTENT PILLAR MAPPING'!D670&lt;&gt;"", 'CONTENT PILLAR MAPPING'!D671&lt;&gt;""),
CONCATENATE(
"Sebagai seorang top konten kreator dengan niche utama '", 'CONTENT PILLAR MAPPING'!C654, "', spesifik kategori '", 'CONTENT PILLAR MAPPING'!E654, "', dan super spesifik '", 'CONTENT PILLAR MAPPING'!F654, "', yang dikenal sebagai '", 'CONTENT PILLAR MAPPING'!C657, "'.", CHAR(10),
"Saya memiliki Tone of Voice: '", 'CONTENT PILLAR MAPPING'!C662, "', Brand Archetype: '", 'CONTENT PILLAR MAPPING'!D662, "', dan Deskripsi Gaya Komunikasi: '", 'CONTENT PILLAR MAPPING'!E662, "'.", CHAR(10),
"Target audiens saya adalah: '", 'CONTENT PILLAR MAPPING'!D670, "', dengan segmentasi audiens: '", 'CONTENT PILLAR MAPPING'!D671, "'.", CHAR(10), CHAR(10),
"Mohon buatkan script konten yang **sangat powerful, menarik, inovatif, dan siap pakai** dengan judul ide '", B752, "'.", CHAR(10),
"Konten ini memiliki pilar '", C752, "', nilai tambah utama '", F752, "', dan akan menggunakan storytelling framework '", G752, "'.", CHAR(10),
"Gambaran singkat ide kontennya adalah: '", J752, "'.", CHAR(10),
"Konten ini akan diunggah di platform '", E752, "' dengan format '", D752,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MAPPING'!C657, "'.** Sesuaikan dengan gaya komunikasi saya, dengan fokus pada nilai tambah '", F752,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MAPPING'!D670, ", khusus ", 'CONTENT PILLAR MAPPING'!D671, ") dan membantu mereka menyelesaikan masalah atau mencapai tujuan mereka.", CHAR(10),
"✔ Membantuku membangun personal branding yang kuat dan sustainable, sesuai dengan Positioning saya sebagai '", 'CONTENT PILLAR MAPPING'!C657, "' dan Brand Archetype '", 'CONTENT PILLAR MAPPING'!D662, "'.", CHAR(10),
"✔ Kemas dalam bentuk tabel agar rapi, mudah di baca dan dipahami, dengan kolom 'Judul Konten', 'Pilar', 'Format', 'Draft Script', 'CTA', 'Saran Visual', dan 'Full Caption'. (Kosongkan kolom Link Prompt jika ada)."
),
"")</f>
        <v/>
      </c>
      <c r="L752" s="199" t="n"/>
      <c r="M752" s="199" t="n"/>
      <c r="N752" s="102" t="n"/>
      <c r="O752" s="102" t="n"/>
      <c r="P752" s="102" t="n"/>
      <c r="Q752" s="102" t="n"/>
      <c r="R752" s="102" t="n"/>
      <c r="S752" s="102" t="n"/>
      <c r="T752" s="102" t="n"/>
      <c r="U752" s="102" t="n"/>
      <c r="V752" s="102" t="n"/>
      <c r="W752" s="102" t="n"/>
      <c r="X752" s="102" t="n"/>
      <c r="Y752" s="102" t="n"/>
      <c r="Z752" s="102" t="n"/>
      <c r="AA752" s="102" t="n"/>
      <c r="AB752" s="102" t="n"/>
      <c r="AC752" s="102" t="n"/>
      <c r="AD752" s="102" t="n"/>
    </row>
    <row r="753" ht="15.75" customHeight="1" s="205">
      <c r="A753" s="102" t="n"/>
      <c r="B753" s="142" t="n"/>
      <c r="C753" s="143" t="n"/>
      <c r="D753" s="143" t="n"/>
      <c r="E753" s="143" t="n"/>
      <c r="F753" s="143" t="n"/>
      <c r="G753" s="144" t="n"/>
      <c r="H753" s="145">
        <f>IF(K753&lt;&gt;"", HYPERLINK("https://chatgpt.com/?prompt=" &amp; SUBSTITUTE(SUBSTITUTE(K753, " ", "+"), "&amp;", "dan") &amp; "&amp;force-refresh=true&amp;timestamp=" &amp; TEXT(NOW(), "yyyymmddhhmmss"), "👉 Klik untuk Generate Script! 🔥"), "")</f>
        <v/>
      </c>
      <c r="I753" s="143" t="n"/>
      <c r="J753" s="146" t="n"/>
      <c r="K753" s="130">
        <f>IF(AND(B753&lt;&gt;"", C753&lt;&gt;"", D753&lt;&gt;"", E753&lt;&gt;"", F753&lt;&gt;"", G753&lt;&gt;"", J753&lt;&gt;"", 'CONTENT PILLAR MAPPING'!C656&lt;&gt;"", 'CONTENT PILLAR MAPPING'!E656&lt;&gt;"", 'CONTENT PILLAR MAPPING'!F656&lt;&gt;"", 'CONTENT PILLAR MAPPING'!C659&lt;&gt;"", 'CONTENT PILLAR MAPPING'!C664&lt;&gt;"", 'CONTENT PILLAR MAPPING'!D664&lt;&gt;"", 'CONTENT PILLAR MAPPING'!E664&lt;&gt;"", 'CONTENT PILLAR MAPPING'!D672&lt;&gt;"", 'CONTENT PILLAR MAPPING'!D673&lt;&gt;""),
CONCATENATE(
"Sebagai seorang top konten kreator dengan niche utama '", 'CONTENT PILLAR MAPPING'!C656, "', spesifik kategori '", 'CONTENT PILLAR MAPPING'!E656, "', dan super spesifik '", 'CONTENT PILLAR MAPPING'!F656, "', yang dikenal sebagai '", 'CONTENT PILLAR MAPPING'!C659, "'.", CHAR(10),
"Saya memiliki Tone of Voice: '", 'CONTENT PILLAR MAPPING'!C664, "', Brand Archetype: '", 'CONTENT PILLAR MAPPING'!D664, "', dan Deskripsi Gaya Komunikasi: '", 'CONTENT PILLAR MAPPING'!E664, "'.", CHAR(10),
"Target audiens saya adalah: '", 'CONTENT PILLAR MAPPING'!D672, "', dengan segmentasi audiens: '", 'CONTENT PILLAR MAPPING'!D673, "'.", CHAR(10), CHAR(10),
"Mohon buatkan script konten yang **sangat powerful, menarik, inovatif, dan siap pakai** dengan judul ide '", B753, "'.", CHAR(10),
"Konten ini memiliki pilar '", C753, "', nilai tambah utama '", F753, "', dan akan menggunakan storytelling framework '", G753, "'.", CHAR(10),
"Gambaran singkat ide kontennya adalah: '", J753, "'.", CHAR(10),
"Konten ini akan diunggah di platform '", E753, "' dengan format '", D753,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MAPPING'!C659, "'.** Sesuaikan dengan gaya komunikasi saya, dengan fokus pada nilai tambah '", F753,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MAPPING'!D672, ", khusus ", 'CONTENT PILLAR MAPPING'!D673, ") dan membantu mereka menyelesaikan masalah atau mencapai tujuan mereka.", CHAR(10),
"✔ Membantuku membangun personal branding yang kuat dan sustainable, sesuai dengan Positioning saya sebagai '", 'CONTENT PILLAR MAPPING'!C659, "' dan Brand Archetype '", 'CONTENT PILLAR MAPPING'!D664, "'.", CHAR(10),
"✔ Kemas dalam bentuk tabel agar rapi, mudah di baca dan dipahami, dengan kolom 'Judul Konten', 'Pilar', 'Format', 'Draft Script', 'CTA', 'Saran Visual', dan 'Full Caption'. (Kosongkan kolom Link Prompt jika ada)."
),
"")</f>
        <v/>
      </c>
      <c r="L753" s="91" t="n"/>
      <c r="M753" s="91" t="n"/>
      <c r="N753" s="102" t="n"/>
      <c r="O753" s="102" t="n"/>
      <c r="P753" s="102" t="n"/>
      <c r="Q753" s="102" t="n"/>
      <c r="R753" s="102" t="n"/>
      <c r="S753" s="102" t="n"/>
      <c r="T753" s="102" t="n"/>
      <c r="U753" s="102" t="n"/>
      <c r="V753" s="102" t="n"/>
      <c r="W753" s="102" t="n"/>
      <c r="X753" s="102" t="n"/>
      <c r="Y753" s="102" t="n"/>
      <c r="Z753" s="102" t="n"/>
      <c r="AA753" s="102" t="n"/>
      <c r="AB753" s="102" t="n"/>
      <c r="AC753" s="102" t="n"/>
      <c r="AD753" s="102" t="n"/>
    </row>
    <row r="754" ht="15.75" customHeight="1" s="205">
      <c r="A754" s="102" t="n"/>
      <c r="B754" s="147" t="n"/>
      <c r="C754" s="144" t="n"/>
      <c r="D754" s="144" t="n"/>
      <c r="E754" s="144" t="n"/>
      <c r="F754" s="144" t="n"/>
      <c r="G754" s="144" t="n"/>
      <c r="H754" s="141">
        <f>IF(K754&lt;&gt;"", HYPERLINK("https://chatgpt.com/?prompt=" &amp; SUBSTITUTE(SUBSTITUTE(K754, " ", "+"), "&amp;", "dan") &amp; "&amp;force-refresh=true&amp;timestamp=" &amp; TEXT(NOW(), "yyyymmddhhmmss"), "👉 Klik untuk Generate Script! 🔥"), "")</f>
        <v/>
      </c>
      <c r="I754" s="144" t="n"/>
      <c r="J754" s="148" t="n"/>
      <c r="K754" s="140">
        <f>IF(AND(B754&lt;&gt;"", C754&lt;&gt;"", D754&lt;&gt;"", E754&lt;&gt;"", F754&lt;&gt;"", G754&lt;&gt;"", J754&lt;&gt;"", 'CONTENT PILLAR MAPPING'!C656&lt;&gt;"", 'CONTENT PILLAR MAPPING'!E656&lt;&gt;"", 'CONTENT PILLAR MAPPING'!F656&lt;&gt;"", 'CONTENT PILLAR MAPPING'!C659&lt;&gt;"", 'CONTENT PILLAR MAPPING'!C664&lt;&gt;"", 'CONTENT PILLAR MAPPING'!D664&lt;&gt;"", 'CONTENT PILLAR MAPPING'!E664&lt;&gt;"", 'CONTENT PILLAR MAPPING'!D672&lt;&gt;"", 'CONTENT PILLAR MAPPING'!D673&lt;&gt;""),
CONCATENATE(
"Sebagai seorang top konten kreator dengan niche utama '", 'CONTENT PILLAR MAPPING'!C656, "', spesifik kategori '", 'CONTENT PILLAR MAPPING'!E656, "', dan super spesifik '", 'CONTENT PILLAR MAPPING'!F656, "', yang dikenal sebagai '", 'CONTENT PILLAR MAPPING'!C659, "'.", CHAR(10),
"Saya memiliki Tone of Voice: '", 'CONTENT PILLAR MAPPING'!C664, "', Brand Archetype: '", 'CONTENT PILLAR MAPPING'!D664, "', dan Deskripsi Gaya Komunikasi: '", 'CONTENT PILLAR MAPPING'!E664, "'.", CHAR(10),
"Target audiens saya adalah: '", 'CONTENT PILLAR MAPPING'!D672, "', dengan segmentasi audiens: '", 'CONTENT PILLAR MAPPING'!D673, "'.", CHAR(10), CHAR(10),
"Mohon buatkan script konten yang **sangat powerful, menarik, inovatif, dan siap pakai** dengan judul ide '", B754, "'.", CHAR(10),
"Konten ini memiliki pilar '", C754, "', nilai tambah utama '", F754, "', dan akan menggunakan storytelling framework '", G754, "'.", CHAR(10),
"Gambaran singkat ide kontennya adalah: '", J754, "'.", CHAR(10),
"Konten ini akan diunggah di platform '", E754, "' dengan format '", D754,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MAPPING'!C659, "'.** Sesuaikan dengan gaya komunikasi saya, dengan fokus pada nilai tambah '", F754,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MAPPING'!D672, ", khusus ", 'CONTENT PILLAR MAPPING'!D673, ") dan membantu mereka menyelesaikan masalah atau mencapai tujuan mereka.", CHAR(10),
"✔ Membantuku membangun personal branding yang kuat dan sustainable, sesuai dengan Positioning saya sebagai '", 'CONTENT PILLAR MAPPING'!C659, "' dan Brand Archetype '", 'CONTENT PILLAR MAPPING'!D664, "'.", CHAR(10),
"✔ Kemas dalam bentuk tabel agar rapi, mudah di baca dan dipahami, dengan kolom 'Judul Konten', 'Pilar', 'Format', 'Draft Script', 'CTA', 'Saran Visual', dan 'Full Caption'. (Kosongkan kolom Link Prompt jika ada)."
),
"")</f>
        <v/>
      </c>
      <c r="L754" s="199" t="n"/>
      <c r="M754" s="199" t="n"/>
      <c r="N754" s="102" t="n"/>
      <c r="O754" s="102" t="n"/>
      <c r="P754" s="102" t="n"/>
      <c r="Q754" s="102" t="n"/>
      <c r="R754" s="102" t="n"/>
      <c r="S754" s="102" t="n"/>
      <c r="T754" s="102" t="n"/>
      <c r="U754" s="102" t="n"/>
      <c r="V754" s="102" t="n"/>
      <c r="W754" s="102" t="n"/>
      <c r="X754" s="102" t="n"/>
      <c r="Y754" s="102" t="n"/>
      <c r="Z754" s="102" t="n"/>
      <c r="AA754" s="102" t="n"/>
      <c r="AB754" s="102" t="n"/>
      <c r="AC754" s="102" t="n"/>
      <c r="AD754" s="102" t="n"/>
    </row>
    <row r="755" ht="15.75" customHeight="1" s="205">
      <c r="A755" s="102" t="n"/>
      <c r="B755" s="142" t="n"/>
      <c r="C755" s="143" t="n"/>
      <c r="D755" s="143" t="n"/>
      <c r="E755" s="143" t="n"/>
      <c r="F755" s="143" t="n"/>
      <c r="G755" s="144" t="n"/>
      <c r="H755" s="145">
        <f>IF(K755&lt;&gt;"", HYPERLINK("https://chatgpt.com/?prompt=" &amp; SUBSTITUTE(SUBSTITUTE(K755, " ", "+"), "&amp;", "dan") &amp; "&amp;force-refresh=true&amp;timestamp=" &amp; TEXT(NOW(), "yyyymmddhhmmss"), "👉 Klik untuk Generate Script! 🔥"), "")</f>
        <v/>
      </c>
      <c r="I755" s="143" t="n"/>
      <c r="J755" s="146" t="n"/>
      <c r="K755" s="130">
        <f>IF(AND(B755&lt;&gt;"", C755&lt;&gt;"", D755&lt;&gt;"", E755&lt;&gt;"", F755&lt;&gt;"", G755&lt;&gt;"", J755&lt;&gt;"", 'CONTENT PILLAR MAPPING'!C658&lt;&gt;"", 'CONTENT PILLAR MAPPING'!E658&lt;&gt;"", 'CONTENT PILLAR MAPPING'!F658&lt;&gt;"", 'CONTENT PILLAR MAPPING'!C661&lt;&gt;"", 'CONTENT PILLAR MAPPING'!C666&lt;&gt;"", 'CONTENT PILLAR MAPPING'!D666&lt;&gt;"", 'CONTENT PILLAR MAPPING'!E666&lt;&gt;"", 'CONTENT PILLAR MAPPING'!D674&lt;&gt;"", 'CONTENT PILLAR MAPPING'!D675&lt;&gt;""),
CONCATENATE(
"Sebagai seorang top konten kreator dengan niche utama '", 'CONTENT PILLAR MAPPING'!C658, "', spesifik kategori '", 'CONTENT PILLAR MAPPING'!E658, "', dan super spesifik '", 'CONTENT PILLAR MAPPING'!F658, "', yang dikenal sebagai '", 'CONTENT PILLAR MAPPING'!C661, "'.", CHAR(10),
"Saya memiliki Tone of Voice: '", 'CONTENT PILLAR MAPPING'!C666, "', Brand Archetype: '", 'CONTENT PILLAR MAPPING'!D666, "', dan Deskripsi Gaya Komunikasi: '", 'CONTENT PILLAR MAPPING'!E666, "'.", CHAR(10),
"Target audiens saya adalah: '", 'CONTENT PILLAR MAPPING'!D674, "', dengan segmentasi audiens: '", 'CONTENT PILLAR MAPPING'!D675, "'.", CHAR(10), CHAR(10),
"Mohon buatkan script konten yang **sangat powerful, menarik, inovatif, dan siap pakai** dengan judul ide '", B755, "'.", CHAR(10),
"Konten ini memiliki pilar '", C755, "', nilai tambah utama '", F755, "', dan akan menggunakan storytelling framework '", G755, "'.", CHAR(10),
"Gambaran singkat ide kontennya adalah: '", J755, "'.", CHAR(10),
"Konten ini akan diunggah di platform '", E755, "' dengan format '", D755,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MAPPING'!C661, "'.** Sesuaikan dengan gaya komunikasi saya, dengan fokus pada nilai tambah '", F755,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MAPPING'!D674, ", khusus ", 'CONTENT PILLAR MAPPING'!D675, ") dan membantu mereka menyelesaikan masalah atau mencapai tujuan mereka.", CHAR(10),
"✔ Membantuku membangun personal branding yang kuat dan sustainable, sesuai dengan Positioning saya sebagai '", 'CONTENT PILLAR MAPPING'!C661, "' dan Brand Archetype '", 'CONTENT PILLAR MAPPING'!D666, "'.", CHAR(10),
"✔ Kemas dalam bentuk tabel agar rapi, mudah di baca dan dipahami, dengan kolom 'Judul Konten', 'Pilar', 'Format', 'Draft Script', 'CTA', 'Saran Visual', dan 'Full Caption'. (Kosongkan kolom Link Prompt jika ada)."
),
"")</f>
        <v/>
      </c>
      <c r="L755" s="91" t="n"/>
      <c r="M755" s="91" t="n"/>
      <c r="N755" s="102" t="n"/>
      <c r="O755" s="102" t="n"/>
      <c r="P755" s="102" t="n"/>
      <c r="Q755" s="102" t="n"/>
      <c r="R755" s="102" t="n"/>
      <c r="S755" s="102" t="n"/>
      <c r="T755" s="102" t="n"/>
      <c r="U755" s="102" t="n"/>
      <c r="V755" s="102" t="n"/>
      <c r="W755" s="102" t="n"/>
      <c r="X755" s="102" t="n"/>
      <c r="Y755" s="102" t="n"/>
      <c r="Z755" s="102" t="n"/>
      <c r="AA755" s="102" t="n"/>
      <c r="AB755" s="102" t="n"/>
      <c r="AC755" s="102" t="n"/>
      <c r="AD755" s="102" t="n"/>
    </row>
    <row r="756" ht="15.75" customHeight="1" s="205">
      <c r="A756" s="102" t="n"/>
      <c r="B756" s="147" t="n"/>
      <c r="C756" s="144" t="n"/>
      <c r="D756" s="144" t="n"/>
      <c r="E756" s="144" t="n"/>
      <c r="F756" s="144" t="n"/>
      <c r="G756" s="144" t="n"/>
      <c r="H756" s="141">
        <f>IF(K756&lt;&gt;"", HYPERLINK("https://chatgpt.com/?prompt=" &amp; SUBSTITUTE(SUBSTITUTE(K756, " ", "+"), "&amp;", "dan") &amp; "&amp;force-refresh=true&amp;timestamp=" &amp; TEXT(NOW(), "yyyymmddhhmmss"), "👉 Klik untuk Generate Script! 🔥"), "")</f>
        <v/>
      </c>
      <c r="I756" s="144" t="n"/>
      <c r="J756" s="148" t="n"/>
      <c r="K756" s="140">
        <f>IF(AND(B756&lt;&gt;"", C756&lt;&gt;"", D756&lt;&gt;"", E756&lt;&gt;"", F756&lt;&gt;"", G756&lt;&gt;"", J756&lt;&gt;"", 'CONTENT PILLAR MAPPING'!C658&lt;&gt;"", 'CONTENT PILLAR MAPPING'!E658&lt;&gt;"", 'CONTENT PILLAR MAPPING'!F658&lt;&gt;"", 'CONTENT PILLAR MAPPING'!C661&lt;&gt;"", 'CONTENT PILLAR MAPPING'!C666&lt;&gt;"", 'CONTENT PILLAR MAPPING'!D666&lt;&gt;"", 'CONTENT PILLAR MAPPING'!E666&lt;&gt;"", 'CONTENT PILLAR MAPPING'!D674&lt;&gt;"", 'CONTENT PILLAR MAPPING'!D675&lt;&gt;""),
CONCATENATE(
"Sebagai seorang top konten kreator dengan niche utama '", 'CONTENT PILLAR MAPPING'!C658, "', spesifik kategori '", 'CONTENT PILLAR MAPPING'!E658, "', dan super spesifik '", 'CONTENT PILLAR MAPPING'!F658, "', yang dikenal sebagai '", 'CONTENT PILLAR MAPPING'!C661, "'.", CHAR(10),
"Saya memiliki Tone of Voice: '", 'CONTENT PILLAR MAPPING'!C666, "', Brand Archetype: '", 'CONTENT PILLAR MAPPING'!D666, "', dan Deskripsi Gaya Komunikasi: '", 'CONTENT PILLAR MAPPING'!E666, "'.", CHAR(10),
"Target audiens saya adalah: '", 'CONTENT PILLAR MAPPING'!D674, "', dengan segmentasi audiens: '", 'CONTENT PILLAR MAPPING'!D675, "'.", CHAR(10), CHAR(10),
"Mohon buatkan script konten yang **sangat powerful, menarik, inovatif, dan siap pakai** dengan judul ide '", B756, "'.", CHAR(10),
"Konten ini memiliki pilar '", C756, "', nilai tambah utama '", F756, "', dan akan menggunakan storytelling framework '", G756, "'.", CHAR(10),
"Gambaran singkat ide kontennya adalah: '", J756, "'.", CHAR(10),
"Konten ini akan diunggah di platform '", E756, "' dengan format '", D756,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MAPPING'!C661, "'.** Sesuaikan dengan gaya komunikasi saya, dengan fokus pada nilai tambah '", F756,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MAPPING'!D674, ", khusus ", 'CONTENT PILLAR MAPPING'!D675, ") dan membantu mereka menyelesaikan masalah atau mencapai tujuan mereka.", CHAR(10),
"✔ Membantuku membangun personal branding yang kuat dan sustainable, sesuai dengan Positioning saya sebagai '", 'CONTENT PILLAR MAPPING'!C661, "' dan Brand Archetype '", 'CONTENT PILLAR MAPPING'!D666, "'.", CHAR(10),
"✔ Kemas dalam bentuk tabel agar rapi, mudah di baca dan dipahami, dengan kolom 'Judul Konten', 'Pilar', 'Format', 'Draft Script', 'CTA', 'Saran Visual', dan 'Full Caption'. (Kosongkan kolom Link Prompt jika ada)."
),
"")</f>
        <v/>
      </c>
      <c r="L756" s="199" t="n"/>
      <c r="M756" s="199" t="n"/>
      <c r="N756" s="102" t="n"/>
      <c r="O756" s="102" t="n"/>
      <c r="P756" s="102" t="n"/>
      <c r="Q756" s="102" t="n"/>
      <c r="R756" s="102" t="n"/>
      <c r="S756" s="102" t="n"/>
      <c r="T756" s="102" t="n"/>
      <c r="U756" s="102" t="n"/>
      <c r="V756" s="102" t="n"/>
      <c r="W756" s="102" t="n"/>
      <c r="X756" s="102" t="n"/>
      <c r="Y756" s="102" t="n"/>
      <c r="Z756" s="102" t="n"/>
      <c r="AA756" s="102" t="n"/>
      <c r="AB756" s="102" t="n"/>
      <c r="AC756" s="102" t="n"/>
      <c r="AD756" s="102" t="n"/>
    </row>
    <row r="757" ht="15.75" customHeight="1" s="205">
      <c r="A757" s="102" t="n"/>
      <c r="B757" s="142" t="n"/>
      <c r="C757" s="143" t="n"/>
      <c r="D757" s="143" t="n"/>
      <c r="E757" s="143" t="n"/>
      <c r="F757" s="143" t="n"/>
      <c r="G757" s="144" t="n"/>
      <c r="H757" s="145">
        <f>IF(K757&lt;&gt;"", HYPERLINK("https://chatgpt.com/?prompt=" &amp; SUBSTITUTE(SUBSTITUTE(K757, " ", "+"), "&amp;", "dan") &amp; "&amp;force-refresh=true&amp;timestamp=" &amp; TEXT(NOW(), "yyyymmddhhmmss"), "👉 Klik untuk Generate Script! 🔥"), "")</f>
        <v/>
      </c>
      <c r="I757" s="143" t="n"/>
      <c r="J757" s="146" t="n"/>
      <c r="K757" s="130">
        <f>IF(AND(B757&lt;&gt;"", C757&lt;&gt;"", D757&lt;&gt;"", E757&lt;&gt;"", F757&lt;&gt;"", G757&lt;&gt;"", J757&lt;&gt;"", 'CONTENT PILLAR MAPPING'!C660&lt;&gt;"", 'CONTENT PILLAR MAPPING'!E660&lt;&gt;"", 'CONTENT PILLAR MAPPING'!F660&lt;&gt;"", 'CONTENT PILLAR MAPPING'!C663&lt;&gt;"", 'CONTENT PILLAR MAPPING'!C668&lt;&gt;"", 'CONTENT PILLAR MAPPING'!D668&lt;&gt;"", 'CONTENT PILLAR MAPPING'!E668&lt;&gt;"", 'CONTENT PILLAR MAPPING'!D676&lt;&gt;"", 'CONTENT PILLAR MAPPING'!D677&lt;&gt;""),
CONCATENATE(
"Sebagai seorang top konten kreator dengan niche utama '", 'CONTENT PILLAR MAPPING'!C660, "', spesifik kategori '", 'CONTENT PILLAR MAPPING'!E660, "', dan super spesifik '", 'CONTENT PILLAR MAPPING'!F660, "', yang dikenal sebagai '", 'CONTENT PILLAR MAPPING'!C663, "'.", CHAR(10),
"Saya memiliki Tone of Voice: '", 'CONTENT PILLAR MAPPING'!C668, "', Brand Archetype: '", 'CONTENT PILLAR MAPPING'!D668, "', dan Deskripsi Gaya Komunikasi: '", 'CONTENT PILLAR MAPPING'!E668, "'.", CHAR(10),
"Target audiens saya adalah: '", 'CONTENT PILLAR MAPPING'!D676, "', dengan segmentasi audiens: '", 'CONTENT PILLAR MAPPING'!D677, "'.", CHAR(10), CHAR(10),
"Mohon buatkan script konten yang **sangat powerful, menarik, inovatif, dan siap pakai** dengan judul ide '", B757, "'.", CHAR(10),
"Konten ini memiliki pilar '", C757, "', nilai tambah utama '", F757, "', dan akan menggunakan storytelling framework '", G757, "'.", CHAR(10),
"Gambaran singkat ide kontennya adalah: '", J757, "'.", CHAR(10),
"Konten ini akan diunggah di platform '", E757, "' dengan format '", D757,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MAPPING'!C663, "'.** Sesuaikan dengan gaya komunikasi saya, dengan fokus pada nilai tambah '", F757,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MAPPING'!D676, ", khusus ", 'CONTENT PILLAR MAPPING'!D677, ") dan membantu mereka menyelesaikan masalah atau mencapai tujuan mereka.", CHAR(10),
"✔ Membantuku membangun personal branding yang kuat dan sustainable, sesuai dengan Positioning saya sebagai '", 'CONTENT PILLAR MAPPING'!C663, "' dan Brand Archetype '", 'CONTENT PILLAR MAPPING'!D668, "'.", CHAR(10),
"✔ Kemas dalam bentuk tabel agar rapi, mudah di baca dan dipahami, dengan kolom 'Judul Konten', 'Pilar', 'Format', 'Draft Script', 'CTA', 'Saran Visual', dan 'Full Caption'. (Kosongkan kolom Link Prompt jika ada)."
),
"")</f>
        <v/>
      </c>
      <c r="L757" s="91" t="n"/>
      <c r="M757" s="91" t="n"/>
      <c r="N757" s="102" t="n"/>
      <c r="O757" s="102" t="n"/>
      <c r="P757" s="102" t="n"/>
      <c r="Q757" s="102" t="n"/>
      <c r="R757" s="102" t="n"/>
      <c r="S757" s="102" t="n"/>
      <c r="T757" s="102" t="n"/>
      <c r="U757" s="102" t="n"/>
      <c r="V757" s="102" t="n"/>
      <c r="W757" s="102" t="n"/>
      <c r="X757" s="102" t="n"/>
      <c r="Y757" s="102" t="n"/>
      <c r="Z757" s="102" t="n"/>
      <c r="AA757" s="102" t="n"/>
      <c r="AB757" s="102" t="n"/>
      <c r="AC757" s="102" t="n"/>
      <c r="AD757" s="102" t="n"/>
    </row>
    <row r="758" ht="15.75" customHeight="1" s="205">
      <c r="A758" s="102" t="n"/>
      <c r="B758" s="147" t="n"/>
      <c r="C758" s="144" t="n"/>
      <c r="D758" s="144" t="n"/>
      <c r="E758" s="144" t="n"/>
      <c r="F758" s="144" t="n"/>
      <c r="G758" s="144" t="n"/>
      <c r="H758" s="141">
        <f>IF(K758&lt;&gt;"", HYPERLINK("https://chatgpt.com/?prompt=" &amp; SUBSTITUTE(SUBSTITUTE(K758, " ", "+"), "&amp;", "dan") &amp; "&amp;force-refresh=true&amp;timestamp=" &amp; TEXT(NOW(), "yyyymmddhhmmss"), "👉 Klik untuk Generate Script! 🔥"), "")</f>
        <v/>
      </c>
      <c r="I758" s="144" t="n"/>
      <c r="J758" s="148" t="n"/>
      <c r="K758" s="140">
        <f>IF(AND(B758&lt;&gt;"", C758&lt;&gt;"", D758&lt;&gt;"", E758&lt;&gt;"", F758&lt;&gt;"", G758&lt;&gt;"", J758&lt;&gt;"", 'CONTENT PILLAR MAPPING'!C660&lt;&gt;"", 'CONTENT PILLAR MAPPING'!E660&lt;&gt;"", 'CONTENT PILLAR MAPPING'!F660&lt;&gt;"", 'CONTENT PILLAR MAPPING'!C663&lt;&gt;"", 'CONTENT PILLAR MAPPING'!C668&lt;&gt;"", 'CONTENT PILLAR MAPPING'!D668&lt;&gt;"", 'CONTENT PILLAR MAPPING'!E668&lt;&gt;"", 'CONTENT PILLAR MAPPING'!D676&lt;&gt;"", 'CONTENT PILLAR MAPPING'!D677&lt;&gt;""),
CONCATENATE(
"Sebagai seorang top konten kreator dengan niche utama '", 'CONTENT PILLAR MAPPING'!C660, "', spesifik kategori '", 'CONTENT PILLAR MAPPING'!E660, "', dan super spesifik '", 'CONTENT PILLAR MAPPING'!F660, "', yang dikenal sebagai '", 'CONTENT PILLAR MAPPING'!C663, "'.", CHAR(10),
"Saya memiliki Tone of Voice: '", 'CONTENT PILLAR MAPPING'!C668, "', Brand Archetype: '", 'CONTENT PILLAR MAPPING'!D668, "', dan Deskripsi Gaya Komunikasi: '", 'CONTENT PILLAR MAPPING'!E668, "'.", CHAR(10),
"Target audiens saya adalah: '", 'CONTENT PILLAR MAPPING'!D676, "', dengan segmentasi audiens: '", 'CONTENT PILLAR MAPPING'!D677, "'.", CHAR(10), CHAR(10),
"Mohon buatkan script konten yang **sangat powerful, menarik, inovatif, dan siap pakai** dengan judul ide '", B758, "'.", CHAR(10),
"Konten ini memiliki pilar '", C758, "', nilai tambah utama '", F758, "', dan akan menggunakan storytelling framework '", G758, "'.", CHAR(10),
"Gambaran singkat ide kontennya adalah: '", J758, "'.", CHAR(10),
"Konten ini akan diunggah di platform '", E758, "' dengan format '", D758,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MAPPING'!C663, "'.** Sesuaikan dengan gaya komunikasi saya, dengan fokus pada nilai tambah '", F758,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MAPPING'!D676, ", khusus ", 'CONTENT PILLAR MAPPING'!D677, ") dan membantu mereka menyelesaikan masalah atau mencapai tujuan mereka.", CHAR(10),
"✔ Membantuku membangun personal branding yang kuat dan sustainable, sesuai dengan Positioning saya sebagai '", 'CONTENT PILLAR MAPPING'!C663, "' dan Brand Archetype '", 'CONTENT PILLAR MAPPING'!D668, "'.", CHAR(10),
"✔ Kemas dalam bentuk tabel agar rapi, mudah di baca dan dipahami, dengan kolom 'Judul Konten', 'Pilar', 'Format', 'Draft Script', 'CTA', 'Saran Visual', dan 'Full Caption'. (Kosongkan kolom Link Prompt jika ada)."
),
"")</f>
        <v/>
      </c>
      <c r="L758" s="199" t="n"/>
      <c r="M758" s="199" t="n"/>
      <c r="N758" s="102" t="n"/>
      <c r="O758" s="102" t="n"/>
      <c r="P758" s="102" t="n"/>
      <c r="Q758" s="102" t="n"/>
      <c r="R758" s="102" t="n"/>
      <c r="S758" s="102" t="n"/>
      <c r="T758" s="102" t="n"/>
      <c r="U758" s="102" t="n"/>
      <c r="V758" s="102" t="n"/>
      <c r="W758" s="102" t="n"/>
      <c r="X758" s="102" t="n"/>
      <c r="Y758" s="102" t="n"/>
      <c r="Z758" s="102" t="n"/>
      <c r="AA758" s="102" t="n"/>
      <c r="AB758" s="102" t="n"/>
      <c r="AC758" s="102" t="n"/>
      <c r="AD758" s="102" t="n"/>
    </row>
    <row r="759" ht="15.75" customHeight="1" s="205">
      <c r="A759" s="102" t="n"/>
      <c r="B759" s="142" t="n"/>
      <c r="C759" s="143" t="n"/>
      <c r="D759" s="143" t="n"/>
      <c r="E759" s="143" t="n"/>
      <c r="F759" s="143" t="n"/>
      <c r="G759" s="144" t="n"/>
      <c r="H759" s="145">
        <f>IF(K759&lt;&gt;"", HYPERLINK("https://chatgpt.com/?prompt=" &amp; SUBSTITUTE(SUBSTITUTE(K759, " ", "+"), "&amp;", "dan") &amp; "&amp;force-refresh=true&amp;timestamp=" &amp; TEXT(NOW(), "yyyymmddhhmmss"), "👉 Klik untuk Generate Script! 🔥"), "")</f>
        <v/>
      </c>
      <c r="I759" s="143" t="n"/>
      <c r="J759" s="146" t="n"/>
      <c r="K759" s="130">
        <f>IF(AND(B759&lt;&gt;"", C759&lt;&gt;"", D759&lt;&gt;"", E759&lt;&gt;"", F759&lt;&gt;"", G759&lt;&gt;"", J759&lt;&gt;"", 'CONTENT PILLAR MAPPING'!C662&lt;&gt;"", 'CONTENT PILLAR MAPPING'!E662&lt;&gt;"", 'CONTENT PILLAR MAPPING'!F662&lt;&gt;"", 'CONTENT PILLAR MAPPING'!C665&lt;&gt;"", 'CONTENT PILLAR MAPPING'!C670&lt;&gt;"", 'CONTENT PILLAR MAPPING'!D670&lt;&gt;"", 'CONTENT PILLAR MAPPING'!E670&lt;&gt;"", 'CONTENT PILLAR MAPPING'!D678&lt;&gt;"", 'CONTENT PILLAR MAPPING'!D679&lt;&gt;""),
CONCATENATE(
"Sebagai seorang top konten kreator dengan niche utama '", 'CONTENT PILLAR MAPPING'!C662, "', spesifik kategori '", 'CONTENT PILLAR MAPPING'!E662, "', dan super spesifik '", 'CONTENT PILLAR MAPPING'!F662, "', yang dikenal sebagai '", 'CONTENT PILLAR MAPPING'!C665, "'.", CHAR(10),
"Saya memiliki Tone of Voice: '", 'CONTENT PILLAR MAPPING'!C670, "', Brand Archetype: '", 'CONTENT PILLAR MAPPING'!D670, "', dan Deskripsi Gaya Komunikasi: '", 'CONTENT PILLAR MAPPING'!E670, "'.", CHAR(10),
"Target audiens saya adalah: '", 'CONTENT PILLAR MAPPING'!D678, "', dengan segmentasi audiens: '", 'CONTENT PILLAR MAPPING'!D679, "'.", CHAR(10), CHAR(10),
"Mohon buatkan script konten yang **sangat powerful, menarik, inovatif, dan siap pakai** dengan judul ide '", B759, "'.", CHAR(10),
"Konten ini memiliki pilar '", C759, "', nilai tambah utama '", F759, "', dan akan menggunakan storytelling framework '", G759, "'.", CHAR(10),
"Gambaran singkat ide kontennya adalah: '", J759, "'.", CHAR(10),
"Konten ini akan diunggah di platform '", E759, "' dengan format '", D759,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MAPPING'!C665, "'.** Sesuaikan dengan gaya komunikasi saya, dengan fokus pada nilai tambah '", F759,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MAPPING'!D678, ", khusus ", 'CONTENT PILLAR MAPPING'!D679, ") dan membantu mereka menyelesaikan masalah atau mencapai tujuan mereka.", CHAR(10),
"✔ Membantuku membangun personal branding yang kuat dan sustainable, sesuai dengan Positioning saya sebagai '", 'CONTENT PILLAR MAPPING'!C665, "' dan Brand Archetype '", 'CONTENT PILLAR MAPPING'!D670, "'.", CHAR(10),
"✔ Kemas dalam bentuk tabel agar rapi, mudah di baca dan dipahami, dengan kolom 'Judul Konten', 'Pilar', 'Format', 'Draft Script', 'CTA', 'Saran Visual', dan 'Full Caption'. (Kosongkan kolom Link Prompt jika ada)."
),
"")</f>
        <v/>
      </c>
      <c r="L759" s="91" t="n"/>
      <c r="M759" s="91" t="n"/>
      <c r="N759" s="102" t="n"/>
      <c r="O759" s="102" t="n"/>
      <c r="P759" s="102" t="n"/>
      <c r="Q759" s="102" t="n"/>
      <c r="R759" s="102" t="n"/>
      <c r="S759" s="102" t="n"/>
      <c r="T759" s="102" t="n"/>
      <c r="U759" s="102" t="n"/>
      <c r="V759" s="102" t="n"/>
      <c r="W759" s="102" t="n"/>
      <c r="X759" s="102" t="n"/>
      <c r="Y759" s="102" t="n"/>
      <c r="Z759" s="102" t="n"/>
      <c r="AA759" s="102" t="n"/>
      <c r="AB759" s="102" t="n"/>
      <c r="AC759" s="102" t="n"/>
      <c r="AD759" s="102" t="n"/>
    </row>
    <row r="760" ht="15.75" customHeight="1" s="205">
      <c r="A760" s="102" t="n"/>
      <c r="B760" s="147" t="n"/>
      <c r="C760" s="144" t="n"/>
      <c r="D760" s="144" t="n"/>
      <c r="E760" s="144" t="n"/>
      <c r="F760" s="144" t="n"/>
      <c r="G760" s="144" t="n"/>
      <c r="H760" s="141">
        <f>IF(K760&lt;&gt;"", HYPERLINK("https://chatgpt.com/?prompt=" &amp; SUBSTITUTE(SUBSTITUTE(K760, " ", "+"), "&amp;", "dan") &amp; "&amp;force-refresh=true&amp;timestamp=" &amp; TEXT(NOW(), "yyyymmddhhmmss"), "👉 Klik untuk Generate Script! 🔥"), "")</f>
        <v/>
      </c>
      <c r="I760" s="144" t="n"/>
      <c r="J760" s="148" t="n"/>
      <c r="K760" s="140">
        <f>IF(AND(B760&lt;&gt;"", C760&lt;&gt;"", D760&lt;&gt;"", E760&lt;&gt;"", F760&lt;&gt;"", G760&lt;&gt;"", J760&lt;&gt;"", 'CONTENT PILLAR MAPPING'!C662&lt;&gt;"", 'CONTENT PILLAR MAPPING'!E662&lt;&gt;"", 'CONTENT PILLAR MAPPING'!F662&lt;&gt;"", 'CONTENT PILLAR MAPPING'!C665&lt;&gt;"", 'CONTENT PILLAR MAPPING'!C670&lt;&gt;"", 'CONTENT PILLAR MAPPING'!D670&lt;&gt;"", 'CONTENT PILLAR MAPPING'!E670&lt;&gt;"", 'CONTENT PILLAR MAPPING'!D678&lt;&gt;"", 'CONTENT PILLAR MAPPING'!D679&lt;&gt;""),
CONCATENATE(
"Sebagai seorang top konten kreator dengan niche utama '", 'CONTENT PILLAR MAPPING'!C662, "', spesifik kategori '", 'CONTENT PILLAR MAPPING'!E662, "', dan super spesifik '", 'CONTENT PILLAR MAPPING'!F662, "', yang dikenal sebagai '", 'CONTENT PILLAR MAPPING'!C665, "'.", CHAR(10),
"Saya memiliki Tone of Voice: '", 'CONTENT PILLAR MAPPING'!C670, "', Brand Archetype: '", 'CONTENT PILLAR MAPPING'!D670, "', dan Deskripsi Gaya Komunikasi: '", 'CONTENT PILLAR MAPPING'!E670, "'.", CHAR(10),
"Target audiens saya adalah: '", 'CONTENT PILLAR MAPPING'!D678, "', dengan segmentasi audiens: '", 'CONTENT PILLAR MAPPING'!D679, "'.", CHAR(10), CHAR(10),
"Mohon buatkan script konten yang **sangat powerful, menarik, inovatif, dan siap pakai** dengan judul ide '", B760, "'.", CHAR(10),
"Konten ini memiliki pilar '", C760, "', nilai tambah utama '", F760, "', dan akan menggunakan storytelling framework '", G760, "'.", CHAR(10),
"Gambaran singkat ide kontennya adalah: '", J760, "'.", CHAR(10),
"Konten ini akan diunggah di platform '", E760, "' dengan format '", D760,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MAPPING'!C665, "'.** Sesuaikan dengan gaya komunikasi saya, dengan fokus pada nilai tambah '", F760,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MAPPING'!D678, ", khusus ", 'CONTENT PILLAR MAPPING'!D679, ") dan membantu mereka menyelesaikan masalah atau mencapai tujuan mereka.", CHAR(10),
"✔ Membantuku membangun personal branding yang kuat dan sustainable, sesuai dengan Positioning saya sebagai '", 'CONTENT PILLAR MAPPING'!C665, "' dan Brand Archetype '", 'CONTENT PILLAR MAPPING'!D670, "'.", CHAR(10),
"✔ Kemas dalam bentuk tabel agar rapi, mudah di baca dan dipahami, dengan kolom 'Judul Konten', 'Pilar', 'Format', 'Draft Script', 'CTA', 'Saran Visual', dan 'Full Caption'. (Kosongkan kolom Link Prompt jika ada)."
),
"")</f>
        <v/>
      </c>
      <c r="L760" s="199" t="n"/>
      <c r="M760" s="199" t="n"/>
      <c r="N760" s="102" t="n"/>
      <c r="O760" s="102" t="n"/>
      <c r="P760" s="102" t="n"/>
      <c r="Q760" s="102" t="n"/>
      <c r="R760" s="102" t="n"/>
      <c r="S760" s="102" t="n"/>
      <c r="T760" s="102" t="n"/>
      <c r="U760" s="102" t="n"/>
      <c r="V760" s="102" t="n"/>
      <c r="W760" s="102" t="n"/>
      <c r="X760" s="102" t="n"/>
      <c r="Y760" s="102" t="n"/>
      <c r="Z760" s="102" t="n"/>
      <c r="AA760" s="102" t="n"/>
      <c r="AB760" s="102" t="n"/>
      <c r="AC760" s="102" t="n"/>
      <c r="AD760" s="102" t="n"/>
    </row>
    <row r="761" ht="15.75" customHeight="1" s="205">
      <c r="A761" s="102" t="n"/>
      <c r="B761" s="142" t="n"/>
      <c r="C761" s="143" t="n"/>
      <c r="D761" s="143" t="n"/>
      <c r="E761" s="143" t="n"/>
      <c r="F761" s="143" t="n"/>
      <c r="G761" s="144" t="n"/>
      <c r="H761" s="145">
        <f>IF(K761&lt;&gt;"", HYPERLINK("https://chatgpt.com/?prompt=" &amp; SUBSTITUTE(SUBSTITUTE(K761, " ", "+"), "&amp;", "dan") &amp; "&amp;force-refresh=true&amp;timestamp=" &amp; TEXT(NOW(), "yyyymmddhhmmss"), "👉 Klik untuk Generate Script! 🔥"), "")</f>
        <v/>
      </c>
      <c r="I761" s="143" t="n"/>
      <c r="J761" s="146" t="n"/>
      <c r="K761" s="130">
        <f>IF(AND(B761&lt;&gt;"", C761&lt;&gt;"", D761&lt;&gt;"", E761&lt;&gt;"", F761&lt;&gt;"", G761&lt;&gt;"", J761&lt;&gt;"", 'CONTENT PILLAR MAPPING'!C664&lt;&gt;"", 'CONTENT PILLAR MAPPING'!E664&lt;&gt;"", 'CONTENT PILLAR MAPPING'!F664&lt;&gt;"", 'CONTENT PILLAR MAPPING'!C667&lt;&gt;"", 'CONTENT PILLAR MAPPING'!C672&lt;&gt;"", 'CONTENT PILLAR MAPPING'!D672&lt;&gt;"", 'CONTENT PILLAR MAPPING'!E672&lt;&gt;"", 'CONTENT PILLAR MAPPING'!D680&lt;&gt;"", 'CONTENT PILLAR MAPPING'!D681&lt;&gt;""),
CONCATENATE(
"Sebagai seorang top konten kreator dengan niche utama '", 'CONTENT PILLAR MAPPING'!C664, "', spesifik kategori '", 'CONTENT PILLAR MAPPING'!E664, "', dan super spesifik '", 'CONTENT PILLAR MAPPING'!F664, "', yang dikenal sebagai '", 'CONTENT PILLAR MAPPING'!C667, "'.", CHAR(10),
"Saya memiliki Tone of Voice: '", 'CONTENT PILLAR MAPPING'!C672, "', Brand Archetype: '", 'CONTENT PILLAR MAPPING'!D672, "', dan Deskripsi Gaya Komunikasi: '", 'CONTENT PILLAR MAPPING'!E672, "'.", CHAR(10),
"Target audiens saya adalah: '", 'CONTENT PILLAR MAPPING'!D680, "', dengan segmentasi audiens: '", 'CONTENT PILLAR MAPPING'!D681, "'.", CHAR(10), CHAR(10),
"Mohon buatkan script konten yang **sangat powerful, menarik, inovatif, dan siap pakai** dengan judul ide '", B761, "'.", CHAR(10),
"Konten ini memiliki pilar '", C761, "', nilai tambah utama '", F761, "', dan akan menggunakan storytelling framework '", G761, "'.", CHAR(10),
"Gambaran singkat ide kontennya adalah: '", J761, "'.", CHAR(10),
"Konten ini akan diunggah di platform '", E761, "' dengan format '", D761,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MAPPING'!C667, "'.** Sesuaikan dengan gaya komunikasi saya, dengan fokus pada nilai tambah '", F761,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MAPPING'!D680, ", khusus ", 'CONTENT PILLAR MAPPING'!D681, ") dan membantu mereka menyelesaikan masalah atau mencapai tujuan mereka.", CHAR(10),
"✔ Membantuku membangun personal branding yang kuat dan sustainable, sesuai dengan Positioning saya sebagai '", 'CONTENT PILLAR MAPPING'!C667, "' dan Brand Archetype '", 'CONTENT PILLAR MAPPING'!D672, "'.", CHAR(10),
"✔ Kemas dalam bentuk tabel agar rapi, mudah di baca dan dipahami, dengan kolom 'Judul Konten', 'Pilar', 'Format', 'Draft Script', 'CTA', 'Saran Visual', dan 'Full Caption'. (Kosongkan kolom Link Prompt jika ada)."
),
"")</f>
        <v/>
      </c>
      <c r="L761" s="91" t="n"/>
      <c r="M761" s="91" t="n"/>
      <c r="N761" s="102" t="n"/>
      <c r="O761" s="102" t="n"/>
      <c r="P761" s="102" t="n"/>
      <c r="Q761" s="102" t="n"/>
      <c r="R761" s="102" t="n"/>
      <c r="S761" s="102" t="n"/>
      <c r="T761" s="102" t="n"/>
      <c r="U761" s="102" t="n"/>
      <c r="V761" s="102" t="n"/>
      <c r="W761" s="102" t="n"/>
      <c r="X761" s="102" t="n"/>
      <c r="Y761" s="102" t="n"/>
      <c r="Z761" s="102" t="n"/>
      <c r="AA761" s="102" t="n"/>
      <c r="AB761" s="102" t="n"/>
      <c r="AC761" s="102" t="n"/>
      <c r="AD761" s="102" t="n"/>
    </row>
    <row r="762" ht="15.75" customHeight="1" s="205">
      <c r="A762" s="102" t="n"/>
      <c r="B762" s="147" t="n"/>
      <c r="C762" s="144" t="n"/>
      <c r="D762" s="144" t="n"/>
      <c r="E762" s="144" t="n"/>
      <c r="F762" s="144" t="n"/>
      <c r="G762" s="144" t="n"/>
      <c r="H762" s="141">
        <f>IF(K762&lt;&gt;"", HYPERLINK("https://chatgpt.com/?prompt=" &amp; SUBSTITUTE(SUBSTITUTE(K762, " ", "+"), "&amp;", "dan") &amp; "&amp;force-refresh=true&amp;timestamp=" &amp; TEXT(NOW(), "yyyymmddhhmmss"), "👉 Klik untuk Generate Script! 🔥"), "")</f>
        <v/>
      </c>
      <c r="I762" s="144" t="n"/>
      <c r="J762" s="148" t="n"/>
      <c r="K762" s="140">
        <f>IF(AND(B762&lt;&gt;"", C762&lt;&gt;"", D762&lt;&gt;"", E762&lt;&gt;"", F762&lt;&gt;"", G762&lt;&gt;"", J762&lt;&gt;"", 'CONTENT PILLAR MAPPING'!C664&lt;&gt;"", 'CONTENT PILLAR MAPPING'!E664&lt;&gt;"", 'CONTENT PILLAR MAPPING'!F664&lt;&gt;"", 'CONTENT PILLAR MAPPING'!C667&lt;&gt;"", 'CONTENT PILLAR MAPPING'!C672&lt;&gt;"", 'CONTENT PILLAR MAPPING'!D672&lt;&gt;"", 'CONTENT PILLAR MAPPING'!E672&lt;&gt;"", 'CONTENT PILLAR MAPPING'!D680&lt;&gt;"", 'CONTENT PILLAR MAPPING'!D681&lt;&gt;""),
CONCATENATE(
"Sebagai seorang top konten kreator dengan niche utama '", 'CONTENT PILLAR MAPPING'!C664, "', spesifik kategori '", 'CONTENT PILLAR MAPPING'!E664, "', dan super spesifik '", 'CONTENT PILLAR MAPPING'!F664, "', yang dikenal sebagai '", 'CONTENT PILLAR MAPPING'!C667, "'.", CHAR(10),
"Saya memiliki Tone of Voice: '", 'CONTENT PILLAR MAPPING'!C672, "', Brand Archetype: '", 'CONTENT PILLAR MAPPING'!D672, "', dan Deskripsi Gaya Komunikasi: '", 'CONTENT PILLAR MAPPING'!E672, "'.", CHAR(10),
"Target audiens saya adalah: '", 'CONTENT PILLAR MAPPING'!D680, "', dengan segmentasi audiens: '", 'CONTENT PILLAR MAPPING'!D681, "'.", CHAR(10), CHAR(10),
"Mohon buatkan script konten yang **sangat powerful, menarik, inovatif, dan siap pakai** dengan judul ide '", B762, "'.", CHAR(10),
"Konten ini memiliki pilar '", C762, "', nilai tambah utama '", F762, "', dan akan menggunakan storytelling framework '", G762, "'.", CHAR(10),
"Gambaran singkat ide kontennya adalah: '", J762, "'.", CHAR(10),
"Konten ini akan diunggah di platform '", E762, "' dengan format '", D762,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MAPPING'!C667, "'.** Sesuaikan dengan gaya komunikasi saya, dengan fokus pada nilai tambah '", F762,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MAPPING'!D680, ", khusus ", 'CONTENT PILLAR MAPPING'!D681, ") dan membantu mereka menyelesaikan masalah atau mencapai tujuan mereka.", CHAR(10),
"✔ Membantuku membangun personal branding yang kuat dan sustainable, sesuai dengan Positioning saya sebagai '", 'CONTENT PILLAR MAPPING'!C667, "' dan Brand Archetype '", 'CONTENT PILLAR MAPPING'!D672, "'.", CHAR(10),
"✔ Kemas dalam bentuk tabel agar rapi, mudah di baca dan dipahami, dengan kolom 'Judul Konten', 'Pilar', 'Format', 'Draft Script', 'CTA', 'Saran Visual', dan 'Full Caption'. (Kosongkan kolom Link Prompt jika ada)."
),
"")</f>
        <v/>
      </c>
      <c r="L762" s="199" t="n"/>
      <c r="M762" s="199" t="n"/>
      <c r="N762" s="102" t="n"/>
      <c r="O762" s="102" t="n"/>
      <c r="P762" s="102" t="n"/>
      <c r="Q762" s="102" t="n"/>
      <c r="R762" s="102" t="n"/>
      <c r="S762" s="102" t="n"/>
      <c r="T762" s="102" t="n"/>
      <c r="U762" s="102" t="n"/>
      <c r="V762" s="102" t="n"/>
      <c r="W762" s="102" t="n"/>
      <c r="X762" s="102" t="n"/>
      <c r="Y762" s="102" t="n"/>
      <c r="Z762" s="102" t="n"/>
      <c r="AA762" s="102" t="n"/>
      <c r="AB762" s="102" t="n"/>
      <c r="AC762" s="102" t="n"/>
      <c r="AD762" s="102" t="n"/>
    </row>
    <row r="763" ht="15.75" customHeight="1" s="205">
      <c r="A763" s="102" t="n"/>
      <c r="B763" s="142" t="n"/>
      <c r="C763" s="143" t="n"/>
      <c r="D763" s="143" t="n"/>
      <c r="E763" s="143" t="n"/>
      <c r="F763" s="143" t="n"/>
      <c r="G763" s="144" t="n"/>
      <c r="H763" s="145">
        <f>IF(K763&lt;&gt;"", HYPERLINK("https://chatgpt.com/?prompt=" &amp; SUBSTITUTE(SUBSTITUTE(K763, " ", "+"), "&amp;", "dan") &amp; "&amp;force-refresh=true&amp;timestamp=" &amp; TEXT(NOW(), "yyyymmddhhmmss"), "👉 Klik untuk Generate Script! 🔥"), "")</f>
        <v/>
      </c>
      <c r="I763" s="143" t="n"/>
      <c r="J763" s="146" t="n"/>
      <c r="K763" s="130">
        <f>IF(AND(B763&lt;&gt;"", C763&lt;&gt;"", D763&lt;&gt;"", E763&lt;&gt;"", F763&lt;&gt;"", G763&lt;&gt;"", J763&lt;&gt;"", 'CONTENT PILLAR MAPPING'!C666&lt;&gt;"", 'CONTENT PILLAR MAPPING'!E666&lt;&gt;"", 'CONTENT PILLAR MAPPING'!F666&lt;&gt;"", 'CONTENT PILLAR MAPPING'!C669&lt;&gt;"", 'CONTENT PILLAR MAPPING'!C674&lt;&gt;"", 'CONTENT PILLAR MAPPING'!D674&lt;&gt;"", 'CONTENT PILLAR MAPPING'!E674&lt;&gt;"", 'CONTENT PILLAR MAPPING'!D682&lt;&gt;"", 'CONTENT PILLAR MAPPING'!D683&lt;&gt;""),
CONCATENATE(
"Sebagai seorang top konten kreator dengan niche utama '", 'CONTENT PILLAR MAPPING'!C666, "', spesifik kategori '", 'CONTENT PILLAR MAPPING'!E666, "', dan super spesifik '", 'CONTENT PILLAR MAPPING'!F666, "', yang dikenal sebagai '", 'CONTENT PILLAR MAPPING'!C669, "'.", CHAR(10),
"Saya memiliki Tone of Voice: '", 'CONTENT PILLAR MAPPING'!C674, "', Brand Archetype: '", 'CONTENT PILLAR MAPPING'!D674, "', dan Deskripsi Gaya Komunikasi: '", 'CONTENT PILLAR MAPPING'!E674, "'.", CHAR(10),
"Target audiens saya adalah: '", 'CONTENT PILLAR MAPPING'!D682, "', dengan segmentasi audiens: '", 'CONTENT PILLAR MAPPING'!D683, "'.", CHAR(10), CHAR(10),
"Mohon buatkan script konten yang **sangat powerful, menarik, inovatif, dan siap pakai** dengan judul ide '", B763, "'.", CHAR(10),
"Konten ini memiliki pilar '", C763, "', nilai tambah utama '", F763, "', dan akan menggunakan storytelling framework '", G763, "'.", CHAR(10),
"Gambaran singkat ide kontennya adalah: '", J763, "'.", CHAR(10),
"Konten ini akan diunggah di platform '", E763, "' dengan format '", D763,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MAPPING'!C669, "'.** Sesuaikan dengan gaya komunikasi saya, dengan fokus pada nilai tambah '", F763,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MAPPING'!D682, ", khusus ", 'CONTENT PILLAR MAPPING'!D683, ") dan membantu mereka menyelesaikan masalah atau mencapai tujuan mereka.", CHAR(10),
"✔ Membantuku membangun personal branding yang kuat dan sustainable, sesuai dengan Positioning saya sebagai '", 'CONTENT PILLAR MAPPING'!C669, "' dan Brand Archetype '", 'CONTENT PILLAR MAPPING'!D674, "'.", CHAR(10),
"✔ Kemas dalam bentuk tabel agar rapi, mudah di baca dan dipahami, dengan kolom 'Judul Konten', 'Pilar', 'Format', 'Draft Script', 'CTA', 'Saran Visual', dan 'Full Caption'. (Kosongkan kolom Link Prompt jika ada)."
),
"")</f>
        <v/>
      </c>
      <c r="L763" s="91" t="n"/>
      <c r="M763" s="91" t="n"/>
      <c r="N763" s="102" t="n"/>
      <c r="O763" s="102" t="n"/>
      <c r="P763" s="102" t="n"/>
      <c r="Q763" s="102" t="n"/>
      <c r="R763" s="102" t="n"/>
      <c r="S763" s="102" t="n"/>
      <c r="T763" s="102" t="n"/>
      <c r="U763" s="102" t="n"/>
      <c r="V763" s="102" t="n"/>
      <c r="W763" s="102" t="n"/>
      <c r="X763" s="102" t="n"/>
      <c r="Y763" s="102" t="n"/>
      <c r="Z763" s="102" t="n"/>
      <c r="AA763" s="102" t="n"/>
      <c r="AB763" s="102" t="n"/>
      <c r="AC763" s="102" t="n"/>
      <c r="AD763" s="102" t="n"/>
    </row>
    <row r="764" ht="15.75" customHeight="1" s="205">
      <c r="A764" s="102" t="n"/>
      <c r="B764" s="147" t="n"/>
      <c r="C764" s="144" t="n"/>
      <c r="D764" s="144" t="n"/>
      <c r="E764" s="144" t="n"/>
      <c r="F764" s="144" t="n"/>
      <c r="G764" s="144" t="n"/>
      <c r="H764" s="141">
        <f>IF(K764&lt;&gt;"", HYPERLINK("https://chatgpt.com/?prompt=" &amp; SUBSTITUTE(SUBSTITUTE(K764, " ", "+"), "&amp;", "dan") &amp; "&amp;force-refresh=true&amp;timestamp=" &amp; TEXT(NOW(), "yyyymmddhhmmss"), "👉 Klik untuk Generate Script! 🔥"), "")</f>
        <v/>
      </c>
      <c r="I764" s="144" t="n"/>
      <c r="J764" s="148" t="n"/>
      <c r="K764" s="140">
        <f>IF(AND(B764&lt;&gt;"", C764&lt;&gt;"", D764&lt;&gt;"", E764&lt;&gt;"", F764&lt;&gt;"", G764&lt;&gt;"", J764&lt;&gt;"", 'CONTENT PILLAR MAPPING'!C666&lt;&gt;"", 'CONTENT PILLAR MAPPING'!E666&lt;&gt;"", 'CONTENT PILLAR MAPPING'!F666&lt;&gt;"", 'CONTENT PILLAR MAPPING'!C669&lt;&gt;"", 'CONTENT PILLAR MAPPING'!C674&lt;&gt;"", 'CONTENT PILLAR MAPPING'!D674&lt;&gt;"", 'CONTENT PILLAR MAPPING'!E674&lt;&gt;"", 'CONTENT PILLAR MAPPING'!D682&lt;&gt;"", 'CONTENT PILLAR MAPPING'!D683&lt;&gt;""),
CONCATENATE(
"Sebagai seorang top konten kreator dengan niche utama '", 'CONTENT PILLAR MAPPING'!C666, "', spesifik kategori '", 'CONTENT PILLAR MAPPING'!E666, "', dan super spesifik '", 'CONTENT PILLAR MAPPING'!F666, "', yang dikenal sebagai '", 'CONTENT PILLAR MAPPING'!C669, "'.", CHAR(10),
"Saya memiliki Tone of Voice: '", 'CONTENT PILLAR MAPPING'!C674, "', Brand Archetype: '", 'CONTENT PILLAR MAPPING'!D674, "', dan Deskripsi Gaya Komunikasi: '", 'CONTENT PILLAR MAPPING'!E674, "'.", CHAR(10),
"Target audiens saya adalah: '", 'CONTENT PILLAR MAPPING'!D682, "', dengan segmentasi audiens: '", 'CONTENT PILLAR MAPPING'!D683, "'.", CHAR(10), CHAR(10),
"Mohon buatkan script konten yang **sangat powerful, menarik, inovatif, dan siap pakai** dengan judul ide '", B764, "'.", CHAR(10),
"Konten ini memiliki pilar '", C764, "', nilai tambah utama '", F764, "', dan akan menggunakan storytelling framework '", G764, "'.", CHAR(10),
"Gambaran singkat ide kontennya adalah: '", J764, "'.", CHAR(10),
"Konten ini akan diunggah di platform '", E764, "' dengan format '", D764,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MAPPING'!C669, "'.** Sesuaikan dengan gaya komunikasi saya, dengan fokus pada nilai tambah '", F764,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MAPPING'!D682, ", khusus ", 'CONTENT PILLAR MAPPING'!D683, ") dan membantu mereka menyelesaikan masalah atau mencapai tujuan mereka.", CHAR(10),
"✔ Membantuku membangun personal branding yang kuat dan sustainable, sesuai dengan Positioning saya sebagai '", 'CONTENT PILLAR MAPPING'!C669, "' dan Brand Archetype '", 'CONTENT PILLAR MAPPING'!D674, "'.", CHAR(10),
"✔ Kemas dalam bentuk tabel agar rapi, mudah di baca dan dipahami, dengan kolom 'Judul Konten', 'Pilar', 'Format', 'Draft Script', 'CTA', 'Saran Visual', dan 'Full Caption'. (Kosongkan kolom Link Prompt jika ada)."
),
"")</f>
        <v/>
      </c>
      <c r="L764" s="199" t="n"/>
      <c r="M764" s="199" t="n"/>
      <c r="N764" s="102" t="n"/>
      <c r="O764" s="102" t="n"/>
      <c r="P764" s="102" t="n"/>
      <c r="Q764" s="102" t="n"/>
      <c r="R764" s="102" t="n"/>
      <c r="S764" s="102" t="n"/>
      <c r="T764" s="102" t="n"/>
      <c r="U764" s="102" t="n"/>
      <c r="V764" s="102" t="n"/>
      <c r="W764" s="102" t="n"/>
      <c r="X764" s="102" t="n"/>
      <c r="Y764" s="102" t="n"/>
      <c r="Z764" s="102" t="n"/>
      <c r="AA764" s="102" t="n"/>
      <c r="AB764" s="102" t="n"/>
      <c r="AC764" s="102" t="n"/>
      <c r="AD764" s="102" t="n"/>
    </row>
    <row r="765" ht="15.75" customHeight="1" s="205">
      <c r="A765" s="102" t="n"/>
      <c r="B765" s="142" t="n"/>
      <c r="C765" s="143" t="n"/>
      <c r="D765" s="143" t="n"/>
      <c r="E765" s="143" t="n"/>
      <c r="F765" s="143" t="n"/>
      <c r="G765" s="144" t="n"/>
      <c r="H765" s="145">
        <f>IF(K765&lt;&gt;"", HYPERLINK("https://chatgpt.com/?prompt=" &amp; SUBSTITUTE(SUBSTITUTE(K765, " ", "+"), "&amp;", "dan") &amp; "&amp;force-refresh=true&amp;timestamp=" &amp; TEXT(NOW(), "yyyymmddhhmmss"), "👉 Klik untuk Generate Script! 🔥"), "")</f>
        <v/>
      </c>
      <c r="I765" s="143" t="n"/>
      <c r="J765" s="146" t="n"/>
      <c r="K765" s="130">
        <f>IF(AND(B765&lt;&gt;"", C765&lt;&gt;"", D765&lt;&gt;"", E765&lt;&gt;"", F765&lt;&gt;"", G765&lt;&gt;"", J765&lt;&gt;"", 'CONTENT PILLAR MAPPING'!C668&lt;&gt;"", 'CONTENT PILLAR MAPPING'!E668&lt;&gt;"", 'CONTENT PILLAR MAPPING'!F668&lt;&gt;"", 'CONTENT PILLAR MAPPING'!C671&lt;&gt;"", 'CONTENT PILLAR MAPPING'!C676&lt;&gt;"", 'CONTENT PILLAR MAPPING'!D676&lt;&gt;"", 'CONTENT PILLAR MAPPING'!E676&lt;&gt;"", 'CONTENT PILLAR MAPPING'!D684&lt;&gt;"", 'CONTENT PILLAR MAPPING'!D685&lt;&gt;""),
CONCATENATE(
"Sebagai seorang top konten kreator dengan niche utama '", 'CONTENT PILLAR MAPPING'!C668, "', spesifik kategori '", 'CONTENT PILLAR MAPPING'!E668, "', dan super spesifik '", 'CONTENT PILLAR MAPPING'!F668, "', yang dikenal sebagai '", 'CONTENT PILLAR MAPPING'!C671, "'.", CHAR(10),
"Saya memiliki Tone of Voice: '", 'CONTENT PILLAR MAPPING'!C676, "', Brand Archetype: '", 'CONTENT PILLAR MAPPING'!D676, "', dan Deskripsi Gaya Komunikasi: '", 'CONTENT PILLAR MAPPING'!E676, "'.", CHAR(10),
"Target audiens saya adalah: '", 'CONTENT PILLAR MAPPING'!D684, "', dengan segmentasi audiens: '", 'CONTENT PILLAR MAPPING'!D685, "'.", CHAR(10), CHAR(10),
"Mohon buatkan script konten yang **sangat powerful, menarik, inovatif, dan siap pakai** dengan judul ide '", B765, "'.", CHAR(10),
"Konten ini memiliki pilar '", C765, "', nilai tambah utama '", F765, "', dan akan menggunakan storytelling framework '", G765, "'.", CHAR(10),
"Gambaran singkat ide kontennya adalah: '", J765, "'.", CHAR(10),
"Konten ini akan diunggah di platform '", E765, "' dengan format '", D765,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MAPPING'!C671, "'.** Sesuaikan dengan gaya komunikasi saya, dengan fokus pada nilai tambah '", F765,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MAPPING'!D684, ", khusus ", 'CONTENT PILLAR MAPPING'!D685, ") dan membantu mereka menyelesaikan masalah atau mencapai tujuan mereka.", CHAR(10),
"✔ Membantuku membangun personal branding yang kuat dan sustainable, sesuai dengan Positioning saya sebagai '", 'CONTENT PILLAR MAPPING'!C671, "' dan Brand Archetype '", 'CONTENT PILLAR MAPPING'!D676, "'.", CHAR(10),
"✔ Kemas dalam bentuk tabel agar rapi, mudah di baca dan dipahami, dengan kolom 'Judul Konten', 'Pilar', 'Format', 'Draft Script', 'CTA', 'Saran Visual', dan 'Full Caption'. (Kosongkan kolom Link Prompt jika ada)."
),
"")</f>
        <v/>
      </c>
      <c r="L765" s="91" t="n"/>
      <c r="M765" s="91" t="n"/>
      <c r="N765" s="102" t="n"/>
      <c r="O765" s="102" t="n"/>
      <c r="P765" s="102" t="n"/>
      <c r="Q765" s="102" t="n"/>
      <c r="R765" s="102" t="n"/>
      <c r="S765" s="102" t="n"/>
      <c r="T765" s="102" t="n"/>
      <c r="U765" s="102" t="n"/>
      <c r="V765" s="102" t="n"/>
      <c r="W765" s="102" t="n"/>
      <c r="X765" s="102" t="n"/>
      <c r="Y765" s="102" t="n"/>
      <c r="Z765" s="102" t="n"/>
      <c r="AA765" s="102" t="n"/>
      <c r="AB765" s="102" t="n"/>
      <c r="AC765" s="102" t="n"/>
      <c r="AD765" s="102" t="n"/>
    </row>
    <row r="766" ht="15.75" customHeight="1" s="205">
      <c r="A766" s="102" t="n"/>
      <c r="B766" s="147" t="n"/>
      <c r="C766" s="144" t="n"/>
      <c r="D766" s="144" t="n"/>
      <c r="E766" s="144" t="n"/>
      <c r="F766" s="144" t="n"/>
      <c r="G766" s="144" t="n"/>
      <c r="H766" s="141">
        <f>IF(K766&lt;&gt;"", HYPERLINK("https://chatgpt.com/?prompt=" &amp; SUBSTITUTE(SUBSTITUTE(K766, " ", "+"), "&amp;", "dan") &amp; "&amp;force-refresh=true&amp;timestamp=" &amp; TEXT(NOW(), "yyyymmddhhmmss"), "👉 Klik untuk Generate Script! 🔥"), "")</f>
        <v/>
      </c>
      <c r="I766" s="144" t="n"/>
      <c r="J766" s="148" t="n"/>
      <c r="K766" s="140">
        <f>IF(AND(B766&lt;&gt;"", C766&lt;&gt;"", D766&lt;&gt;"", E766&lt;&gt;"", F766&lt;&gt;"", G766&lt;&gt;"", J766&lt;&gt;"", 'CONTENT PILLAR MAPPING'!C668&lt;&gt;"", 'CONTENT PILLAR MAPPING'!E668&lt;&gt;"", 'CONTENT PILLAR MAPPING'!F668&lt;&gt;"", 'CONTENT PILLAR MAPPING'!C671&lt;&gt;"", 'CONTENT PILLAR MAPPING'!C676&lt;&gt;"", 'CONTENT PILLAR MAPPING'!D676&lt;&gt;"", 'CONTENT PILLAR MAPPING'!E676&lt;&gt;"", 'CONTENT PILLAR MAPPING'!D684&lt;&gt;"", 'CONTENT PILLAR MAPPING'!D685&lt;&gt;""),
CONCATENATE(
"Sebagai seorang top konten kreator dengan niche utama '", 'CONTENT PILLAR MAPPING'!C668, "', spesifik kategori '", 'CONTENT PILLAR MAPPING'!E668, "', dan super spesifik '", 'CONTENT PILLAR MAPPING'!F668, "', yang dikenal sebagai '", 'CONTENT PILLAR MAPPING'!C671, "'.", CHAR(10),
"Saya memiliki Tone of Voice: '", 'CONTENT PILLAR MAPPING'!C676, "', Brand Archetype: '", 'CONTENT PILLAR MAPPING'!D676, "', dan Deskripsi Gaya Komunikasi: '", 'CONTENT PILLAR MAPPING'!E676, "'.", CHAR(10),
"Target audiens saya adalah: '", 'CONTENT PILLAR MAPPING'!D684, "', dengan segmentasi audiens: '", 'CONTENT PILLAR MAPPING'!D685, "'.", CHAR(10), CHAR(10),
"Mohon buatkan script konten yang **sangat powerful, menarik, inovatif, dan siap pakai** dengan judul ide '", B766, "'.", CHAR(10),
"Konten ini memiliki pilar '", C766, "', nilai tambah utama '", F766, "', dan akan menggunakan storytelling framework '", G766, "'.", CHAR(10),
"Gambaran singkat ide kontennya adalah: '", J766, "'.", CHAR(10),
"Konten ini akan diunggah di platform '", E766, "' dengan format '", D766,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MAPPING'!C671, "'.** Sesuaikan dengan gaya komunikasi saya, dengan fokus pada nilai tambah '", F766,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MAPPING'!D684, ", khusus ", 'CONTENT PILLAR MAPPING'!D685, ") dan membantu mereka menyelesaikan masalah atau mencapai tujuan mereka.", CHAR(10),
"✔ Membantuku membangun personal branding yang kuat dan sustainable, sesuai dengan Positioning saya sebagai '", 'CONTENT PILLAR MAPPING'!C671, "' dan Brand Archetype '", 'CONTENT PILLAR MAPPING'!D676, "'.", CHAR(10),
"✔ Kemas dalam bentuk tabel agar rapi, mudah di baca dan dipahami, dengan kolom 'Judul Konten', 'Pilar', 'Format', 'Draft Script', 'CTA', 'Saran Visual', dan 'Full Caption'. (Kosongkan kolom Link Prompt jika ada)."
),
"")</f>
        <v/>
      </c>
      <c r="L766" s="199" t="n"/>
      <c r="M766" s="199" t="n"/>
      <c r="N766" s="102" t="n"/>
      <c r="O766" s="102" t="n"/>
      <c r="P766" s="102" t="n"/>
      <c r="Q766" s="102" t="n"/>
      <c r="R766" s="102" t="n"/>
      <c r="S766" s="102" t="n"/>
      <c r="T766" s="102" t="n"/>
      <c r="U766" s="102" t="n"/>
      <c r="V766" s="102" t="n"/>
      <c r="W766" s="102" t="n"/>
      <c r="X766" s="102" t="n"/>
      <c r="Y766" s="102" t="n"/>
      <c r="Z766" s="102" t="n"/>
      <c r="AA766" s="102" t="n"/>
      <c r="AB766" s="102" t="n"/>
      <c r="AC766" s="102" t="n"/>
      <c r="AD766" s="102" t="n"/>
    </row>
    <row r="767" ht="15.75" customHeight="1" s="205">
      <c r="A767" s="102" t="n"/>
      <c r="B767" s="142" t="n"/>
      <c r="C767" s="143" t="n"/>
      <c r="D767" s="143" t="n"/>
      <c r="E767" s="143" t="n"/>
      <c r="F767" s="143" t="n"/>
      <c r="G767" s="144" t="n"/>
      <c r="H767" s="145">
        <f>IF(K767&lt;&gt;"", HYPERLINK("https://chatgpt.com/?prompt=" &amp; SUBSTITUTE(SUBSTITUTE(K767, " ", "+"), "&amp;", "dan") &amp; "&amp;force-refresh=true&amp;timestamp=" &amp; TEXT(NOW(), "yyyymmddhhmmss"), "👉 Klik untuk Generate Script! 🔥"), "")</f>
        <v/>
      </c>
      <c r="I767" s="143" t="n"/>
      <c r="J767" s="146" t="n"/>
      <c r="K767" s="130">
        <f>IF(AND(B767&lt;&gt;"", C767&lt;&gt;"", D767&lt;&gt;"", E767&lt;&gt;"", F767&lt;&gt;"", G767&lt;&gt;"", J767&lt;&gt;"", 'CONTENT PILLAR MAPPING'!C670&lt;&gt;"", 'CONTENT PILLAR MAPPING'!E670&lt;&gt;"", 'CONTENT PILLAR MAPPING'!F670&lt;&gt;"", 'CONTENT PILLAR MAPPING'!C673&lt;&gt;"", 'CONTENT PILLAR MAPPING'!C678&lt;&gt;"", 'CONTENT PILLAR MAPPING'!D678&lt;&gt;"", 'CONTENT PILLAR MAPPING'!E678&lt;&gt;"", 'CONTENT PILLAR MAPPING'!D686&lt;&gt;"", 'CONTENT PILLAR MAPPING'!D687&lt;&gt;""),
CONCATENATE(
"Sebagai seorang top konten kreator dengan niche utama '", 'CONTENT PILLAR MAPPING'!C670, "', spesifik kategori '", 'CONTENT PILLAR MAPPING'!E670, "', dan super spesifik '", 'CONTENT PILLAR MAPPING'!F670, "', yang dikenal sebagai '", 'CONTENT PILLAR MAPPING'!C673, "'.", CHAR(10),
"Saya memiliki Tone of Voice: '", 'CONTENT PILLAR MAPPING'!C678, "', Brand Archetype: '", 'CONTENT PILLAR MAPPING'!D678, "', dan Deskripsi Gaya Komunikasi: '", 'CONTENT PILLAR MAPPING'!E678, "'.", CHAR(10),
"Target audiens saya adalah: '", 'CONTENT PILLAR MAPPING'!D686, "', dengan segmentasi audiens: '", 'CONTENT PILLAR MAPPING'!D687, "'.", CHAR(10), CHAR(10),
"Mohon buatkan script konten yang **sangat powerful, menarik, inovatif, dan siap pakai** dengan judul ide '", B767, "'.", CHAR(10),
"Konten ini memiliki pilar '", C767, "', nilai tambah utama '", F767, "', dan akan menggunakan storytelling framework '", G767, "'.", CHAR(10),
"Gambaran singkat ide kontennya adalah: '", J767, "'.", CHAR(10),
"Konten ini akan diunggah di platform '", E767, "' dengan format '", D767,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MAPPING'!C673, "'.** Sesuaikan dengan gaya komunikasi saya, dengan fokus pada nilai tambah '", F767,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MAPPING'!D686, ", khusus ", 'CONTENT PILLAR MAPPING'!D687, ") dan membantu mereka menyelesaikan masalah atau mencapai tujuan mereka.", CHAR(10),
"✔ Membantuku membangun personal branding yang kuat dan sustainable, sesuai dengan Positioning saya sebagai '", 'CONTENT PILLAR MAPPING'!C673, "' dan Brand Archetype '", 'CONTENT PILLAR MAPPING'!D678, "'.", CHAR(10),
"✔ Kemas dalam bentuk tabel agar rapi, mudah di baca dan dipahami, dengan kolom 'Judul Konten', 'Pilar', 'Format', 'Draft Script', 'CTA', 'Saran Visual', dan 'Full Caption'. (Kosongkan kolom Link Prompt jika ada)."
),
"")</f>
        <v/>
      </c>
      <c r="L767" s="91" t="n"/>
      <c r="M767" s="91" t="n"/>
      <c r="N767" s="102" t="n"/>
      <c r="O767" s="102" t="n"/>
      <c r="P767" s="102" t="n"/>
      <c r="Q767" s="102" t="n"/>
      <c r="R767" s="102" t="n"/>
      <c r="S767" s="102" t="n"/>
      <c r="T767" s="102" t="n"/>
      <c r="U767" s="102" t="n"/>
      <c r="V767" s="102" t="n"/>
      <c r="W767" s="102" t="n"/>
      <c r="X767" s="102" t="n"/>
      <c r="Y767" s="102" t="n"/>
      <c r="Z767" s="102" t="n"/>
      <c r="AA767" s="102" t="n"/>
      <c r="AB767" s="102" t="n"/>
      <c r="AC767" s="102" t="n"/>
      <c r="AD767" s="102" t="n"/>
    </row>
    <row r="768" ht="15.75" customHeight="1" s="205">
      <c r="A768" s="102" t="n"/>
      <c r="B768" s="147" t="n"/>
      <c r="C768" s="144" t="n"/>
      <c r="D768" s="144" t="n"/>
      <c r="E768" s="144" t="n"/>
      <c r="F768" s="144" t="n"/>
      <c r="G768" s="144" t="n"/>
      <c r="H768" s="141">
        <f>IF(K768&lt;&gt;"", HYPERLINK("https://chatgpt.com/?prompt=" &amp; SUBSTITUTE(SUBSTITUTE(K768, " ", "+"), "&amp;", "dan") &amp; "&amp;force-refresh=true&amp;timestamp=" &amp; TEXT(NOW(), "yyyymmddhhmmss"), "👉 Klik untuk Generate Script! 🔥"), "")</f>
        <v/>
      </c>
      <c r="I768" s="144" t="n"/>
      <c r="J768" s="148" t="n"/>
      <c r="K768" s="140">
        <f>IF(AND(B768&lt;&gt;"", C768&lt;&gt;"", D768&lt;&gt;"", E768&lt;&gt;"", F768&lt;&gt;"", G768&lt;&gt;"", J768&lt;&gt;"", 'CONTENT PILLAR MAPPING'!C670&lt;&gt;"", 'CONTENT PILLAR MAPPING'!E670&lt;&gt;"", 'CONTENT PILLAR MAPPING'!F670&lt;&gt;"", 'CONTENT PILLAR MAPPING'!C673&lt;&gt;"", 'CONTENT PILLAR MAPPING'!C678&lt;&gt;"", 'CONTENT PILLAR MAPPING'!D678&lt;&gt;"", 'CONTENT PILLAR MAPPING'!E678&lt;&gt;"", 'CONTENT PILLAR MAPPING'!D686&lt;&gt;"", 'CONTENT PILLAR MAPPING'!D687&lt;&gt;""),
CONCATENATE(
"Sebagai seorang top konten kreator dengan niche utama '", 'CONTENT PILLAR MAPPING'!C670, "', spesifik kategori '", 'CONTENT PILLAR MAPPING'!E670, "', dan super spesifik '", 'CONTENT PILLAR MAPPING'!F670, "', yang dikenal sebagai '", 'CONTENT PILLAR MAPPING'!C673, "'.", CHAR(10),
"Saya memiliki Tone of Voice: '", 'CONTENT PILLAR MAPPING'!C678, "', Brand Archetype: '", 'CONTENT PILLAR MAPPING'!D678, "', dan Deskripsi Gaya Komunikasi: '", 'CONTENT PILLAR MAPPING'!E678, "'.", CHAR(10),
"Target audiens saya adalah: '", 'CONTENT PILLAR MAPPING'!D686, "', dengan segmentasi audiens: '", 'CONTENT PILLAR MAPPING'!D687, "'.", CHAR(10), CHAR(10),
"Mohon buatkan script konten yang **sangat powerful, menarik, inovatif, dan siap pakai** dengan judul ide '", B768, "'.", CHAR(10),
"Konten ini memiliki pilar '", C768, "', nilai tambah utama '", F768, "', dan akan menggunakan storytelling framework '", G768, "'.", CHAR(10),
"Gambaran singkat ide kontennya adalah: '", J768, "'.", CHAR(10),
"Konten ini akan diunggah di platform '", E768, "' dengan format '", D768,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MAPPING'!C673, "'.** Sesuaikan dengan gaya komunikasi saya, dengan fokus pada nilai tambah '", F768,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MAPPING'!D686, ", khusus ", 'CONTENT PILLAR MAPPING'!D687, ") dan membantu mereka menyelesaikan masalah atau mencapai tujuan mereka.", CHAR(10),
"✔ Membantuku membangun personal branding yang kuat dan sustainable, sesuai dengan Positioning saya sebagai '", 'CONTENT PILLAR MAPPING'!C673, "' dan Brand Archetype '", 'CONTENT PILLAR MAPPING'!D678, "'.", CHAR(10),
"✔ Kemas dalam bentuk tabel agar rapi, mudah di baca dan dipahami, dengan kolom 'Judul Konten', 'Pilar', 'Format', 'Draft Script', 'CTA', 'Saran Visual', dan 'Full Caption'. (Kosongkan kolom Link Prompt jika ada)."
),
"")</f>
        <v/>
      </c>
      <c r="L768" s="199" t="n"/>
      <c r="M768" s="199" t="n"/>
      <c r="N768" s="102" t="n"/>
      <c r="O768" s="102" t="n"/>
      <c r="P768" s="102" t="n"/>
      <c r="Q768" s="102" t="n"/>
      <c r="R768" s="102" t="n"/>
      <c r="S768" s="102" t="n"/>
      <c r="T768" s="102" t="n"/>
      <c r="U768" s="102" t="n"/>
      <c r="V768" s="102" t="n"/>
      <c r="W768" s="102" t="n"/>
      <c r="X768" s="102" t="n"/>
      <c r="Y768" s="102" t="n"/>
      <c r="Z768" s="102" t="n"/>
      <c r="AA768" s="102" t="n"/>
      <c r="AB768" s="102" t="n"/>
      <c r="AC768" s="102" t="n"/>
      <c r="AD768" s="102" t="n"/>
    </row>
    <row r="769" ht="15.75" customHeight="1" s="205">
      <c r="A769" s="102" t="n"/>
      <c r="B769" s="142" t="n"/>
      <c r="C769" s="143" t="n"/>
      <c r="D769" s="143" t="n"/>
      <c r="E769" s="143" t="n"/>
      <c r="F769" s="143" t="n"/>
      <c r="G769" s="144" t="n"/>
      <c r="H769" s="145">
        <f>IF(K769&lt;&gt;"", HYPERLINK("https://chatgpt.com/?prompt=" &amp; SUBSTITUTE(SUBSTITUTE(K769, " ", "+"), "&amp;", "dan") &amp; "&amp;force-refresh=true&amp;timestamp=" &amp; TEXT(NOW(), "yyyymmddhhmmss"), "👉 Klik untuk Generate Script! 🔥"), "")</f>
        <v/>
      </c>
      <c r="I769" s="143" t="n"/>
      <c r="J769" s="146" t="n"/>
      <c r="K769" s="130">
        <f>IF(AND(B769&lt;&gt;"", C769&lt;&gt;"", D769&lt;&gt;"", E769&lt;&gt;"", F769&lt;&gt;"", G769&lt;&gt;"", J769&lt;&gt;"", 'CONTENT PILLAR MAPPING'!C672&lt;&gt;"", 'CONTENT PILLAR MAPPING'!E672&lt;&gt;"", 'CONTENT PILLAR MAPPING'!F672&lt;&gt;"", 'CONTENT PILLAR MAPPING'!C675&lt;&gt;"", 'CONTENT PILLAR MAPPING'!C680&lt;&gt;"", 'CONTENT PILLAR MAPPING'!D680&lt;&gt;"", 'CONTENT PILLAR MAPPING'!E680&lt;&gt;"", 'CONTENT PILLAR MAPPING'!D688&lt;&gt;"", 'CONTENT PILLAR MAPPING'!D689&lt;&gt;""),
CONCATENATE(
"Sebagai seorang top konten kreator dengan niche utama '", 'CONTENT PILLAR MAPPING'!C672, "', spesifik kategori '", 'CONTENT PILLAR MAPPING'!E672, "', dan super spesifik '", 'CONTENT PILLAR MAPPING'!F672, "', yang dikenal sebagai '", 'CONTENT PILLAR MAPPING'!C675, "'.", CHAR(10),
"Saya memiliki Tone of Voice: '", 'CONTENT PILLAR MAPPING'!C680, "', Brand Archetype: '", 'CONTENT PILLAR MAPPING'!D680, "', dan Deskripsi Gaya Komunikasi: '", 'CONTENT PILLAR MAPPING'!E680, "'.", CHAR(10),
"Target audiens saya adalah: '", 'CONTENT PILLAR MAPPING'!D688, "', dengan segmentasi audiens: '", 'CONTENT PILLAR MAPPING'!D689, "'.", CHAR(10), CHAR(10),
"Mohon buatkan script konten yang **sangat powerful, menarik, inovatif, dan siap pakai** dengan judul ide '", B769, "'.", CHAR(10),
"Konten ini memiliki pilar '", C769, "', nilai tambah utama '", F769, "', dan akan menggunakan storytelling framework '", G769, "'.", CHAR(10),
"Gambaran singkat ide kontennya adalah: '", J769, "'.", CHAR(10),
"Konten ini akan diunggah di platform '", E769, "' dengan format '", D769,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MAPPING'!C675, "'.** Sesuaikan dengan gaya komunikasi saya, dengan fokus pada nilai tambah '", F769,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MAPPING'!D688, ", khusus ", 'CONTENT PILLAR MAPPING'!D689, ") dan membantu mereka menyelesaikan masalah atau mencapai tujuan mereka.", CHAR(10),
"✔ Membantuku membangun personal branding yang kuat dan sustainable, sesuai dengan Positioning saya sebagai '", 'CONTENT PILLAR MAPPING'!C675, "' dan Brand Archetype '", 'CONTENT PILLAR MAPPING'!D680, "'.", CHAR(10),
"✔ Kemas dalam bentuk tabel agar rapi, mudah di baca dan dipahami, dengan kolom 'Judul Konten', 'Pilar', 'Format', 'Draft Script', 'CTA', 'Saran Visual', dan 'Full Caption'. (Kosongkan kolom Link Prompt jika ada)."
),
"")</f>
        <v/>
      </c>
      <c r="L769" s="91" t="n"/>
      <c r="M769" s="91" t="n"/>
      <c r="N769" s="102" t="n"/>
      <c r="O769" s="102" t="n"/>
      <c r="P769" s="102" t="n"/>
      <c r="Q769" s="102" t="n"/>
      <c r="R769" s="102" t="n"/>
      <c r="S769" s="102" t="n"/>
      <c r="T769" s="102" t="n"/>
      <c r="U769" s="102" t="n"/>
      <c r="V769" s="102" t="n"/>
      <c r="W769" s="102" t="n"/>
      <c r="X769" s="102" t="n"/>
      <c r="Y769" s="102" t="n"/>
      <c r="Z769" s="102" t="n"/>
      <c r="AA769" s="102" t="n"/>
      <c r="AB769" s="102" t="n"/>
      <c r="AC769" s="102" t="n"/>
      <c r="AD769" s="102" t="n"/>
    </row>
    <row r="770" ht="15.75" customHeight="1" s="205">
      <c r="A770" s="102" t="n"/>
      <c r="B770" s="147" t="n"/>
      <c r="C770" s="144" t="n"/>
      <c r="D770" s="144" t="n"/>
      <c r="E770" s="144" t="n"/>
      <c r="F770" s="144" t="n"/>
      <c r="G770" s="144" t="n"/>
      <c r="H770" s="141">
        <f>IF(K770&lt;&gt;"", HYPERLINK("https://chatgpt.com/?prompt=" &amp; SUBSTITUTE(SUBSTITUTE(K770, " ", "+"), "&amp;", "dan") &amp; "&amp;force-refresh=true&amp;timestamp=" &amp; TEXT(NOW(), "yyyymmddhhmmss"), "👉 Klik untuk Generate Script! 🔥"), "")</f>
        <v/>
      </c>
      <c r="I770" s="144" t="n"/>
      <c r="J770" s="148" t="n"/>
      <c r="K770" s="140">
        <f>IF(AND(B770&lt;&gt;"", C770&lt;&gt;"", D770&lt;&gt;"", E770&lt;&gt;"", F770&lt;&gt;"", G770&lt;&gt;"", J770&lt;&gt;"", 'CONTENT PILLAR MAPPING'!C672&lt;&gt;"", 'CONTENT PILLAR MAPPING'!E672&lt;&gt;"", 'CONTENT PILLAR MAPPING'!F672&lt;&gt;"", 'CONTENT PILLAR MAPPING'!C675&lt;&gt;"", 'CONTENT PILLAR MAPPING'!C680&lt;&gt;"", 'CONTENT PILLAR MAPPING'!D680&lt;&gt;"", 'CONTENT PILLAR MAPPING'!E680&lt;&gt;"", 'CONTENT PILLAR MAPPING'!D688&lt;&gt;"", 'CONTENT PILLAR MAPPING'!D689&lt;&gt;""),
CONCATENATE(
"Sebagai seorang top konten kreator dengan niche utama '", 'CONTENT PILLAR MAPPING'!C672, "', spesifik kategori '", 'CONTENT PILLAR MAPPING'!E672, "', dan super spesifik '", 'CONTENT PILLAR MAPPING'!F672, "', yang dikenal sebagai '", 'CONTENT PILLAR MAPPING'!C675, "'.", CHAR(10),
"Saya memiliki Tone of Voice: '", 'CONTENT PILLAR MAPPING'!C680, "', Brand Archetype: '", 'CONTENT PILLAR MAPPING'!D680, "', dan Deskripsi Gaya Komunikasi: '", 'CONTENT PILLAR MAPPING'!E680, "'.", CHAR(10),
"Target audiens saya adalah: '", 'CONTENT PILLAR MAPPING'!D688, "', dengan segmentasi audiens: '", 'CONTENT PILLAR MAPPING'!D689, "'.", CHAR(10), CHAR(10),
"Mohon buatkan script konten yang **sangat powerful, menarik, inovatif, dan siap pakai** dengan judul ide '", B770, "'.", CHAR(10),
"Konten ini memiliki pilar '", C770, "', nilai tambah utama '", F770, "', dan akan menggunakan storytelling framework '", G770, "'.", CHAR(10),
"Gambaran singkat ide kontennya adalah: '", J770, "'.", CHAR(10),
"Konten ini akan diunggah di platform '", E770, "' dengan format '", D770,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MAPPING'!C675, "'.** Sesuaikan dengan gaya komunikasi saya, dengan fokus pada nilai tambah '", F770,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MAPPING'!D688, ", khusus ", 'CONTENT PILLAR MAPPING'!D689, ") dan membantu mereka menyelesaikan masalah atau mencapai tujuan mereka.", CHAR(10),
"✔ Membantuku membangun personal branding yang kuat dan sustainable, sesuai dengan Positioning saya sebagai '", 'CONTENT PILLAR MAPPING'!C675, "' dan Brand Archetype '", 'CONTENT PILLAR MAPPING'!D680, "'.", CHAR(10),
"✔ Kemas dalam bentuk tabel agar rapi, mudah di baca dan dipahami, dengan kolom 'Judul Konten', 'Pilar', 'Format', 'Draft Script', 'CTA', 'Saran Visual', dan 'Full Caption'. (Kosongkan kolom Link Prompt jika ada)."
),
"")</f>
        <v/>
      </c>
      <c r="L770" s="199" t="n"/>
      <c r="M770" s="199" t="n"/>
      <c r="N770" s="102" t="n"/>
      <c r="O770" s="102" t="n"/>
      <c r="P770" s="102" t="n"/>
      <c r="Q770" s="102" t="n"/>
      <c r="R770" s="102" t="n"/>
      <c r="S770" s="102" t="n"/>
      <c r="T770" s="102" t="n"/>
      <c r="U770" s="102" t="n"/>
      <c r="V770" s="102" t="n"/>
      <c r="W770" s="102" t="n"/>
      <c r="X770" s="102" t="n"/>
      <c r="Y770" s="102" t="n"/>
      <c r="Z770" s="102" t="n"/>
      <c r="AA770" s="102" t="n"/>
      <c r="AB770" s="102" t="n"/>
      <c r="AC770" s="102" t="n"/>
      <c r="AD770" s="102" t="n"/>
    </row>
    <row r="771" ht="15.75" customHeight="1" s="205">
      <c r="A771" s="102" t="n"/>
      <c r="B771" s="142" t="n"/>
      <c r="C771" s="143" t="n"/>
      <c r="D771" s="143" t="n"/>
      <c r="E771" s="143" t="n"/>
      <c r="F771" s="143" t="n"/>
      <c r="G771" s="144" t="n"/>
      <c r="H771" s="145">
        <f>IF(K771&lt;&gt;"", HYPERLINK("https://chatgpt.com/?prompt=" &amp; SUBSTITUTE(SUBSTITUTE(K771, " ", "+"), "&amp;", "dan") &amp; "&amp;force-refresh=true&amp;timestamp=" &amp; TEXT(NOW(), "yyyymmddhhmmss"), "👉 Klik untuk Generate Script! 🔥"), "")</f>
        <v/>
      </c>
      <c r="I771" s="143" t="n"/>
      <c r="J771" s="146" t="n"/>
      <c r="K771" s="130">
        <f>IF(AND(B771&lt;&gt;"", C771&lt;&gt;"", D771&lt;&gt;"", E771&lt;&gt;"", F771&lt;&gt;"", G771&lt;&gt;"", J771&lt;&gt;"", 'CONTENT PILLAR MAPPING'!C674&lt;&gt;"", 'CONTENT PILLAR MAPPING'!E674&lt;&gt;"", 'CONTENT PILLAR MAPPING'!F674&lt;&gt;"", 'CONTENT PILLAR MAPPING'!C677&lt;&gt;"", 'CONTENT PILLAR MAPPING'!C682&lt;&gt;"", 'CONTENT PILLAR MAPPING'!D682&lt;&gt;"", 'CONTENT PILLAR MAPPING'!E682&lt;&gt;"", 'CONTENT PILLAR MAPPING'!D690&lt;&gt;"", 'CONTENT PILLAR MAPPING'!D691&lt;&gt;""),
CONCATENATE(
"Sebagai seorang top konten kreator dengan niche utama '", 'CONTENT PILLAR MAPPING'!C674, "', spesifik kategori '", 'CONTENT PILLAR MAPPING'!E674, "', dan super spesifik '", 'CONTENT PILLAR MAPPING'!F674, "', yang dikenal sebagai '", 'CONTENT PILLAR MAPPING'!C677, "'.", CHAR(10),
"Saya memiliki Tone of Voice: '", 'CONTENT PILLAR MAPPING'!C682, "', Brand Archetype: '", 'CONTENT PILLAR MAPPING'!D682, "', dan Deskripsi Gaya Komunikasi: '", 'CONTENT PILLAR MAPPING'!E682, "'.", CHAR(10),
"Target audiens saya adalah: '", 'CONTENT PILLAR MAPPING'!D690, "', dengan segmentasi audiens: '", 'CONTENT PILLAR MAPPING'!D691, "'.", CHAR(10), CHAR(10),
"Mohon buatkan script konten yang **sangat powerful, menarik, inovatif, dan siap pakai** dengan judul ide '", B771, "'.", CHAR(10),
"Konten ini memiliki pilar '", C771, "', nilai tambah utama '", F771, "', dan akan menggunakan storytelling framework '", G771, "'.", CHAR(10),
"Gambaran singkat ide kontennya adalah: '", J771, "'.", CHAR(10),
"Konten ini akan diunggah di platform '", E771, "' dengan format '", D771,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MAPPING'!C677, "'.** Sesuaikan dengan gaya komunikasi saya, dengan fokus pada nilai tambah '", F771,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MAPPING'!D690, ", khusus ", 'CONTENT PILLAR MAPPING'!D691, ") dan membantu mereka menyelesaikan masalah atau mencapai tujuan mereka.", CHAR(10),
"✔ Membantuku membangun personal branding yang kuat dan sustainable, sesuai dengan Positioning saya sebagai '", 'CONTENT PILLAR MAPPING'!C677, "' dan Brand Archetype '", 'CONTENT PILLAR MAPPING'!D682, "'.", CHAR(10),
"✔ Kemas dalam bentuk tabel agar rapi, mudah di baca dan dipahami, dengan kolom 'Judul Konten', 'Pilar', 'Format', 'Draft Script', 'CTA', 'Saran Visual', dan 'Full Caption'. (Kosongkan kolom Link Prompt jika ada)."
),
"")</f>
        <v/>
      </c>
      <c r="L771" s="91" t="n"/>
      <c r="M771" s="91" t="n"/>
      <c r="N771" s="102" t="n"/>
      <c r="O771" s="102" t="n"/>
      <c r="P771" s="102" t="n"/>
      <c r="Q771" s="102" t="n"/>
      <c r="R771" s="102" t="n"/>
      <c r="S771" s="102" t="n"/>
      <c r="T771" s="102" t="n"/>
      <c r="U771" s="102" t="n"/>
      <c r="V771" s="102" t="n"/>
      <c r="W771" s="102" t="n"/>
      <c r="X771" s="102" t="n"/>
      <c r="Y771" s="102" t="n"/>
      <c r="Z771" s="102" t="n"/>
      <c r="AA771" s="102" t="n"/>
      <c r="AB771" s="102" t="n"/>
      <c r="AC771" s="102" t="n"/>
      <c r="AD771" s="102" t="n"/>
    </row>
    <row r="772" ht="15.75" customHeight="1" s="205">
      <c r="A772" s="102" t="n"/>
      <c r="B772" s="147" t="n"/>
      <c r="C772" s="144" t="n"/>
      <c r="D772" s="144" t="n"/>
      <c r="E772" s="144" t="n"/>
      <c r="F772" s="144" t="n"/>
      <c r="G772" s="144" t="n"/>
      <c r="H772" s="141">
        <f>IF(K772&lt;&gt;"", HYPERLINK("https://chatgpt.com/?prompt=" &amp; SUBSTITUTE(SUBSTITUTE(K772, " ", "+"), "&amp;", "dan") &amp; "&amp;force-refresh=true&amp;timestamp=" &amp; TEXT(NOW(), "yyyymmddhhmmss"), "👉 Klik untuk Generate Script! 🔥"), "")</f>
        <v/>
      </c>
      <c r="I772" s="144" t="n"/>
      <c r="J772" s="148" t="n"/>
      <c r="K772" s="140">
        <f>IF(AND(B772&lt;&gt;"", C772&lt;&gt;"", D772&lt;&gt;"", E772&lt;&gt;"", F772&lt;&gt;"", G772&lt;&gt;"", J772&lt;&gt;"", 'CONTENT PILLAR MAPPING'!C674&lt;&gt;"", 'CONTENT PILLAR MAPPING'!E674&lt;&gt;"", 'CONTENT PILLAR MAPPING'!F674&lt;&gt;"", 'CONTENT PILLAR MAPPING'!C677&lt;&gt;"", 'CONTENT PILLAR MAPPING'!C682&lt;&gt;"", 'CONTENT PILLAR MAPPING'!D682&lt;&gt;"", 'CONTENT PILLAR MAPPING'!E682&lt;&gt;"", 'CONTENT PILLAR MAPPING'!D690&lt;&gt;"", 'CONTENT PILLAR MAPPING'!D691&lt;&gt;""),
CONCATENATE(
"Sebagai seorang top konten kreator dengan niche utama '", 'CONTENT PILLAR MAPPING'!C674, "', spesifik kategori '", 'CONTENT PILLAR MAPPING'!E674, "', dan super spesifik '", 'CONTENT PILLAR MAPPING'!F674, "', yang dikenal sebagai '", 'CONTENT PILLAR MAPPING'!C677, "'.", CHAR(10),
"Saya memiliki Tone of Voice: '", 'CONTENT PILLAR MAPPING'!C682, "', Brand Archetype: '", 'CONTENT PILLAR MAPPING'!D682, "', dan Deskripsi Gaya Komunikasi: '", 'CONTENT PILLAR MAPPING'!E682, "'.", CHAR(10),
"Target audiens saya adalah: '", 'CONTENT PILLAR MAPPING'!D690, "', dengan segmentasi audiens: '", 'CONTENT PILLAR MAPPING'!D691, "'.", CHAR(10), CHAR(10),
"Mohon buatkan script konten yang **sangat powerful, menarik, inovatif, dan siap pakai** dengan judul ide '", B772, "'.", CHAR(10),
"Konten ini memiliki pilar '", C772, "', nilai tambah utama '", F772, "', dan akan menggunakan storytelling framework '", G772, "'.", CHAR(10),
"Gambaran singkat ide kontennya adalah: '", J772, "'.", CHAR(10),
"Konten ini akan diunggah di platform '", E772, "' dengan format '", D772,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MAPPING'!C677, "'.** Sesuaikan dengan gaya komunikasi saya, dengan fokus pada nilai tambah '", F772,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MAPPING'!D690, ", khusus ", 'CONTENT PILLAR MAPPING'!D691, ") dan membantu mereka menyelesaikan masalah atau mencapai tujuan mereka.", CHAR(10),
"✔ Membantuku membangun personal branding yang kuat dan sustainable, sesuai dengan Positioning saya sebagai '", 'CONTENT PILLAR MAPPING'!C677, "' dan Brand Archetype '", 'CONTENT PILLAR MAPPING'!D682, "'.", CHAR(10),
"✔ Kemas dalam bentuk tabel agar rapi, mudah di baca dan dipahami, dengan kolom 'Judul Konten', 'Pilar', 'Format', 'Draft Script', 'CTA', 'Saran Visual', dan 'Full Caption'. (Kosongkan kolom Link Prompt jika ada)."
),
"")</f>
        <v/>
      </c>
      <c r="L772" s="199" t="n"/>
      <c r="M772" s="199" t="n"/>
      <c r="N772" s="102" t="n"/>
      <c r="O772" s="102" t="n"/>
      <c r="P772" s="102" t="n"/>
      <c r="Q772" s="102" t="n"/>
      <c r="R772" s="102" t="n"/>
      <c r="S772" s="102" t="n"/>
      <c r="T772" s="102" t="n"/>
      <c r="U772" s="102" t="n"/>
      <c r="V772" s="102" t="n"/>
      <c r="W772" s="102" t="n"/>
      <c r="X772" s="102" t="n"/>
      <c r="Y772" s="102" t="n"/>
      <c r="Z772" s="102" t="n"/>
      <c r="AA772" s="102" t="n"/>
      <c r="AB772" s="102" t="n"/>
      <c r="AC772" s="102" t="n"/>
      <c r="AD772" s="102" t="n"/>
    </row>
    <row r="773" ht="15.75" customHeight="1" s="205">
      <c r="A773" s="102" t="n"/>
      <c r="B773" s="142" t="n"/>
      <c r="C773" s="143" t="n"/>
      <c r="D773" s="143" t="n"/>
      <c r="E773" s="143" t="n"/>
      <c r="F773" s="143" t="n"/>
      <c r="G773" s="144" t="n"/>
      <c r="H773" s="145">
        <f>IF(K773&lt;&gt;"", HYPERLINK("https://chatgpt.com/?prompt=" &amp; SUBSTITUTE(SUBSTITUTE(K773, " ", "+"), "&amp;", "dan") &amp; "&amp;force-refresh=true&amp;timestamp=" &amp; TEXT(NOW(), "yyyymmddhhmmss"), "👉 Klik untuk Generate Script! 🔥"), "")</f>
        <v/>
      </c>
      <c r="I773" s="143" t="n"/>
      <c r="J773" s="146" t="n"/>
      <c r="K773" s="130">
        <f>IF(AND(B773&lt;&gt;"", C773&lt;&gt;"", D773&lt;&gt;"", E773&lt;&gt;"", F773&lt;&gt;"", G773&lt;&gt;"", J773&lt;&gt;"", 'CONTENT PILLAR MAPPING'!C676&lt;&gt;"", 'CONTENT PILLAR MAPPING'!E676&lt;&gt;"", 'CONTENT PILLAR MAPPING'!F676&lt;&gt;"", 'CONTENT PILLAR MAPPING'!C679&lt;&gt;"", 'CONTENT PILLAR MAPPING'!C684&lt;&gt;"", 'CONTENT PILLAR MAPPING'!D684&lt;&gt;"", 'CONTENT PILLAR MAPPING'!E684&lt;&gt;"", 'CONTENT PILLAR MAPPING'!D692&lt;&gt;"", 'CONTENT PILLAR MAPPING'!D693&lt;&gt;""),
CONCATENATE(
"Sebagai seorang top konten kreator dengan niche utama '", 'CONTENT PILLAR MAPPING'!C676, "', spesifik kategori '", 'CONTENT PILLAR MAPPING'!E676, "', dan super spesifik '", 'CONTENT PILLAR MAPPING'!F676, "', yang dikenal sebagai '", 'CONTENT PILLAR MAPPING'!C679, "'.", CHAR(10),
"Saya memiliki Tone of Voice: '", 'CONTENT PILLAR MAPPING'!C684, "', Brand Archetype: '", 'CONTENT PILLAR MAPPING'!D684, "', dan Deskripsi Gaya Komunikasi: '", 'CONTENT PILLAR MAPPING'!E684, "'.", CHAR(10),
"Target audiens saya adalah: '", 'CONTENT PILLAR MAPPING'!D692, "', dengan segmentasi audiens: '", 'CONTENT PILLAR MAPPING'!D693, "'.", CHAR(10), CHAR(10),
"Mohon buatkan script konten yang **sangat powerful, menarik, inovatif, dan siap pakai** dengan judul ide '", B773, "'.", CHAR(10),
"Konten ini memiliki pilar '", C773, "', nilai tambah utama '", F773, "', dan akan menggunakan storytelling framework '", G773, "'.", CHAR(10),
"Gambaran singkat ide kontennya adalah: '", J773, "'.", CHAR(10),
"Konten ini akan diunggah di platform '", E773, "' dengan format '", D773,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MAPPING'!C679, "'.** Sesuaikan dengan gaya komunikasi saya, dengan fokus pada nilai tambah '", F773,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MAPPING'!D692, ", khusus ", 'CONTENT PILLAR MAPPING'!D693, ") dan membantu mereka menyelesaikan masalah atau mencapai tujuan mereka.", CHAR(10),
"✔ Membantuku membangun personal branding yang kuat dan sustainable, sesuai dengan Positioning saya sebagai '", 'CONTENT PILLAR MAPPING'!C679, "' dan Brand Archetype '", 'CONTENT PILLAR MAPPING'!D684, "'.", CHAR(10),
"✔ Kemas dalam bentuk tabel agar rapi, mudah di baca dan dipahami, dengan kolom 'Judul Konten', 'Pilar', 'Format', 'Draft Script', 'CTA', 'Saran Visual', dan 'Full Caption'. (Kosongkan kolom Link Prompt jika ada)."
),
"")</f>
        <v/>
      </c>
      <c r="L773" s="91" t="n"/>
      <c r="M773" s="91" t="n"/>
      <c r="N773" s="102" t="n"/>
      <c r="O773" s="102" t="n"/>
      <c r="P773" s="102" t="n"/>
      <c r="Q773" s="102" t="n"/>
      <c r="R773" s="102" t="n"/>
      <c r="S773" s="102" t="n"/>
      <c r="T773" s="102" t="n"/>
      <c r="U773" s="102" t="n"/>
      <c r="V773" s="102" t="n"/>
      <c r="W773" s="102" t="n"/>
      <c r="X773" s="102" t="n"/>
      <c r="Y773" s="102" t="n"/>
      <c r="Z773" s="102" t="n"/>
      <c r="AA773" s="102" t="n"/>
      <c r="AB773" s="102" t="n"/>
      <c r="AC773" s="102" t="n"/>
      <c r="AD773" s="102" t="n"/>
    </row>
    <row r="774" ht="15.75" customHeight="1" s="205">
      <c r="A774" s="102" t="n"/>
      <c r="B774" s="147" t="n"/>
      <c r="C774" s="144" t="n"/>
      <c r="D774" s="144" t="n"/>
      <c r="E774" s="144" t="n"/>
      <c r="F774" s="144" t="n"/>
      <c r="G774" s="144" t="n"/>
      <c r="H774" s="141">
        <f>IF(K774&lt;&gt;"", HYPERLINK("https://chatgpt.com/?prompt=" &amp; SUBSTITUTE(SUBSTITUTE(K774, " ", "+"), "&amp;", "dan") &amp; "&amp;force-refresh=true&amp;timestamp=" &amp; TEXT(NOW(), "yyyymmddhhmmss"), "👉 Klik untuk Generate Script! 🔥"), "")</f>
        <v/>
      </c>
      <c r="I774" s="144" t="n"/>
      <c r="J774" s="148" t="n"/>
      <c r="K774" s="140">
        <f>IF(AND(B774&lt;&gt;"", C774&lt;&gt;"", D774&lt;&gt;"", E774&lt;&gt;"", F774&lt;&gt;"", G774&lt;&gt;"", J774&lt;&gt;"", 'CONTENT PILLAR MAPPING'!C676&lt;&gt;"", 'CONTENT PILLAR MAPPING'!E676&lt;&gt;"", 'CONTENT PILLAR MAPPING'!F676&lt;&gt;"", 'CONTENT PILLAR MAPPING'!C679&lt;&gt;"", 'CONTENT PILLAR MAPPING'!C684&lt;&gt;"", 'CONTENT PILLAR MAPPING'!D684&lt;&gt;"", 'CONTENT PILLAR MAPPING'!E684&lt;&gt;"", 'CONTENT PILLAR MAPPING'!D692&lt;&gt;"", 'CONTENT PILLAR MAPPING'!D693&lt;&gt;""),
CONCATENATE(
"Sebagai seorang top konten kreator dengan niche utama '", 'CONTENT PILLAR MAPPING'!C676, "', spesifik kategori '", 'CONTENT PILLAR MAPPING'!E676, "', dan super spesifik '", 'CONTENT PILLAR MAPPING'!F676, "', yang dikenal sebagai '", 'CONTENT PILLAR MAPPING'!C679, "'.", CHAR(10),
"Saya memiliki Tone of Voice: '", 'CONTENT PILLAR MAPPING'!C684, "', Brand Archetype: '", 'CONTENT PILLAR MAPPING'!D684, "', dan Deskripsi Gaya Komunikasi: '", 'CONTENT PILLAR MAPPING'!E684, "'.", CHAR(10),
"Target audiens saya adalah: '", 'CONTENT PILLAR MAPPING'!D692, "', dengan segmentasi audiens: '", 'CONTENT PILLAR MAPPING'!D693, "'.", CHAR(10), CHAR(10),
"Mohon buatkan script konten yang **sangat powerful, menarik, inovatif, dan siap pakai** dengan judul ide '", B774, "'.", CHAR(10),
"Konten ini memiliki pilar '", C774, "', nilai tambah utama '", F774, "', dan akan menggunakan storytelling framework '", G774, "'.", CHAR(10),
"Gambaran singkat ide kontennya adalah: '", J774, "'.", CHAR(10),
"Konten ini akan diunggah di platform '", E774, "' dengan format '", D774,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MAPPING'!C679, "'.** Sesuaikan dengan gaya komunikasi saya, dengan fokus pada nilai tambah '", F774,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MAPPING'!D692, ", khusus ", 'CONTENT PILLAR MAPPING'!D693, ") dan membantu mereka menyelesaikan masalah atau mencapai tujuan mereka.", CHAR(10),
"✔ Membantuku membangun personal branding yang kuat dan sustainable, sesuai dengan Positioning saya sebagai '", 'CONTENT PILLAR MAPPING'!C679, "' dan Brand Archetype '", 'CONTENT PILLAR MAPPING'!D684, "'.", CHAR(10),
"✔ Kemas dalam bentuk tabel agar rapi, mudah di baca dan dipahami, dengan kolom 'Judul Konten', 'Pilar', 'Format', 'Draft Script', 'CTA', 'Saran Visual', dan 'Full Caption'. (Kosongkan kolom Link Prompt jika ada)."
),
"")</f>
        <v/>
      </c>
      <c r="L774" s="199" t="n"/>
      <c r="M774" s="199" t="n"/>
      <c r="N774" s="102" t="n"/>
      <c r="O774" s="102" t="n"/>
      <c r="P774" s="102" t="n"/>
      <c r="Q774" s="102" t="n"/>
      <c r="R774" s="102" t="n"/>
      <c r="S774" s="102" t="n"/>
      <c r="T774" s="102" t="n"/>
      <c r="U774" s="102" t="n"/>
      <c r="V774" s="102" t="n"/>
      <c r="W774" s="102" t="n"/>
      <c r="X774" s="102" t="n"/>
      <c r="Y774" s="102" t="n"/>
      <c r="Z774" s="102" t="n"/>
      <c r="AA774" s="102" t="n"/>
      <c r="AB774" s="102" t="n"/>
      <c r="AC774" s="102" t="n"/>
      <c r="AD774" s="102" t="n"/>
    </row>
    <row r="775" ht="15.75" customHeight="1" s="205">
      <c r="A775" s="102" t="n"/>
      <c r="B775" s="142" t="n"/>
      <c r="C775" s="143" t="n"/>
      <c r="D775" s="143" t="n"/>
      <c r="E775" s="143" t="n"/>
      <c r="F775" s="143" t="n"/>
      <c r="G775" s="144" t="n"/>
      <c r="H775" s="145">
        <f>IF(K775&lt;&gt;"", HYPERLINK("https://chatgpt.com/?prompt=" &amp; SUBSTITUTE(SUBSTITUTE(K775, " ", "+"), "&amp;", "dan") &amp; "&amp;force-refresh=true&amp;timestamp=" &amp; TEXT(NOW(), "yyyymmddhhmmss"), "👉 Klik untuk Generate Script! 🔥"), "")</f>
        <v/>
      </c>
      <c r="I775" s="143" t="n"/>
      <c r="J775" s="146" t="n"/>
      <c r="K775" s="130">
        <f>IF(AND(B775&lt;&gt;"", C775&lt;&gt;"", D775&lt;&gt;"", E775&lt;&gt;"", F775&lt;&gt;"", G775&lt;&gt;"", J775&lt;&gt;"", 'CONTENT PILLAR MAPPING'!C678&lt;&gt;"", 'CONTENT PILLAR MAPPING'!E678&lt;&gt;"", 'CONTENT PILLAR MAPPING'!F678&lt;&gt;"", 'CONTENT PILLAR MAPPING'!C681&lt;&gt;"", 'CONTENT PILLAR MAPPING'!C686&lt;&gt;"", 'CONTENT PILLAR MAPPING'!D686&lt;&gt;"", 'CONTENT PILLAR MAPPING'!E686&lt;&gt;"", 'CONTENT PILLAR MAPPING'!D694&lt;&gt;"", 'CONTENT PILLAR MAPPING'!D695&lt;&gt;""),
CONCATENATE(
"Sebagai seorang top konten kreator dengan niche utama '", 'CONTENT PILLAR MAPPING'!C678, "', spesifik kategori '", 'CONTENT PILLAR MAPPING'!E678, "', dan super spesifik '", 'CONTENT PILLAR MAPPING'!F678, "', yang dikenal sebagai '", 'CONTENT PILLAR MAPPING'!C681, "'.", CHAR(10),
"Saya memiliki Tone of Voice: '", 'CONTENT PILLAR MAPPING'!C686, "', Brand Archetype: '", 'CONTENT PILLAR MAPPING'!D686, "', dan Deskripsi Gaya Komunikasi: '", 'CONTENT PILLAR MAPPING'!E686, "'.", CHAR(10),
"Target audiens saya adalah: '", 'CONTENT PILLAR MAPPING'!D694, "', dengan segmentasi audiens: '", 'CONTENT PILLAR MAPPING'!D695, "'.", CHAR(10), CHAR(10),
"Mohon buatkan script konten yang **sangat powerful, menarik, inovatif, dan siap pakai** dengan judul ide '", B775, "'.", CHAR(10),
"Konten ini memiliki pilar '", C775, "', nilai tambah utama '", F775, "', dan akan menggunakan storytelling framework '", G775, "'.", CHAR(10),
"Gambaran singkat ide kontennya adalah: '", J775, "'.", CHAR(10),
"Konten ini akan diunggah di platform '", E775, "' dengan format '", D775,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MAPPING'!C681, "'.** Sesuaikan dengan gaya komunikasi saya, dengan fokus pada nilai tambah '", F775,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MAPPING'!D694, ", khusus ", 'CONTENT PILLAR MAPPING'!D695, ") dan membantu mereka menyelesaikan masalah atau mencapai tujuan mereka.", CHAR(10),
"✔ Membantuku membangun personal branding yang kuat dan sustainable, sesuai dengan Positioning saya sebagai '", 'CONTENT PILLAR MAPPING'!C681, "' dan Brand Archetype '", 'CONTENT PILLAR MAPPING'!D686, "'.", CHAR(10),
"✔ Kemas dalam bentuk tabel agar rapi, mudah di baca dan dipahami, dengan kolom 'Judul Konten', 'Pilar', 'Format', 'Draft Script', 'CTA', 'Saran Visual', dan 'Full Caption'. (Kosongkan kolom Link Prompt jika ada)."
),
"")</f>
        <v/>
      </c>
      <c r="L775" s="91" t="n"/>
      <c r="M775" s="91" t="n"/>
      <c r="N775" s="102" t="n"/>
      <c r="O775" s="102" t="n"/>
      <c r="P775" s="102" t="n"/>
      <c r="Q775" s="102" t="n"/>
      <c r="R775" s="102" t="n"/>
      <c r="S775" s="102" t="n"/>
      <c r="T775" s="102" t="n"/>
      <c r="U775" s="102" t="n"/>
      <c r="V775" s="102" t="n"/>
      <c r="W775" s="102" t="n"/>
      <c r="X775" s="102" t="n"/>
      <c r="Y775" s="102" t="n"/>
      <c r="Z775" s="102" t="n"/>
      <c r="AA775" s="102" t="n"/>
      <c r="AB775" s="102" t="n"/>
      <c r="AC775" s="102" t="n"/>
      <c r="AD775" s="102" t="n"/>
    </row>
    <row r="776" ht="15.75" customHeight="1" s="205">
      <c r="A776" s="102" t="n"/>
      <c r="B776" s="147" t="n"/>
      <c r="C776" s="144" t="n"/>
      <c r="D776" s="144" t="n"/>
      <c r="E776" s="144" t="n"/>
      <c r="F776" s="144" t="n"/>
      <c r="G776" s="144" t="n"/>
      <c r="H776" s="141">
        <f>IF(K776&lt;&gt;"", HYPERLINK("https://chatgpt.com/?prompt=" &amp; SUBSTITUTE(SUBSTITUTE(K776, " ", "+"), "&amp;", "dan") &amp; "&amp;force-refresh=true&amp;timestamp=" &amp; TEXT(NOW(), "yyyymmddhhmmss"), "👉 Klik untuk Generate Script! 🔥"), "")</f>
        <v/>
      </c>
      <c r="I776" s="144" t="n"/>
      <c r="J776" s="148" t="n"/>
      <c r="K776" s="140">
        <f>IF(AND(B776&lt;&gt;"", C776&lt;&gt;"", D776&lt;&gt;"", E776&lt;&gt;"", F776&lt;&gt;"", G776&lt;&gt;"", J776&lt;&gt;"", 'CONTENT PILLAR MAPPING'!C678&lt;&gt;"", 'CONTENT PILLAR MAPPING'!E678&lt;&gt;"", 'CONTENT PILLAR MAPPING'!F678&lt;&gt;"", 'CONTENT PILLAR MAPPING'!C681&lt;&gt;"", 'CONTENT PILLAR MAPPING'!C686&lt;&gt;"", 'CONTENT PILLAR MAPPING'!D686&lt;&gt;"", 'CONTENT PILLAR MAPPING'!E686&lt;&gt;"", 'CONTENT PILLAR MAPPING'!D694&lt;&gt;"", 'CONTENT PILLAR MAPPING'!D695&lt;&gt;""),
CONCATENATE(
"Sebagai seorang top konten kreator dengan niche utama '", 'CONTENT PILLAR MAPPING'!C678, "', spesifik kategori '", 'CONTENT PILLAR MAPPING'!E678, "', dan super spesifik '", 'CONTENT PILLAR MAPPING'!F678, "', yang dikenal sebagai '", 'CONTENT PILLAR MAPPING'!C681, "'.", CHAR(10),
"Saya memiliki Tone of Voice: '", 'CONTENT PILLAR MAPPING'!C686, "', Brand Archetype: '", 'CONTENT PILLAR MAPPING'!D686, "', dan Deskripsi Gaya Komunikasi: '", 'CONTENT PILLAR MAPPING'!E686, "'.", CHAR(10),
"Target audiens saya adalah: '", 'CONTENT PILLAR MAPPING'!D694, "', dengan segmentasi audiens: '", 'CONTENT PILLAR MAPPING'!D695, "'.", CHAR(10), CHAR(10),
"Mohon buatkan script konten yang **sangat powerful, menarik, inovatif, dan siap pakai** dengan judul ide '", B776, "'.", CHAR(10),
"Konten ini memiliki pilar '", C776, "', nilai tambah utama '", F776, "', dan akan menggunakan storytelling framework '", G776, "'.", CHAR(10),
"Gambaran singkat ide kontennya adalah: '", J776, "'.", CHAR(10),
"Konten ini akan diunggah di platform '", E776, "' dengan format '", D776,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MAPPING'!C681, "'.** Sesuaikan dengan gaya komunikasi saya, dengan fokus pada nilai tambah '", F776,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MAPPING'!D694, ", khusus ", 'CONTENT PILLAR MAPPING'!D695, ") dan membantu mereka menyelesaikan masalah atau mencapai tujuan mereka.", CHAR(10),
"✔ Membantuku membangun personal branding yang kuat dan sustainable, sesuai dengan Positioning saya sebagai '", 'CONTENT PILLAR MAPPING'!C681, "' dan Brand Archetype '", 'CONTENT PILLAR MAPPING'!D686, "'.", CHAR(10),
"✔ Kemas dalam bentuk tabel agar rapi, mudah di baca dan dipahami, dengan kolom 'Judul Konten', 'Pilar', 'Format', 'Draft Script', 'CTA', 'Saran Visual', dan 'Full Caption'. (Kosongkan kolom Link Prompt jika ada)."
),
"")</f>
        <v/>
      </c>
      <c r="L776" s="199" t="n"/>
      <c r="M776" s="199" t="n"/>
      <c r="N776" s="102" t="n"/>
      <c r="O776" s="102" t="n"/>
      <c r="P776" s="102" t="n"/>
      <c r="Q776" s="102" t="n"/>
      <c r="R776" s="102" t="n"/>
      <c r="S776" s="102" t="n"/>
      <c r="T776" s="102" t="n"/>
      <c r="U776" s="102" t="n"/>
      <c r="V776" s="102" t="n"/>
      <c r="W776" s="102" t="n"/>
      <c r="X776" s="102" t="n"/>
      <c r="Y776" s="102" t="n"/>
      <c r="Z776" s="102" t="n"/>
      <c r="AA776" s="102" t="n"/>
      <c r="AB776" s="102" t="n"/>
      <c r="AC776" s="102" t="n"/>
      <c r="AD776" s="102" t="n"/>
    </row>
    <row r="777" ht="15.75" customHeight="1" s="205">
      <c r="A777" s="102" t="n"/>
      <c r="B777" s="142" t="n"/>
      <c r="C777" s="143" t="n"/>
      <c r="D777" s="143" t="n"/>
      <c r="E777" s="143" t="n"/>
      <c r="F777" s="143" t="n"/>
      <c r="G777" s="144" t="n"/>
      <c r="H777" s="145">
        <f>IF(K777&lt;&gt;"", HYPERLINK("https://chatgpt.com/?prompt=" &amp; SUBSTITUTE(SUBSTITUTE(K777, " ", "+"), "&amp;", "dan") &amp; "&amp;force-refresh=true&amp;timestamp=" &amp; TEXT(NOW(), "yyyymmddhhmmss"), "👉 Klik untuk Generate Script! 🔥"), "")</f>
        <v/>
      </c>
      <c r="I777" s="143" t="n"/>
      <c r="J777" s="146" t="n"/>
      <c r="K777" s="130">
        <f>IF(AND(B777&lt;&gt;"", C777&lt;&gt;"", D777&lt;&gt;"", E777&lt;&gt;"", F777&lt;&gt;"", G777&lt;&gt;"", J777&lt;&gt;"", 'CONTENT PILLAR MAPPING'!C680&lt;&gt;"", 'CONTENT PILLAR MAPPING'!E680&lt;&gt;"", 'CONTENT PILLAR MAPPING'!F680&lt;&gt;"", 'CONTENT PILLAR MAPPING'!C683&lt;&gt;"", 'CONTENT PILLAR MAPPING'!C688&lt;&gt;"", 'CONTENT PILLAR MAPPING'!D688&lt;&gt;"", 'CONTENT PILLAR MAPPING'!E688&lt;&gt;"", 'CONTENT PILLAR MAPPING'!D696&lt;&gt;"", 'CONTENT PILLAR MAPPING'!D697&lt;&gt;""),
CONCATENATE(
"Sebagai seorang top konten kreator dengan niche utama '", 'CONTENT PILLAR MAPPING'!C680, "', spesifik kategori '", 'CONTENT PILLAR MAPPING'!E680, "', dan super spesifik '", 'CONTENT PILLAR MAPPING'!F680, "', yang dikenal sebagai '", 'CONTENT PILLAR MAPPING'!C683, "'.", CHAR(10),
"Saya memiliki Tone of Voice: '", 'CONTENT PILLAR MAPPING'!C688, "', Brand Archetype: '", 'CONTENT PILLAR MAPPING'!D688, "', dan Deskripsi Gaya Komunikasi: '", 'CONTENT PILLAR MAPPING'!E688, "'.", CHAR(10),
"Target audiens saya adalah: '", 'CONTENT PILLAR MAPPING'!D696, "', dengan segmentasi audiens: '", 'CONTENT PILLAR MAPPING'!D697, "'.", CHAR(10), CHAR(10),
"Mohon buatkan script konten yang **sangat powerful, menarik, inovatif, dan siap pakai** dengan judul ide '", B777, "'.", CHAR(10),
"Konten ini memiliki pilar '", C777, "', nilai tambah utama '", F777, "', dan akan menggunakan storytelling framework '", G777, "'.", CHAR(10),
"Gambaran singkat ide kontennya adalah: '", J777, "'.", CHAR(10),
"Konten ini akan diunggah di platform '", E777, "' dengan format '", D777,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MAPPING'!C683, "'.** Sesuaikan dengan gaya komunikasi saya, dengan fokus pada nilai tambah '", F777,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MAPPING'!D696, ", khusus ", 'CONTENT PILLAR MAPPING'!D697, ") dan membantu mereka menyelesaikan masalah atau mencapai tujuan mereka.", CHAR(10),
"✔ Membantuku membangun personal branding yang kuat dan sustainable, sesuai dengan Positioning saya sebagai '", 'CONTENT PILLAR MAPPING'!C683, "' dan Brand Archetype '", 'CONTENT PILLAR MAPPING'!D688, "'.", CHAR(10),
"✔ Kemas dalam bentuk tabel agar rapi, mudah di baca dan dipahami, dengan kolom 'Judul Konten', 'Pilar', 'Format', 'Draft Script', 'CTA', 'Saran Visual', dan 'Full Caption'. (Kosongkan kolom Link Prompt jika ada)."
),
"")</f>
        <v/>
      </c>
      <c r="L777" s="91" t="n"/>
      <c r="M777" s="91" t="n"/>
      <c r="N777" s="102" t="n"/>
      <c r="O777" s="102" t="n"/>
      <c r="P777" s="102" t="n"/>
      <c r="Q777" s="102" t="n"/>
      <c r="R777" s="102" t="n"/>
      <c r="S777" s="102" t="n"/>
      <c r="T777" s="102" t="n"/>
      <c r="U777" s="102" t="n"/>
      <c r="V777" s="102" t="n"/>
      <c r="W777" s="102" t="n"/>
      <c r="X777" s="102" t="n"/>
      <c r="Y777" s="102" t="n"/>
      <c r="Z777" s="102" t="n"/>
      <c r="AA777" s="102" t="n"/>
      <c r="AB777" s="102" t="n"/>
      <c r="AC777" s="102" t="n"/>
      <c r="AD777" s="102" t="n"/>
    </row>
    <row r="778" ht="15.75" customHeight="1" s="205">
      <c r="A778" s="102" t="n"/>
      <c r="B778" s="147" t="n"/>
      <c r="C778" s="144" t="n"/>
      <c r="D778" s="144" t="n"/>
      <c r="E778" s="144" t="n"/>
      <c r="F778" s="144" t="n"/>
      <c r="G778" s="144" t="n"/>
      <c r="H778" s="141">
        <f>IF(K778&lt;&gt;"", HYPERLINK("https://chatgpt.com/?prompt=" &amp; SUBSTITUTE(SUBSTITUTE(K778, " ", "+"), "&amp;", "dan") &amp; "&amp;force-refresh=true&amp;timestamp=" &amp; TEXT(NOW(), "yyyymmddhhmmss"), "👉 Klik untuk Generate Script! 🔥"), "")</f>
        <v/>
      </c>
      <c r="I778" s="144" t="n"/>
      <c r="J778" s="148" t="n"/>
      <c r="K778" s="140">
        <f>IF(AND(B778&lt;&gt;"", C778&lt;&gt;"", D778&lt;&gt;"", E778&lt;&gt;"", F778&lt;&gt;"", G778&lt;&gt;"", J778&lt;&gt;"", 'CONTENT PILLAR MAPPING'!C680&lt;&gt;"", 'CONTENT PILLAR MAPPING'!E680&lt;&gt;"", 'CONTENT PILLAR MAPPING'!F680&lt;&gt;"", 'CONTENT PILLAR MAPPING'!C683&lt;&gt;"", 'CONTENT PILLAR MAPPING'!C688&lt;&gt;"", 'CONTENT PILLAR MAPPING'!D688&lt;&gt;"", 'CONTENT PILLAR MAPPING'!E688&lt;&gt;"", 'CONTENT PILLAR MAPPING'!D696&lt;&gt;"", 'CONTENT PILLAR MAPPING'!D697&lt;&gt;""),
CONCATENATE(
"Sebagai seorang top konten kreator dengan niche utama '", 'CONTENT PILLAR MAPPING'!C680, "', spesifik kategori '", 'CONTENT PILLAR MAPPING'!E680, "', dan super spesifik '", 'CONTENT PILLAR MAPPING'!F680, "', yang dikenal sebagai '", 'CONTENT PILLAR MAPPING'!C683, "'.", CHAR(10),
"Saya memiliki Tone of Voice: '", 'CONTENT PILLAR MAPPING'!C688, "', Brand Archetype: '", 'CONTENT PILLAR MAPPING'!D688, "', dan Deskripsi Gaya Komunikasi: '", 'CONTENT PILLAR MAPPING'!E688, "'.", CHAR(10),
"Target audiens saya adalah: '", 'CONTENT PILLAR MAPPING'!D696, "', dengan segmentasi audiens: '", 'CONTENT PILLAR MAPPING'!D697, "'.", CHAR(10), CHAR(10),
"Mohon buatkan script konten yang **sangat powerful, menarik, inovatif, dan siap pakai** dengan judul ide '", B778, "'.", CHAR(10),
"Konten ini memiliki pilar '", C778, "', nilai tambah utama '", F778, "', dan akan menggunakan storytelling framework '", G778, "'.", CHAR(10),
"Gambaran singkat ide kontennya adalah: '", J778, "'.", CHAR(10),
"Konten ini akan diunggah di platform '", E778, "' dengan format '", D778,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MAPPING'!C683, "'.** Sesuaikan dengan gaya komunikasi saya, dengan fokus pada nilai tambah '", F778,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MAPPING'!D696, ", khusus ", 'CONTENT PILLAR MAPPING'!D697, ") dan membantu mereka menyelesaikan masalah atau mencapai tujuan mereka.", CHAR(10),
"✔ Membantuku membangun personal branding yang kuat dan sustainable, sesuai dengan Positioning saya sebagai '", 'CONTENT PILLAR MAPPING'!C683, "' dan Brand Archetype '", 'CONTENT PILLAR MAPPING'!D688, "'.", CHAR(10),
"✔ Kemas dalam bentuk tabel agar rapi, mudah di baca dan dipahami, dengan kolom 'Judul Konten', 'Pilar', 'Format', 'Draft Script', 'CTA', 'Saran Visual', dan 'Full Caption'. (Kosongkan kolom Link Prompt jika ada)."
),
"")</f>
        <v/>
      </c>
      <c r="L778" s="199" t="n"/>
      <c r="M778" s="199" t="n"/>
      <c r="N778" s="102" t="n"/>
      <c r="O778" s="102" t="n"/>
      <c r="P778" s="102" t="n"/>
      <c r="Q778" s="102" t="n"/>
      <c r="R778" s="102" t="n"/>
      <c r="S778" s="102" t="n"/>
      <c r="T778" s="102" t="n"/>
      <c r="U778" s="102" t="n"/>
      <c r="V778" s="102" t="n"/>
      <c r="W778" s="102" t="n"/>
      <c r="X778" s="102" t="n"/>
      <c r="Y778" s="102" t="n"/>
      <c r="Z778" s="102" t="n"/>
      <c r="AA778" s="102" t="n"/>
      <c r="AB778" s="102" t="n"/>
      <c r="AC778" s="102" t="n"/>
      <c r="AD778" s="102" t="n"/>
    </row>
    <row r="779" ht="15.75" customHeight="1" s="205">
      <c r="A779" s="102" t="n"/>
      <c r="B779" s="142" t="n"/>
      <c r="C779" s="143" t="n"/>
      <c r="D779" s="143" t="n"/>
      <c r="E779" s="143" t="n"/>
      <c r="F779" s="143" t="n"/>
      <c r="G779" s="144" t="n"/>
      <c r="H779" s="145">
        <f>IF(K779&lt;&gt;"", HYPERLINK("https://chatgpt.com/?prompt=" &amp; SUBSTITUTE(SUBSTITUTE(K779, " ", "+"), "&amp;", "dan") &amp; "&amp;force-refresh=true&amp;timestamp=" &amp; TEXT(NOW(), "yyyymmddhhmmss"), "👉 Klik untuk Generate Script! 🔥"), "")</f>
        <v/>
      </c>
      <c r="I779" s="143" t="n"/>
      <c r="J779" s="146" t="n"/>
      <c r="K779" s="130">
        <f>IF(AND(B779&lt;&gt;"", C779&lt;&gt;"", D779&lt;&gt;"", E779&lt;&gt;"", F779&lt;&gt;"", G779&lt;&gt;"", J779&lt;&gt;"", 'CONTENT PILLAR MAPPING'!C682&lt;&gt;"", 'CONTENT PILLAR MAPPING'!E682&lt;&gt;"", 'CONTENT PILLAR MAPPING'!F682&lt;&gt;"", 'CONTENT PILLAR MAPPING'!C685&lt;&gt;"", 'CONTENT PILLAR MAPPING'!C690&lt;&gt;"", 'CONTENT PILLAR MAPPING'!D690&lt;&gt;"", 'CONTENT PILLAR MAPPING'!E690&lt;&gt;"", 'CONTENT PILLAR MAPPING'!D698&lt;&gt;"", 'CONTENT PILLAR MAPPING'!D699&lt;&gt;""),
CONCATENATE(
"Sebagai seorang top konten kreator dengan niche utama '", 'CONTENT PILLAR MAPPING'!C682, "', spesifik kategori '", 'CONTENT PILLAR MAPPING'!E682, "', dan super spesifik '", 'CONTENT PILLAR MAPPING'!F682, "', yang dikenal sebagai '", 'CONTENT PILLAR MAPPING'!C685, "'.", CHAR(10),
"Saya memiliki Tone of Voice: '", 'CONTENT PILLAR MAPPING'!C690, "', Brand Archetype: '", 'CONTENT PILLAR MAPPING'!D690, "', dan Deskripsi Gaya Komunikasi: '", 'CONTENT PILLAR MAPPING'!E690, "'.", CHAR(10),
"Target audiens saya adalah: '", 'CONTENT PILLAR MAPPING'!D698, "', dengan segmentasi audiens: '", 'CONTENT PILLAR MAPPING'!D699, "'.", CHAR(10), CHAR(10),
"Mohon buatkan script konten yang **sangat powerful, menarik, inovatif, dan siap pakai** dengan judul ide '", B779, "'.", CHAR(10),
"Konten ini memiliki pilar '", C779, "', nilai tambah utama '", F779, "', dan akan menggunakan storytelling framework '", G779, "'.", CHAR(10),
"Gambaran singkat ide kontennya adalah: '", J779, "'.", CHAR(10),
"Konten ini akan diunggah di platform '", E779, "' dengan format '", D779,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MAPPING'!C685, "'.** Sesuaikan dengan gaya komunikasi saya, dengan fokus pada nilai tambah '", F779,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MAPPING'!D698, ", khusus ", 'CONTENT PILLAR MAPPING'!D699, ") dan membantu mereka menyelesaikan masalah atau mencapai tujuan mereka.", CHAR(10),
"✔ Membantuku membangun personal branding yang kuat dan sustainable, sesuai dengan Positioning saya sebagai '", 'CONTENT PILLAR MAPPING'!C685, "' dan Brand Archetype '", 'CONTENT PILLAR MAPPING'!D690, "'.", CHAR(10),
"✔ Kemas dalam bentuk tabel agar rapi, mudah di baca dan dipahami, dengan kolom 'Judul Konten', 'Pilar', 'Format', 'Draft Script', 'CTA', 'Saran Visual', dan 'Full Caption'. (Kosongkan kolom Link Prompt jika ada)."
),
"")</f>
        <v/>
      </c>
      <c r="L779" s="91" t="n"/>
      <c r="M779" s="91" t="n"/>
      <c r="N779" s="102" t="n"/>
      <c r="O779" s="102" t="n"/>
      <c r="P779" s="102" t="n"/>
      <c r="Q779" s="102" t="n"/>
      <c r="R779" s="102" t="n"/>
      <c r="S779" s="102" t="n"/>
      <c r="T779" s="102" t="n"/>
      <c r="U779" s="102" t="n"/>
      <c r="V779" s="102" t="n"/>
      <c r="W779" s="102" t="n"/>
      <c r="X779" s="102" t="n"/>
      <c r="Y779" s="102" t="n"/>
      <c r="Z779" s="102" t="n"/>
      <c r="AA779" s="102" t="n"/>
      <c r="AB779" s="102" t="n"/>
      <c r="AC779" s="102" t="n"/>
      <c r="AD779" s="102" t="n"/>
    </row>
    <row r="780" ht="15.75" customHeight="1" s="205">
      <c r="A780" s="102" t="n"/>
      <c r="B780" s="147" t="n"/>
      <c r="C780" s="144" t="n"/>
      <c r="D780" s="144" t="n"/>
      <c r="E780" s="144" t="n"/>
      <c r="F780" s="144" t="n"/>
      <c r="G780" s="144" t="n"/>
      <c r="H780" s="141">
        <f>IF(K780&lt;&gt;"", HYPERLINK("https://chatgpt.com/?prompt=" &amp; SUBSTITUTE(SUBSTITUTE(K780, " ", "+"), "&amp;", "dan") &amp; "&amp;force-refresh=true&amp;timestamp=" &amp; TEXT(NOW(), "yyyymmddhhmmss"), "👉 Klik untuk Generate Script! 🔥"), "")</f>
        <v/>
      </c>
      <c r="I780" s="144" t="n"/>
      <c r="J780" s="148" t="n"/>
      <c r="K780" s="140">
        <f>IF(AND(B780&lt;&gt;"", C780&lt;&gt;"", D780&lt;&gt;"", E780&lt;&gt;"", F780&lt;&gt;"", G780&lt;&gt;"", J780&lt;&gt;"", 'CONTENT PILLAR MAPPING'!C682&lt;&gt;"", 'CONTENT PILLAR MAPPING'!E682&lt;&gt;"", 'CONTENT PILLAR MAPPING'!F682&lt;&gt;"", 'CONTENT PILLAR MAPPING'!C685&lt;&gt;"", 'CONTENT PILLAR MAPPING'!C690&lt;&gt;"", 'CONTENT PILLAR MAPPING'!D690&lt;&gt;"", 'CONTENT PILLAR MAPPING'!E690&lt;&gt;"", 'CONTENT PILLAR MAPPING'!D698&lt;&gt;"", 'CONTENT PILLAR MAPPING'!D699&lt;&gt;""),
CONCATENATE(
"Sebagai seorang top konten kreator dengan niche utama '", 'CONTENT PILLAR MAPPING'!C682, "', spesifik kategori '", 'CONTENT PILLAR MAPPING'!E682, "', dan super spesifik '", 'CONTENT PILLAR MAPPING'!F682, "', yang dikenal sebagai '", 'CONTENT PILLAR MAPPING'!C685, "'.", CHAR(10),
"Saya memiliki Tone of Voice: '", 'CONTENT PILLAR MAPPING'!C690, "', Brand Archetype: '", 'CONTENT PILLAR MAPPING'!D690, "', dan Deskripsi Gaya Komunikasi: '", 'CONTENT PILLAR MAPPING'!E690, "'.", CHAR(10),
"Target audiens saya adalah: '", 'CONTENT PILLAR MAPPING'!D698, "', dengan segmentasi audiens: '", 'CONTENT PILLAR MAPPING'!D699, "'.", CHAR(10), CHAR(10),
"Mohon buatkan script konten yang **sangat powerful, menarik, inovatif, dan siap pakai** dengan judul ide '", B780, "'.", CHAR(10),
"Konten ini memiliki pilar '", C780, "', nilai tambah utama '", F780, "', dan akan menggunakan storytelling framework '", G780, "'.", CHAR(10),
"Gambaran singkat ide kontennya adalah: '", J780, "'.", CHAR(10),
"Konten ini akan diunggah di platform '", E780, "' dengan format '", D780,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MAPPING'!C685, "'.** Sesuaikan dengan gaya komunikasi saya, dengan fokus pada nilai tambah '", F780,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MAPPING'!D698, ", khusus ", 'CONTENT PILLAR MAPPING'!D699, ") dan membantu mereka menyelesaikan masalah atau mencapai tujuan mereka.", CHAR(10),
"✔ Membantuku membangun personal branding yang kuat dan sustainable, sesuai dengan Positioning saya sebagai '", 'CONTENT PILLAR MAPPING'!C685, "' dan Brand Archetype '", 'CONTENT PILLAR MAPPING'!D690, "'.", CHAR(10),
"✔ Kemas dalam bentuk tabel agar rapi, mudah di baca dan dipahami, dengan kolom 'Judul Konten', 'Pilar', 'Format', 'Draft Script', 'CTA', 'Saran Visual', dan 'Full Caption'. (Kosongkan kolom Link Prompt jika ada)."
),
"")</f>
        <v/>
      </c>
      <c r="L780" s="199" t="n"/>
      <c r="M780" s="199" t="n"/>
      <c r="N780" s="102" t="n"/>
      <c r="O780" s="102" t="n"/>
      <c r="P780" s="102" t="n"/>
      <c r="Q780" s="102" t="n"/>
      <c r="R780" s="102" t="n"/>
      <c r="S780" s="102" t="n"/>
      <c r="T780" s="102" t="n"/>
      <c r="U780" s="102" t="n"/>
      <c r="V780" s="102" t="n"/>
      <c r="W780" s="102" t="n"/>
      <c r="X780" s="102" t="n"/>
      <c r="Y780" s="102" t="n"/>
      <c r="Z780" s="102" t="n"/>
      <c r="AA780" s="102" t="n"/>
      <c r="AB780" s="102" t="n"/>
      <c r="AC780" s="102" t="n"/>
      <c r="AD780" s="102" t="n"/>
    </row>
    <row r="781" ht="15.75" customHeight="1" s="205">
      <c r="A781" s="102" t="n"/>
      <c r="B781" s="142" t="n"/>
      <c r="C781" s="143" t="n"/>
      <c r="D781" s="143" t="n"/>
      <c r="E781" s="143" t="n"/>
      <c r="F781" s="143" t="n"/>
      <c r="G781" s="144" t="n"/>
      <c r="H781" s="145">
        <f>IF(K781&lt;&gt;"", HYPERLINK("https://chatgpt.com/?prompt=" &amp; SUBSTITUTE(SUBSTITUTE(K781, " ", "+"), "&amp;", "dan") &amp; "&amp;force-refresh=true&amp;timestamp=" &amp; TEXT(NOW(), "yyyymmddhhmmss"), "👉 Klik untuk Generate Script! 🔥"), "")</f>
        <v/>
      </c>
      <c r="I781" s="143" t="n"/>
      <c r="J781" s="146" t="n"/>
      <c r="K781" s="130">
        <f>IF(AND(B781&lt;&gt;"", C781&lt;&gt;"", D781&lt;&gt;"", E781&lt;&gt;"", F781&lt;&gt;"", G781&lt;&gt;"", J781&lt;&gt;"", 'CONTENT PILLAR MAPPING'!C684&lt;&gt;"", 'CONTENT PILLAR MAPPING'!E684&lt;&gt;"", 'CONTENT PILLAR MAPPING'!F684&lt;&gt;"", 'CONTENT PILLAR MAPPING'!C687&lt;&gt;"", 'CONTENT PILLAR MAPPING'!C692&lt;&gt;"", 'CONTENT PILLAR MAPPING'!D692&lt;&gt;"", 'CONTENT PILLAR MAPPING'!E692&lt;&gt;"", 'CONTENT PILLAR MAPPING'!D700&lt;&gt;"", 'CONTENT PILLAR MAPPING'!D701&lt;&gt;""),
CONCATENATE(
"Sebagai seorang top konten kreator dengan niche utama '", 'CONTENT PILLAR MAPPING'!C684, "', spesifik kategori '", 'CONTENT PILLAR MAPPING'!E684, "', dan super spesifik '", 'CONTENT PILLAR MAPPING'!F684, "', yang dikenal sebagai '", 'CONTENT PILLAR MAPPING'!C687, "'.", CHAR(10),
"Saya memiliki Tone of Voice: '", 'CONTENT PILLAR MAPPING'!C692, "', Brand Archetype: '", 'CONTENT PILLAR MAPPING'!D692, "', dan Deskripsi Gaya Komunikasi: '", 'CONTENT PILLAR MAPPING'!E692, "'.", CHAR(10),
"Target audiens saya adalah: '", 'CONTENT PILLAR MAPPING'!D700, "', dengan segmentasi audiens: '", 'CONTENT PILLAR MAPPING'!D701, "'.", CHAR(10), CHAR(10),
"Mohon buatkan script konten yang **sangat powerful, menarik, inovatif, dan siap pakai** dengan judul ide '", B781, "'.", CHAR(10),
"Konten ini memiliki pilar '", C781, "', nilai tambah utama '", F781, "', dan akan menggunakan storytelling framework '", G781, "'.", CHAR(10),
"Gambaran singkat ide kontennya adalah: '", J781, "'.", CHAR(10),
"Konten ini akan diunggah di platform '", E781, "' dengan format '", D781,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MAPPING'!C687, "'.** Sesuaikan dengan gaya komunikasi saya, dengan fokus pada nilai tambah '", F781,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MAPPING'!D700, ", khusus ", 'CONTENT PILLAR MAPPING'!D701, ") dan membantu mereka menyelesaikan masalah atau mencapai tujuan mereka.", CHAR(10),
"✔ Membantuku membangun personal branding yang kuat dan sustainable, sesuai dengan Positioning saya sebagai '", 'CONTENT PILLAR MAPPING'!C687, "' dan Brand Archetype '", 'CONTENT PILLAR MAPPING'!D692, "'.", CHAR(10),
"✔ Kemas dalam bentuk tabel agar rapi, mudah di baca dan dipahami, dengan kolom 'Judul Konten', 'Pilar', 'Format', 'Draft Script', 'CTA', 'Saran Visual', dan 'Full Caption'. (Kosongkan kolom Link Prompt jika ada)."
),
"")</f>
        <v/>
      </c>
      <c r="L781" s="91" t="n"/>
      <c r="M781" s="91" t="n"/>
      <c r="N781" s="102" t="n"/>
      <c r="O781" s="102" t="n"/>
      <c r="P781" s="102" t="n"/>
      <c r="Q781" s="102" t="n"/>
      <c r="R781" s="102" t="n"/>
      <c r="S781" s="102" t="n"/>
      <c r="T781" s="102" t="n"/>
      <c r="U781" s="102" t="n"/>
      <c r="V781" s="102" t="n"/>
      <c r="W781" s="102" t="n"/>
      <c r="X781" s="102" t="n"/>
      <c r="Y781" s="102" t="n"/>
      <c r="Z781" s="102" t="n"/>
      <c r="AA781" s="102" t="n"/>
      <c r="AB781" s="102" t="n"/>
      <c r="AC781" s="102" t="n"/>
      <c r="AD781" s="102" t="n"/>
    </row>
    <row r="782" ht="15.75" customHeight="1" s="205">
      <c r="A782" s="102" t="n"/>
      <c r="B782" s="147" t="n"/>
      <c r="C782" s="144" t="n"/>
      <c r="D782" s="144" t="n"/>
      <c r="E782" s="144" t="n"/>
      <c r="F782" s="144" t="n"/>
      <c r="G782" s="144" t="n"/>
      <c r="H782" s="141">
        <f>IF(K782&lt;&gt;"", HYPERLINK("https://chatgpt.com/?prompt=" &amp; SUBSTITUTE(SUBSTITUTE(K782, " ", "+"), "&amp;", "dan") &amp; "&amp;force-refresh=true&amp;timestamp=" &amp; TEXT(NOW(), "yyyymmddhhmmss"), "👉 Klik untuk Generate Script! 🔥"), "")</f>
        <v/>
      </c>
      <c r="I782" s="144" t="n"/>
      <c r="J782" s="148" t="n"/>
      <c r="K782" s="140">
        <f>IF(AND(B782&lt;&gt;"", C782&lt;&gt;"", D782&lt;&gt;"", E782&lt;&gt;"", F782&lt;&gt;"", G782&lt;&gt;"", J782&lt;&gt;"", 'CONTENT PILLAR MAPPING'!C684&lt;&gt;"", 'CONTENT PILLAR MAPPING'!E684&lt;&gt;"", 'CONTENT PILLAR MAPPING'!F684&lt;&gt;"", 'CONTENT PILLAR MAPPING'!C687&lt;&gt;"", 'CONTENT PILLAR MAPPING'!C692&lt;&gt;"", 'CONTENT PILLAR MAPPING'!D692&lt;&gt;"", 'CONTENT PILLAR MAPPING'!E692&lt;&gt;"", 'CONTENT PILLAR MAPPING'!D700&lt;&gt;"", 'CONTENT PILLAR MAPPING'!D701&lt;&gt;""),
CONCATENATE(
"Sebagai seorang top konten kreator dengan niche utama '", 'CONTENT PILLAR MAPPING'!C684, "', spesifik kategori '", 'CONTENT PILLAR MAPPING'!E684, "', dan super spesifik '", 'CONTENT PILLAR MAPPING'!F684, "', yang dikenal sebagai '", 'CONTENT PILLAR MAPPING'!C687, "'.", CHAR(10),
"Saya memiliki Tone of Voice: '", 'CONTENT PILLAR MAPPING'!C692, "', Brand Archetype: '", 'CONTENT PILLAR MAPPING'!D692, "', dan Deskripsi Gaya Komunikasi: '", 'CONTENT PILLAR MAPPING'!E692, "'.", CHAR(10),
"Target audiens saya adalah: '", 'CONTENT PILLAR MAPPING'!D700, "', dengan segmentasi audiens: '", 'CONTENT PILLAR MAPPING'!D701, "'.", CHAR(10), CHAR(10),
"Mohon buatkan script konten yang **sangat powerful, menarik, inovatif, dan siap pakai** dengan judul ide '", B782, "'.", CHAR(10),
"Konten ini memiliki pilar '", C782, "', nilai tambah utama '", F782, "', dan akan menggunakan storytelling framework '", G782, "'.", CHAR(10),
"Gambaran singkat ide kontennya adalah: '", J782, "'.", CHAR(10),
"Konten ini akan diunggah di platform '", E782, "' dengan format '", D782,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MAPPING'!C687, "'.** Sesuaikan dengan gaya komunikasi saya, dengan fokus pada nilai tambah '", F782,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MAPPING'!D700, ", khusus ", 'CONTENT PILLAR MAPPING'!D701, ") dan membantu mereka menyelesaikan masalah atau mencapai tujuan mereka.", CHAR(10),
"✔ Membantuku membangun personal branding yang kuat dan sustainable, sesuai dengan Positioning saya sebagai '", 'CONTENT PILLAR MAPPING'!C687, "' dan Brand Archetype '", 'CONTENT PILLAR MAPPING'!D692, "'.", CHAR(10),
"✔ Kemas dalam bentuk tabel agar rapi, mudah di baca dan dipahami, dengan kolom 'Judul Konten', 'Pilar', 'Format', 'Draft Script', 'CTA', 'Saran Visual', dan 'Full Caption'. (Kosongkan kolom Link Prompt jika ada)."
),
"")</f>
        <v/>
      </c>
      <c r="L782" s="199" t="n"/>
      <c r="M782" s="199" t="n"/>
      <c r="N782" s="102" t="n"/>
      <c r="O782" s="102" t="n"/>
      <c r="P782" s="102" t="n"/>
      <c r="Q782" s="102" t="n"/>
      <c r="R782" s="102" t="n"/>
      <c r="S782" s="102" t="n"/>
      <c r="T782" s="102" t="n"/>
      <c r="U782" s="102" t="n"/>
      <c r="V782" s="102" t="n"/>
      <c r="W782" s="102" t="n"/>
      <c r="X782" s="102" t="n"/>
      <c r="Y782" s="102" t="n"/>
      <c r="Z782" s="102" t="n"/>
      <c r="AA782" s="102" t="n"/>
      <c r="AB782" s="102" t="n"/>
      <c r="AC782" s="102" t="n"/>
      <c r="AD782" s="102" t="n"/>
    </row>
    <row r="783" ht="15.75" customHeight="1" s="205">
      <c r="A783" s="102" t="n"/>
      <c r="B783" s="142" t="n"/>
      <c r="C783" s="143" t="n"/>
      <c r="D783" s="143" t="n"/>
      <c r="E783" s="143" t="n"/>
      <c r="F783" s="143" t="n"/>
      <c r="G783" s="144" t="n"/>
      <c r="H783" s="145">
        <f>IF(K783&lt;&gt;"", HYPERLINK("https://chatgpt.com/?prompt=" &amp; SUBSTITUTE(SUBSTITUTE(K783, " ", "+"), "&amp;", "dan") &amp; "&amp;force-refresh=true&amp;timestamp=" &amp; TEXT(NOW(), "yyyymmddhhmmss"), "👉 Klik untuk Generate Script! 🔥"), "")</f>
        <v/>
      </c>
      <c r="I783" s="143" t="n"/>
      <c r="J783" s="146" t="n"/>
      <c r="K783" s="130">
        <f>IF(AND(B783&lt;&gt;"", C783&lt;&gt;"", D783&lt;&gt;"", E783&lt;&gt;"", F783&lt;&gt;"", G783&lt;&gt;"", J783&lt;&gt;"", 'CONTENT PILLAR MAPPING'!C686&lt;&gt;"", 'CONTENT PILLAR MAPPING'!E686&lt;&gt;"", 'CONTENT PILLAR MAPPING'!F686&lt;&gt;"", 'CONTENT PILLAR MAPPING'!C689&lt;&gt;"", 'CONTENT PILLAR MAPPING'!C694&lt;&gt;"", 'CONTENT PILLAR MAPPING'!D694&lt;&gt;"", 'CONTENT PILLAR MAPPING'!E694&lt;&gt;"", 'CONTENT PILLAR MAPPING'!D702&lt;&gt;"", 'CONTENT PILLAR MAPPING'!D703&lt;&gt;""),
CONCATENATE(
"Sebagai seorang top konten kreator dengan niche utama '", 'CONTENT PILLAR MAPPING'!C686, "', spesifik kategori '", 'CONTENT PILLAR MAPPING'!E686, "', dan super spesifik '", 'CONTENT PILLAR MAPPING'!F686, "', yang dikenal sebagai '", 'CONTENT PILLAR MAPPING'!C689, "'.", CHAR(10),
"Saya memiliki Tone of Voice: '", 'CONTENT PILLAR MAPPING'!C694, "', Brand Archetype: '", 'CONTENT PILLAR MAPPING'!D694, "', dan Deskripsi Gaya Komunikasi: '", 'CONTENT PILLAR MAPPING'!E694, "'.", CHAR(10),
"Target audiens saya adalah: '", 'CONTENT PILLAR MAPPING'!D702, "', dengan segmentasi audiens: '", 'CONTENT PILLAR MAPPING'!D703, "'.", CHAR(10), CHAR(10),
"Mohon buatkan script konten yang **sangat powerful, menarik, inovatif, dan siap pakai** dengan judul ide '", B783, "'.", CHAR(10),
"Konten ini memiliki pilar '", C783, "', nilai tambah utama '", F783, "', dan akan menggunakan storytelling framework '", G783, "'.", CHAR(10),
"Gambaran singkat ide kontennya adalah: '", J783, "'.", CHAR(10),
"Konten ini akan diunggah di platform '", E783, "' dengan format '", D783,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MAPPING'!C689, "'.** Sesuaikan dengan gaya komunikasi saya, dengan fokus pada nilai tambah '", F783,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MAPPING'!D702, ", khusus ", 'CONTENT PILLAR MAPPING'!D703, ") dan membantu mereka menyelesaikan masalah atau mencapai tujuan mereka.", CHAR(10),
"✔ Membantuku membangun personal branding yang kuat dan sustainable, sesuai dengan Positioning saya sebagai '", 'CONTENT PILLAR MAPPING'!C689, "' dan Brand Archetype '", 'CONTENT PILLAR MAPPING'!D694, "'.", CHAR(10),
"✔ Kemas dalam bentuk tabel agar rapi, mudah di baca dan dipahami, dengan kolom 'Judul Konten', 'Pilar', 'Format', 'Draft Script', 'CTA', 'Saran Visual', dan 'Full Caption'. (Kosongkan kolom Link Prompt jika ada)."
),
"")</f>
        <v/>
      </c>
      <c r="L783" s="91" t="n"/>
      <c r="M783" s="91" t="n"/>
      <c r="N783" s="102" t="n"/>
      <c r="O783" s="102" t="n"/>
      <c r="P783" s="102" t="n"/>
      <c r="Q783" s="102" t="n"/>
      <c r="R783" s="102" t="n"/>
      <c r="S783" s="102" t="n"/>
      <c r="T783" s="102" t="n"/>
      <c r="U783" s="102" t="n"/>
      <c r="V783" s="102" t="n"/>
      <c r="W783" s="102" t="n"/>
      <c r="X783" s="102" t="n"/>
      <c r="Y783" s="102" t="n"/>
      <c r="Z783" s="102" t="n"/>
      <c r="AA783" s="102" t="n"/>
      <c r="AB783" s="102" t="n"/>
      <c r="AC783" s="102" t="n"/>
      <c r="AD783" s="102" t="n"/>
    </row>
    <row r="784" ht="15.75" customHeight="1" s="205">
      <c r="A784" s="102" t="n"/>
      <c r="B784" s="147" t="n"/>
      <c r="C784" s="144" t="n"/>
      <c r="D784" s="144" t="n"/>
      <c r="E784" s="144" t="n"/>
      <c r="F784" s="144" t="n"/>
      <c r="G784" s="144" t="n"/>
      <c r="H784" s="141">
        <f>IF(K784&lt;&gt;"", HYPERLINK("https://chatgpt.com/?prompt=" &amp; SUBSTITUTE(SUBSTITUTE(K784, " ", "+"), "&amp;", "dan") &amp; "&amp;force-refresh=true&amp;timestamp=" &amp; TEXT(NOW(), "yyyymmddhhmmss"), "👉 Klik untuk Generate Script! 🔥"), "")</f>
        <v/>
      </c>
      <c r="I784" s="144" t="n"/>
      <c r="J784" s="148" t="n"/>
      <c r="K784" s="140">
        <f>IF(AND(B784&lt;&gt;"", C784&lt;&gt;"", D784&lt;&gt;"", E784&lt;&gt;"", F784&lt;&gt;"", G784&lt;&gt;"", J784&lt;&gt;"", 'CONTENT PILLAR MAPPING'!C686&lt;&gt;"", 'CONTENT PILLAR MAPPING'!E686&lt;&gt;"", 'CONTENT PILLAR MAPPING'!F686&lt;&gt;"", 'CONTENT PILLAR MAPPING'!C689&lt;&gt;"", 'CONTENT PILLAR MAPPING'!C694&lt;&gt;"", 'CONTENT PILLAR MAPPING'!D694&lt;&gt;"", 'CONTENT PILLAR MAPPING'!E694&lt;&gt;"", 'CONTENT PILLAR MAPPING'!D702&lt;&gt;"", 'CONTENT PILLAR MAPPING'!D703&lt;&gt;""),
CONCATENATE(
"Sebagai seorang top konten kreator dengan niche utama '", 'CONTENT PILLAR MAPPING'!C686, "', spesifik kategori '", 'CONTENT PILLAR MAPPING'!E686, "', dan super spesifik '", 'CONTENT PILLAR MAPPING'!F686, "', yang dikenal sebagai '", 'CONTENT PILLAR MAPPING'!C689, "'.", CHAR(10),
"Saya memiliki Tone of Voice: '", 'CONTENT PILLAR MAPPING'!C694, "', Brand Archetype: '", 'CONTENT PILLAR MAPPING'!D694, "', dan Deskripsi Gaya Komunikasi: '", 'CONTENT PILLAR MAPPING'!E694, "'.", CHAR(10),
"Target audiens saya adalah: '", 'CONTENT PILLAR MAPPING'!D702, "', dengan segmentasi audiens: '", 'CONTENT PILLAR MAPPING'!D703, "'.", CHAR(10), CHAR(10),
"Mohon buatkan script konten yang **sangat powerful, menarik, inovatif, dan siap pakai** dengan judul ide '", B784, "'.", CHAR(10),
"Konten ini memiliki pilar '", C784, "', nilai tambah utama '", F784, "', dan akan menggunakan storytelling framework '", G784, "'.", CHAR(10),
"Gambaran singkat ide kontennya adalah: '", J784, "'.", CHAR(10),
"Konten ini akan diunggah di platform '", E784, "' dengan format '", D784,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MAPPING'!C689, "'.** Sesuaikan dengan gaya komunikasi saya, dengan fokus pada nilai tambah '", F784,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MAPPING'!D702, ", khusus ", 'CONTENT PILLAR MAPPING'!D703, ") dan membantu mereka menyelesaikan masalah atau mencapai tujuan mereka.", CHAR(10),
"✔ Membantuku membangun personal branding yang kuat dan sustainable, sesuai dengan Positioning saya sebagai '", 'CONTENT PILLAR MAPPING'!C689, "' dan Brand Archetype '", 'CONTENT PILLAR MAPPING'!D694, "'.", CHAR(10),
"✔ Kemas dalam bentuk tabel agar rapi, mudah di baca dan dipahami, dengan kolom 'Judul Konten', 'Pilar', 'Format', 'Draft Script', 'CTA', 'Saran Visual', dan 'Full Caption'. (Kosongkan kolom Link Prompt jika ada)."
),
"")</f>
        <v/>
      </c>
      <c r="L784" s="199" t="n"/>
      <c r="M784" s="199" t="n"/>
      <c r="N784" s="102" t="n"/>
      <c r="O784" s="102" t="n"/>
      <c r="P784" s="102" t="n"/>
      <c r="Q784" s="102" t="n"/>
      <c r="R784" s="102" t="n"/>
      <c r="S784" s="102" t="n"/>
      <c r="T784" s="102" t="n"/>
      <c r="U784" s="102" t="n"/>
      <c r="V784" s="102" t="n"/>
      <c r="W784" s="102" t="n"/>
      <c r="X784" s="102" t="n"/>
      <c r="Y784" s="102" t="n"/>
      <c r="Z784" s="102" t="n"/>
      <c r="AA784" s="102" t="n"/>
      <c r="AB784" s="102" t="n"/>
      <c r="AC784" s="102" t="n"/>
      <c r="AD784" s="102" t="n"/>
    </row>
    <row r="785" ht="15.75" customHeight="1" s="205">
      <c r="A785" s="102" t="n"/>
      <c r="B785" s="142" t="n"/>
      <c r="C785" s="143" t="n"/>
      <c r="D785" s="143" t="n"/>
      <c r="E785" s="143" t="n"/>
      <c r="F785" s="143" t="n"/>
      <c r="G785" s="144" t="n"/>
      <c r="H785" s="145">
        <f>IF(K785&lt;&gt;"", HYPERLINK("https://chatgpt.com/?prompt=" &amp; SUBSTITUTE(SUBSTITUTE(K785, " ", "+"), "&amp;", "dan") &amp; "&amp;force-refresh=true&amp;timestamp=" &amp; TEXT(NOW(), "yyyymmddhhmmss"), "👉 Klik untuk Generate Script! 🔥"), "")</f>
        <v/>
      </c>
      <c r="I785" s="143" t="n"/>
      <c r="J785" s="146" t="n"/>
      <c r="K785" s="130">
        <f>IF(AND(B785&lt;&gt;"", C785&lt;&gt;"", D785&lt;&gt;"", E785&lt;&gt;"", F785&lt;&gt;"", G785&lt;&gt;"", J785&lt;&gt;"", 'CONTENT PILLAR MAPPING'!C688&lt;&gt;"", 'CONTENT PILLAR MAPPING'!E688&lt;&gt;"", 'CONTENT PILLAR MAPPING'!F688&lt;&gt;"", 'CONTENT PILLAR MAPPING'!C691&lt;&gt;"", 'CONTENT PILLAR MAPPING'!C696&lt;&gt;"", 'CONTENT PILLAR MAPPING'!D696&lt;&gt;"", 'CONTENT PILLAR MAPPING'!E696&lt;&gt;"", 'CONTENT PILLAR MAPPING'!D704&lt;&gt;"", 'CONTENT PILLAR MAPPING'!D705&lt;&gt;""),
CONCATENATE(
"Sebagai seorang top konten kreator dengan niche utama '", 'CONTENT PILLAR MAPPING'!C688, "', spesifik kategori '", 'CONTENT PILLAR MAPPING'!E688, "', dan super spesifik '", 'CONTENT PILLAR MAPPING'!F688, "', yang dikenal sebagai '", 'CONTENT PILLAR MAPPING'!C691, "'.", CHAR(10),
"Saya memiliki Tone of Voice: '", 'CONTENT PILLAR MAPPING'!C696, "', Brand Archetype: '", 'CONTENT PILLAR MAPPING'!D696, "', dan Deskripsi Gaya Komunikasi: '", 'CONTENT PILLAR MAPPING'!E696, "'.", CHAR(10),
"Target audiens saya adalah: '", 'CONTENT PILLAR MAPPING'!D704, "', dengan segmentasi audiens: '", 'CONTENT PILLAR MAPPING'!D705, "'.", CHAR(10), CHAR(10),
"Mohon buatkan script konten yang **sangat powerful, menarik, inovatif, dan siap pakai** dengan judul ide '", B785, "'.", CHAR(10),
"Konten ini memiliki pilar '", C785, "', nilai tambah utama '", F785, "', dan akan menggunakan storytelling framework '", G785, "'.", CHAR(10),
"Gambaran singkat ide kontennya adalah: '", J785, "'.", CHAR(10),
"Konten ini akan diunggah di platform '", E785, "' dengan format '", D785,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MAPPING'!C691, "'.** Sesuaikan dengan gaya komunikasi saya, dengan fokus pada nilai tambah '", F785,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MAPPING'!D704, ", khusus ", 'CONTENT PILLAR MAPPING'!D705, ") dan membantu mereka menyelesaikan masalah atau mencapai tujuan mereka.", CHAR(10),
"✔ Membantuku membangun personal branding yang kuat dan sustainable, sesuai dengan Positioning saya sebagai '", 'CONTENT PILLAR MAPPING'!C691, "' dan Brand Archetype '", 'CONTENT PILLAR MAPPING'!D696, "'.", CHAR(10),
"✔ Kemas dalam bentuk tabel agar rapi, mudah di baca dan dipahami, dengan kolom 'Judul Konten', 'Pilar', 'Format', 'Draft Script', 'CTA', 'Saran Visual', dan 'Full Caption'. (Kosongkan kolom Link Prompt jika ada)."
),
"")</f>
        <v/>
      </c>
      <c r="L785" s="91" t="n"/>
      <c r="M785" s="91" t="n"/>
      <c r="N785" s="102" t="n"/>
      <c r="O785" s="102" t="n"/>
      <c r="P785" s="102" t="n"/>
      <c r="Q785" s="102" t="n"/>
      <c r="R785" s="102" t="n"/>
      <c r="S785" s="102" t="n"/>
      <c r="T785" s="102" t="n"/>
      <c r="U785" s="102" t="n"/>
      <c r="V785" s="102" t="n"/>
      <c r="W785" s="102" t="n"/>
      <c r="X785" s="102" t="n"/>
      <c r="Y785" s="102" t="n"/>
      <c r="Z785" s="102" t="n"/>
      <c r="AA785" s="102" t="n"/>
      <c r="AB785" s="102" t="n"/>
      <c r="AC785" s="102" t="n"/>
      <c r="AD785" s="102" t="n"/>
    </row>
    <row r="786" ht="15.75" customHeight="1" s="205">
      <c r="A786" s="102" t="n"/>
      <c r="B786" s="147" t="n"/>
      <c r="C786" s="144" t="n"/>
      <c r="D786" s="144" t="n"/>
      <c r="E786" s="144" t="n"/>
      <c r="F786" s="144" t="n"/>
      <c r="G786" s="144" t="n"/>
      <c r="H786" s="141">
        <f>IF(K786&lt;&gt;"", HYPERLINK("https://chatgpt.com/?prompt=" &amp; SUBSTITUTE(SUBSTITUTE(K786, " ", "+"), "&amp;", "dan") &amp; "&amp;force-refresh=true&amp;timestamp=" &amp; TEXT(NOW(), "yyyymmddhhmmss"), "👉 Klik untuk Generate Script! 🔥"), "")</f>
        <v/>
      </c>
      <c r="I786" s="144" t="n"/>
      <c r="J786" s="148" t="n"/>
      <c r="K786" s="140">
        <f>IF(AND(B786&lt;&gt;"", C786&lt;&gt;"", D786&lt;&gt;"", E786&lt;&gt;"", F786&lt;&gt;"", G786&lt;&gt;"", J786&lt;&gt;"", 'CONTENT PILLAR MAPPING'!C688&lt;&gt;"", 'CONTENT PILLAR MAPPING'!E688&lt;&gt;"", 'CONTENT PILLAR MAPPING'!F688&lt;&gt;"", 'CONTENT PILLAR MAPPING'!C691&lt;&gt;"", 'CONTENT PILLAR MAPPING'!C696&lt;&gt;"", 'CONTENT PILLAR MAPPING'!D696&lt;&gt;"", 'CONTENT PILLAR MAPPING'!E696&lt;&gt;"", 'CONTENT PILLAR MAPPING'!D704&lt;&gt;"", 'CONTENT PILLAR MAPPING'!D705&lt;&gt;""),
CONCATENATE(
"Sebagai seorang top konten kreator dengan niche utama '", 'CONTENT PILLAR MAPPING'!C688, "', spesifik kategori '", 'CONTENT PILLAR MAPPING'!E688, "', dan super spesifik '", 'CONTENT PILLAR MAPPING'!F688, "', yang dikenal sebagai '", 'CONTENT PILLAR MAPPING'!C691, "'.", CHAR(10),
"Saya memiliki Tone of Voice: '", 'CONTENT PILLAR MAPPING'!C696, "', Brand Archetype: '", 'CONTENT PILLAR MAPPING'!D696, "', dan Deskripsi Gaya Komunikasi: '", 'CONTENT PILLAR MAPPING'!E696, "'.", CHAR(10),
"Target audiens saya adalah: '", 'CONTENT PILLAR MAPPING'!D704, "', dengan segmentasi audiens: '", 'CONTENT PILLAR MAPPING'!D705, "'.", CHAR(10), CHAR(10),
"Mohon buatkan script konten yang **sangat powerful, menarik, inovatif, dan siap pakai** dengan judul ide '", B786, "'.", CHAR(10),
"Konten ini memiliki pilar '", C786, "', nilai tambah utama '", F786, "', dan akan menggunakan storytelling framework '", G786, "'.", CHAR(10),
"Gambaran singkat ide kontennya adalah: '", J786, "'.", CHAR(10),
"Konten ini akan diunggah di platform '", E786, "' dengan format '", D786,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MAPPING'!C691, "'.** Sesuaikan dengan gaya komunikasi saya, dengan fokus pada nilai tambah '", F786,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MAPPING'!D704, ", khusus ", 'CONTENT PILLAR MAPPING'!D705, ") dan membantu mereka menyelesaikan masalah atau mencapai tujuan mereka.", CHAR(10),
"✔ Membantuku membangun personal branding yang kuat dan sustainable, sesuai dengan Positioning saya sebagai '", 'CONTENT PILLAR MAPPING'!C691, "' dan Brand Archetype '", 'CONTENT PILLAR MAPPING'!D696, "'.", CHAR(10),
"✔ Kemas dalam bentuk tabel agar rapi, mudah di baca dan dipahami, dengan kolom 'Judul Konten', 'Pilar', 'Format', 'Draft Script', 'CTA', 'Saran Visual', dan 'Full Caption'. (Kosongkan kolom Link Prompt jika ada)."
),
"")</f>
        <v/>
      </c>
      <c r="L786" s="199" t="n"/>
      <c r="M786" s="199" t="n"/>
      <c r="N786" s="102" t="n"/>
      <c r="O786" s="102" t="n"/>
      <c r="P786" s="102" t="n"/>
      <c r="Q786" s="102" t="n"/>
      <c r="R786" s="102" t="n"/>
      <c r="S786" s="102" t="n"/>
      <c r="T786" s="102" t="n"/>
      <c r="U786" s="102" t="n"/>
      <c r="V786" s="102" t="n"/>
      <c r="W786" s="102" t="n"/>
      <c r="X786" s="102" t="n"/>
      <c r="Y786" s="102" t="n"/>
      <c r="Z786" s="102" t="n"/>
      <c r="AA786" s="102" t="n"/>
      <c r="AB786" s="102" t="n"/>
      <c r="AC786" s="102" t="n"/>
      <c r="AD786" s="102" t="n"/>
    </row>
    <row r="787" ht="15.75" customHeight="1" s="205">
      <c r="A787" s="102" t="n"/>
      <c r="B787" s="142" t="n"/>
      <c r="C787" s="143" t="n"/>
      <c r="D787" s="143" t="n"/>
      <c r="E787" s="143" t="n"/>
      <c r="F787" s="143" t="n"/>
      <c r="G787" s="144" t="n"/>
      <c r="H787" s="145">
        <f>IF(K787&lt;&gt;"", HYPERLINK("https://chatgpt.com/?prompt=" &amp; SUBSTITUTE(SUBSTITUTE(K787, " ", "+"), "&amp;", "dan") &amp; "&amp;force-refresh=true&amp;timestamp=" &amp; TEXT(NOW(), "yyyymmddhhmmss"), "👉 Klik untuk Generate Script! 🔥"), "")</f>
        <v/>
      </c>
      <c r="I787" s="143" t="n"/>
      <c r="J787" s="146" t="n"/>
      <c r="K787" s="130">
        <f>IF(AND(B787&lt;&gt;"", C787&lt;&gt;"", D787&lt;&gt;"", E787&lt;&gt;"", F787&lt;&gt;"", G787&lt;&gt;"", J787&lt;&gt;"", 'CONTENT PILLAR MAPPING'!C690&lt;&gt;"", 'CONTENT PILLAR MAPPING'!E690&lt;&gt;"", 'CONTENT PILLAR MAPPING'!F690&lt;&gt;"", 'CONTENT PILLAR MAPPING'!C693&lt;&gt;"", 'CONTENT PILLAR MAPPING'!C698&lt;&gt;"", 'CONTENT PILLAR MAPPING'!D698&lt;&gt;"", 'CONTENT PILLAR MAPPING'!E698&lt;&gt;"", 'CONTENT PILLAR MAPPING'!D706&lt;&gt;"", 'CONTENT PILLAR MAPPING'!D707&lt;&gt;""),
CONCATENATE(
"Sebagai seorang top konten kreator dengan niche utama '", 'CONTENT PILLAR MAPPING'!C690, "', spesifik kategori '", 'CONTENT PILLAR MAPPING'!E690, "', dan super spesifik '", 'CONTENT PILLAR MAPPING'!F690, "', yang dikenal sebagai '", 'CONTENT PILLAR MAPPING'!C693, "'.", CHAR(10),
"Saya memiliki Tone of Voice: '", 'CONTENT PILLAR MAPPING'!C698, "', Brand Archetype: '", 'CONTENT PILLAR MAPPING'!D698, "', dan Deskripsi Gaya Komunikasi: '", 'CONTENT PILLAR MAPPING'!E698, "'.", CHAR(10),
"Target audiens saya adalah: '", 'CONTENT PILLAR MAPPING'!D706, "', dengan segmentasi audiens: '", 'CONTENT PILLAR MAPPING'!D707, "'.", CHAR(10), CHAR(10),
"Mohon buatkan script konten yang **sangat powerful, menarik, inovatif, dan siap pakai** dengan judul ide '", B787, "'.", CHAR(10),
"Konten ini memiliki pilar '", C787, "', nilai tambah utama '", F787, "', dan akan menggunakan storytelling framework '", G787, "'.", CHAR(10),
"Gambaran singkat ide kontennya adalah: '", J787, "'.", CHAR(10),
"Konten ini akan diunggah di platform '", E787, "' dengan format '", D787,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MAPPING'!C693, "'.** Sesuaikan dengan gaya komunikasi saya, dengan fokus pada nilai tambah '", F787,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MAPPING'!D706, ", khusus ", 'CONTENT PILLAR MAPPING'!D707, ") dan membantu mereka menyelesaikan masalah atau mencapai tujuan mereka.", CHAR(10),
"✔ Membantuku membangun personal branding yang kuat dan sustainable, sesuai dengan Positioning saya sebagai '", 'CONTENT PILLAR MAPPING'!C693, "' dan Brand Archetype '", 'CONTENT PILLAR MAPPING'!D698, "'.", CHAR(10),
"✔ Kemas dalam bentuk tabel agar rapi, mudah di baca dan dipahami, dengan kolom 'Judul Konten', 'Pilar', 'Format', 'Draft Script', 'CTA', 'Saran Visual', dan 'Full Caption'. (Kosongkan kolom Link Prompt jika ada)."
),
"")</f>
        <v/>
      </c>
      <c r="L787" s="91" t="n"/>
      <c r="M787" s="91" t="n"/>
      <c r="N787" s="102" t="n"/>
      <c r="O787" s="102" t="n"/>
      <c r="P787" s="102" t="n"/>
      <c r="Q787" s="102" t="n"/>
      <c r="R787" s="102" t="n"/>
      <c r="S787" s="102" t="n"/>
      <c r="T787" s="102" t="n"/>
      <c r="U787" s="102" t="n"/>
      <c r="V787" s="102" t="n"/>
      <c r="W787" s="102" t="n"/>
      <c r="X787" s="102" t="n"/>
      <c r="Y787" s="102" t="n"/>
      <c r="Z787" s="102" t="n"/>
      <c r="AA787" s="102" t="n"/>
      <c r="AB787" s="102" t="n"/>
      <c r="AC787" s="102" t="n"/>
      <c r="AD787" s="102" t="n"/>
    </row>
    <row r="788" ht="15.75" customHeight="1" s="205">
      <c r="A788" s="102" t="n"/>
      <c r="B788" s="147" t="n"/>
      <c r="C788" s="144" t="n"/>
      <c r="D788" s="144" t="n"/>
      <c r="E788" s="144" t="n"/>
      <c r="F788" s="144" t="n"/>
      <c r="G788" s="144" t="n"/>
      <c r="H788" s="141">
        <f>IF(K788&lt;&gt;"", HYPERLINK("https://chatgpt.com/?prompt=" &amp; SUBSTITUTE(SUBSTITUTE(K788, " ", "+"), "&amp;", "dan") &amp; "&amp;force-refresh=true&amp;timestamp=" &amp; TEXT(NOW(), "yyyymmddhhmmss"), "👉 Klik untuk Generate Script! 🔥"), "")</f>
        <v/>
      </c>
      <c r="I788" s="144" t="n"/>
      <c r="J788" s="148" t="n"/>
      <c r="K788" s="140">
        <f>IF(AND(B788&lt;&gt;"", C788&lt;&gt;"", D788&lt;&gt;"", E788&lt;&gt;"", F788&lt;&gt;"", G788&lt;&gt;"", J788&lt;&gt;"", 'CONTENT PILLAR MAPPING'!C690&lt;&gt;"", 'CONTENT PILLAR MAPPING'!E690&lt;&gt;"", 'CONTENT PILLAR MAPPING'!F690&lt;&gt;"", 'CONTENT PILLAR MAPPING'!C693&lt;&gt;"", 'CONTENT PILLAR MAPPING'!C698&lt;&gt;"", 'CONTENT PILLAR MAPPING'!D698&lt;&gt;"", 'CONTENT PILLAR MAPPING'!E698&lt;&gt;"", 'CONTENT PILLAR MAPPING'!D706&lt;&gt;"", 'CONTENT PILLAR MAPPING'!D707&lt;&gt;""),
CONCATENATE(
"Sebagai seorang top konten kreator dengan niche utama '", 'CONTENT PILLAR MAPPING'!C690, "', spesifik kategori '", 'CONTENT PILLAR MAPPING'!E690, "', dan super spesifik '", 'CONTENT PILLAR MAPPING'!F690, "', yang dikenal sebagai '", 'CONTENT PILLAR MAPPING'!C693, "'.", CHAR(10),
"Saya memiliki Tone of Voice: '", 'CONTENT PILLAR MAPPING'!C698, "', Brand Archetype: '", 'CONTENT PILLAR MAPPING'!D698, "', dan Deskripsi Gaya Komunikasi: '", 'CONTENT PILLAR MAPPING'!E698, "'.", CHAR(10),
"Target audiens saya adalah: '", 'CONTENT PILLAR MAPPING'!D706, "', dengan segmentasi audiens: '", 'CONTENT PILLAR MAPPING'!D707, "'.", CHAR(10), CHAR(10),
"Mohon buatkan script konten yang **sangat powerful, menarik, inovatif, dan siap pakai** dengan judul ide '", B788, "'.", CHAR(10),
"Konten ini memiliki pilar '", C788, "', nilai tambah utama '", F788, "', dan akan menggunakan storytelling framework '", G788, "'.", CHAR(10),
"Gambaran singkat ide kontennya adalah: '", J788, "'.", CHAR(10),
"Konten ini akan diunggah di platform '", E788, "' dengan format '", D788,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MAPPING'!C693, "'.** Sesuaikan dengan gaya komunikasi saya, dengan fokus pada nilai tambah '", F788,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MAPPING'!D706, ", khusus ", 'CONTENT PILLAR MAPPING'!D707, ") dan membantu mereka menyelesaikan masalah atau mencapai tujuan mereka.", CHAR(10),
"✔ Membantuku membangun personal branding yang kuat dan sustainable, sesuai dengan Positioning saya sebagai '", 'CONTENT PILLAR MAPPING'!C693, "' dan Brand Archetype '", 'CONTENT PILLAR MAPPING'!D698, "'.", CHAR(10),
"✔ Kemas dalam bentuk tabel agar rapi, mudah di baca dan dipahami, dengan kolom 'Judul Konten', 'Pilar', 'Format', 'Draft Script', 'CTA', 'Saran Visual', dan 'Full Caption'. (Kosongkan kolom Link Prompt jika ada)."
),
"")</f>
        <v/>
      </c>
      <c r="L788" s="199" t="n"/>
      <c r="M788" s="199" t="n"/>
      <c r="N788" s="102" t="n"/>
      <c r="O788" s="102" t="n"/>
      <c r="P788" s="102" t="n"/>
      <c r="Q788" s="102" t="n"/>
      <c r="R788" s="102" t="n"/>
      <c r="S788" s="102" t="n"/>
      <c r="T788" s="102" t="n"/>
      <c r="U788" s="102" t="n"/>
      <c r="V788" s="102" t="n"/>
      <c r="W788" s="102" t="n"/>
      <c r="X788" s="102" t="n"/>
      <c r="Y788" s="102" t="n"/>
      <c r="Z788" s="102" t="n"/>
      <c r="AA788" s="102" t="n"/>
      <c r="AB788" s="102" t="n"/>
      <c r="AC788" s="102" t="n"/>
      <c r="AD788" s="102" t="n"/>
    </row>
    <row r="789" ht="15.75" customHeight="1" s="205">
      <c r="A789" s="102" t="n"/>
      <c r="B789" s="142" t="n"/>
      <c r="C789" s="143" t="n"/>
      <c r="D789" s="143" t="n"/>
      <c r="E789" s="143" t="n"/>
      <c r="F789" s="143" t="n"/>
      <c r="G789" s="144" t="n"/>
      <c r="H789" s="145">
        <f>IF(K789&lt;&gt;"", HYPERLINK("https://chatgpt.com/?prompt=" &amp; SUBSTITUTE(SUBSTITUTE(K789, " ", "+"), "&amp;", "dan") &amp; "&amp;force-refresh=true&amp;timestamp=" &amp; TEXT(NOW(), "yyyymmddhhmmss"), "👉 Klik untuk Generate Script! 🔥"), "")</f>
        <v/>
      </c>
      <c r="I789" s="143" t="n"/>
      <c r="J789" s="146" t="n"/>
      <c r="K789" s="130">
        <f>IF(AND(B789&lt;&gt;"", C789&lt;&gt;"", D789&lt;&gt;"", E789&lt;&gt;"", F789&lt;&gt;"", G789&lt;&gt;"", J789&lt;&gt;"", 'CONTENT PILLAR MAPPING'!C692&lt;&gt;"", 'CONTENT PILLAR MAPPING'!E692&lt;&gt;"", 'CONTENT PILLAR MAPPING'!F692&lt;&gt;"", 'CONTENT PILLAR MAPPING'!C695&lt;&gt;"", 'CONTENT PILLAR MAPPING'!C700&lt;&gt;"", 'CONTENT PILLAR MAPPING'!D700&lt;&gt;"", 'CONTENT PILLAR MAPPING'!E700&lt;&gt;"", 'CONTENT PILLAR MAPPING'!D708&lt;&gt;"", 'CONTENT PILLAR MAPPING'!D709&lt;&gt;""),
CONCATENATE(
"Sebagai seorang top konten kreator dengan niche utama '", 'CONTENT PILLAR MAPPING'!C692, "', spesifik kategori '", 'CONTENT PILLAR MAPPING'!E692, "', dan super spesifik '", 'CONTENT PILLAR MAPPING'!F692, "', yang dikenal sebagai '", 'CONTENT PILLAR MAPPING'!C695, "'.", CHAR(10),
"Saya memiliki Tone of Voice: '", 'CONTENT PILLAR MAPPING'!C700, "', Brand Archetype: '", 'CONTENT PILLAR MAPPING'!D700, "', dan Deskripsi Gaya Komunikasi: '", 'CONTENT PILLAR MAPPING'!E700, "'.", CHAR(10),
"Target audiens saya adalah: '", 'CONTENT PILLAR MAPPING'!D708, "', dengan segmentasi audiens: '", 'CONTENT PILLAR MAPPING'!D709, "'.", CHAR(10), CHAR(10),
"Mohon buatkan script konten yang **sangat powerful, menarik, inovatif, dan siap pakai** dengan judul ide '", B789, "'.", CHAR(10),
"Konten ini memiliki pilar '", C789, "', nilai tambah utama '", F789, "', dan akan menggunakan storytelling framework '", G789, "'.", CHAR(10),
"Gambaran singkat ide kontennya adalah: '", J789, "'.", CHAR(10),
"Konten ini akan diunggah di platform '", E789, "' dengan format '", D789,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MAPPING'!C695, "'.** Sesuaikan dengan gaya komunikasi saya, dengan fokus pada nilai tambah '", F789,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MAPPING'!D708, ", khusus ", 'CONTENT PILLAR MAPPING'!D709, ") dan membantu mereka menyelesaikan masalah atau mencapai tujuan mereka.", CHAR(10),
"✔ Membantuku membangun personal branding yang kuat dan sustainable, sesuai dengan Positioning saya sebagai '", 'CONTENT PILLAR MAPPING'!C695, "' dan Brand Archetype '", 'CONTENT PILLAR MAPPING'!D700, "'.", CHAR(10),
"✔ Kemas dalam bentuk tabel agar rapi, mudah di baca dan dipahami, dengan kolom 'Judul Konten', 'Pilar', 'Format', 'Draft Script', 'CTA', 'Saran Visual', dan 'Full Caption'. (Kosongkan kolom Link Prompt jika ada)."
),
"")</f>
        <v/>
      </c>
      <c r="L789" s="91" t="n"/>
      <c r="M789" s="91" t="n"/>
      <c r="N789" s="102" t="n"/>
      <c r="O789" s="102" t="n"/>
      <c r="P789" s="102" t="n"/>
      <c r="Q789" s="102" t="n"/>
      <c r="R789" s="102" t="n"/>
      <c r="S789" s="102" t="n"/>
      <c r="T789" s="102" t="n"/>
      <c r="U789" s="102" t="n"/>
      <c r="V789" s="102" t="n"/>
      <c r="W789" s="102" t="n"/>
      <c r="X789" s="102" t="n"/>
      <c r="Y789" s="102" t="n"/>
      <c r="Z789" s="102" t="n"/>
      <c r="AA789" s="102" t="n"/>
      <c r="AB789" s="102" t="n"/>
      <c r="AC789" s="102" t="n"/>
      <c r="AD789" s="102" t="n"/>
    </row>
    <row r="790" ht="15.75" customHeight="1" s="205">
      <c r="A790" s="102" t="n"/>
      <c r="B790" s="147" t="n"/>
      <c r="C790" s="144" t="n"/>
      <c r="D790" s="144" t="n"/>
      <c r="E790" s="144" t="n"/>
      <c r="F790" s="144" t="n"/>
      <c r="G790" s="144" t="n"/>
      <c r="H790" s="141">
        <f>IF(K790&lt;&gt;"", HYPERLINK("https://chatgpt.com/?prompt=" &amp; SUBSTITUTE(SUBSTITUTE(K790, " ", "+"), "&amp;", "dan") &amp; "&amp;force-refresh=true&amp;timestamp=" &amp; TEXT(NOW(), "yyyymmddhhmmss"), "👉 Klik untuk Generate Script! 🔥"), "")</f>
        <v/>
      </c>
      <c r="I790" s="144" t="n"/>
      <c r="J790" s="148" t="n"/>
      <c r="K790" s="140">
        <f>IF(AND(B790&lt;&gt;"", C790&lt;&gt;"", D790&lt;&gt;"", E790&lt;&gt;"", F790&lt;&gt;"", G790&lt;&gt;"", J790&lt;&gt;"", 'CONTENT PILLAR MAPPING'!C692&lt;&gt;"", 'CONTENT PILLAR MAPPING'!E692&lt;&gt;"", 'CONTENT PILLAR MAPPING'!F692&lt;&gt;"", 'CONTENT PILLAR MAPPING'!C695&lt;&gt;"", 'CONTENT PILLAR MAPPING'!C700&lt;&gt;"", 'CONTENT PILLAR MAPPING'!D700&lt;&gt;"", 'CONTENT PILLAR MAPPING'!E700&lt;&gt;"", 'CONTENT PILLAR MAPPING'!D708&lt;&gt;"", 'CONTENT PILLAR MAPPING'!D709&lt;&gt;""),
CONCATENATE(
"Sebagai seorang top konten kreator dengan niche utama '", 'CONTENT PILLAR MAPPING'!C692, "', spesifik kategori '", 'CONTENT PILLAR MAPPING'!E692, "', dan super spesifik '", 'CONTENT PILLAR MAPPING'!F692, "', yang dikenal sebagai '", 'CONTENT PILLAR MAPPING'!C695, "'.", CHAR(10),
"Saya memiliki Tone of Voice: '", 'CONTENT PILLAR MAPPING'!C700, "', Brand Archetype: '", 'CONTENT PILLAR MAPPING'!D700, "', dan Deskripsi Gaya Komunikasi: '", 'CONTENT PILLAR MAPPING'!E700, "'.", CHAR(10),
"Target audiens saya adalah: '", 'CONTENT PILLAR MAPPING'!D708, "', dengan segmentasi audiens: '", 'CONTENT PILLAR MAPPING'!D709, "'.", CHAR(10), CHAR(10),
"Mohon buatkan script konten yang **sangat powerful, menarik, inovatif, dan siap pakai** dengan judul ide '", B790, "'.", CHAR(10),
"Konten ini memiliki pilar '", C790, "', nilai tambah utama '", F790, "', dan akan menggunakan storytelling framework '", G790, "'.", CHAR(10),
"Gambaran singkat ide kontennya adalah: '", J790, "'.", CHAR(10),
"Konten ini akan diunggah di platform '", E790, "' dengan format '", D790,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MAPPING'!C695, "'.** Sesuaikan dengan gaya komunikasi saya, dengan fokus pada nilai tambah '", F790,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MAPPING'!D708, ", khusus ", 'CONTENT PILLAR MAPPING'!D709, ") dan membantu mereka menyelesaikan masalah atau mencapai tujuan mereka.", CHAR(10),
"✔ Membantuku membangun personal branding yang kuat dan sustainable, sesuai dengan Positioning saya sebagai '", 'CONTENT PILLAR MAPPING'!C695, "' dan Brand Archetype '", 'CONTENT PILLAR MAPPING'!D700, "'.", CHAR(10),
"✔ Kemas dalam bentuk tabel agar rapi, mudah di baca dan dipahami, dengan kolom 'Judul Konten', 'Pilar', 'Format', 'Draft Script', 'CTA', 'Saran Visual', dan 'Full Caption'. (Kosongkan kolom Link Prompt jika ada)."
),
"")</f>
        <v/>
      </c>
      <c r="L790" s="199" t="n"/>
      <c r="M790" s="199" t="n"/>
      <c r="N790" s="102" t="n"/>
      <c r="O790" s="102" t="n"/>
      <c r="P790" s="102" t="n"/>
      <c r="Q790" s="102" t="n"/>
      <c r="R790" s="102" t="n"/>
      <c r="S790" s="102" t="n"/>
      <c r="T790" s="102" t="n"/>
      <c r="U790" s="102" t="n"/>
      <c r="V790" s="102" t="n"/>
      <c r="W790" s="102" t="n"/>
      <c r="X790" s="102" t="n"/>
      <c r="Y790" s="102" t="n"/>
      <c r="Z790" s="102" t="n"/>
      <c r="AA790" s="102" t="n"/>
      <c r="AB790" s="102" t="n"/>
      <c r="AC790" s="102" t="n"/>
      <c r="AD790" s="102" t="n"/>
    </row>
    <row r="791" ht="15.75" customHeight="1" s="205">
      <c r="A791" s="102" t="n"/>
      <c r="B791" s="142" t="n"/>
      <c r="C791" s="143" t="n"/>
      <c r="D791" s="143" t="n"/>
      <c r="E791" s="143" t="n"/>
      <c r="F791" s="143" t="n"/>
      <c r="G791" s="144" t="n"/>
      <c r="H791" s="145">
        <f>IF(K791&lt;&gt;"", HYPERLINK("https://chatgpt.com/?prompt=" &amp; SUBSTITUTE(SUBSTITUTE(K791, " ", "+"), "&amp;", "dan") &amp; "&amp;force-refresh=true&amp;timestamp=" &amp; TEXT(NOW(), "yyyymmddhhmmss"), "👉 Klik untuk Generate Script! 🔥"), "")</f>
        <v/>
      </c>
      <c r="I791" s="143" t="n"/>
      <c r="J791" s="146" t="n"/>
      <c r="K791" s="130">
        <f>IF(AND(B791&lt;&gt;"", C791&lt;&gt;"", D791&lt;&gt;"", E791&lt;&gt;"", F791&lt;&gt;"", G791&lt;&gt;"", J791&lt;&gt;"", 'CONTENT PILLAR MAPPING'!C694&lt;&gt;"", 'CONTENT PILLAR MAPPING'!E694&lt;&gt;"", 'CONTENT PILLAR MAPPING'!F694&lt;&gt;"", 'CONTENT PILLAR MAPPING'!C697&lt;&gt;"", 'CONTENT PILLAR MAPPING'!C702&lt;&gt;"", 'CONTENT PILLAR MAPPING'!D702&lt;&gt;"", 'CONTENT PILLAR MAPPING'!E702&lt;&gt;"", 'CONTENT PILLAR MAPPING'!D710&lt;&gt;"", 'CONTENT PILLAR MAPPING'!D711&lt;&gt;""),
CONCATENATE(
"Sebagai seorang top konten kreator dengan niche utama '", 'CONTENT PILLAR MAPPING'!C694, "', spesifik kategori '", 'CONTENT PILLAR MAPPING'!E694, "', dan super spesifik '", 'CONTENT PILLAR MAPPING'!F694, "', yang dikenal sebagai '", 'CONTENT PILLAR MAPPING'!C697, "'.", CHAR(10),
"Saya memiliki Tone of Voice: '", 'CONTENT PILLAR MAPPING'!C702, "', Brand Archetype: '", 'CONTENT PILLAR MAPPING'!D702, "', dan Deskripsi Gaya Komunikasi: '", 'CONTENT PILLAR MAPPING'!E702, "'.", CHAR(10),
"Target audiens saya adalah: '", 'CONTENT PILLAR MAPPING'!D710, "', dengan segmentasi audiens: '", 'CONTENT PILLAR MAPPING'!D711, "'.", CHAR(10), CHAR(10),
"Mohon buatkan script konten yang **sangat powerful, menarik, inovatif, dan siap pakai** dengan judul ide '", B791, "'.", CHAR(10),
"Konten ini memiliki pilar '", C791, "', nilai tambah utama '", F791, "', dan akan menggunakan storytelling framework '", G791, "'.", CHAR(10),
"Gambaran singkat ide kontennya adalah: '", J791, "'.", CHAR(10),
"Konten ini akan diunggah di platform '", E791, "' dengan format '", D791,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MAPPING'!C697, "'.** Sesuaikan dengan gaya komunikasi saya, dengan fokus pada nilai tambah '", F791,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MAPPING'!D710, ", khusus ", 'CONTENT PILLAR MAPPING'!D711, ") dan membantu mereka menyelesaikan masalah atau mencapai tujuan mereka.", CHAR(10),
"✔ Membantuku membangun personal branding yang kuat dan sustainable, sesuai dengan Positioning saya sebagai '", 'CONTENT PILLAR MAPPING'!C697, "' dan Brand Archetype '", 'CONTENT PILLAR MAPPING'!D702, "'.", CHAR(10),
"✔ Kemas dalam bentuk tabel agar rapi, mudah di baca dan dipahami, dengan kolom 'Judul Konten', 'Pilar', 'Format', 'Draft Script', 'CTA', 'Saran Visual', dan 'Full Caption'. (Kosongkan kolom Link Prompt jika ada)."
),
"")</f>
        <v/>
      </c>
      <c r="L791" s="91" t="n"/>
      <c r="M791" s="91" t="n"/>
      <c r="N791" s="102" t="n"/>
      <c r="O791" s="102" t="n"/>
      <c r="P791" s="102" t="n"/>
      <c r="Q791" s="102" t="n"/>
      <c r="R791" s="102" t="n"/>
      <c r="S791" s="102" t="n"/>
      <c r="T791" s="102" t="n"/>
      <c r="U791" s="102" t="n"/>
      <c r="V791" s="102" t="n"/>
      <c r="W791" s="102" t="n"/>
      <c r="X791" s="102" t="n"/>
      <c r="Y791" s="102" t="n"/>
      <c r="Z791" s="102" t="n"/>
      <c r="AA791" s="102" t="n"/>
      <c r="AB791" s="102" t="n"/>
      <c r="AC791" s="102" t="n"/>
      <c r="AD791" s="102" t="n"/>
    </row>
    <row r="792" ht="15.75" customHeight="1" s="205">
      <c r="A792" s="102" t="n"/>
      <c r="B792" s="147" t="n"/>
      <c r="C792" s="144" t="n"/>
      <c r="D792" s="144" t="n"/>
      <c r="E792" s="144" t="n"/>
      <c r="F792" s="144" t="n"/>
      <c r="G792" s="144" t="n"/>
      <c r="H792" s="141">
        <f>IF(K792&lt;&gt;"", HYPERLINK("https://chatgpt.com/?prompt=" &amp; SUBSTITUTE(SUBSTITUTE(K792, " ", "+"), "&amp;", "dan") &amp; "&amp;force-refresh=true&amp;timestamp=" &amp; TEXT(NOW(), "yyyymmddhhmmss"), "👉 Klik untuk Generate Script! 🔥"), "")</f>
        <v/>
      </c>
      <c r="I792" s="144" t="n"/>
      <c r="J792" s="148" t="n"/>
      <c r="K792" s="140">
        <f>IF(AND(B792&lt;&gt;"", C792&lt;&gt;"", D792&lt;&gt;"", E792&lt;&gt;"", F792&lt;&gt;"", G792&lt;&gt;"", J792&lt;&gt;"", 'CONTENT PILLAR MAPPING'!C694&lt;&gt;"", 'CONTENT PILLAR MAPPING'!E694&lt;&gt;"", 'CONTENT PILLAR MAPPING'!F694&lt;&gt;"", 'CONTENT PILLAR MAPPING'!C697&lt;&gt;"", 'CONTENT PILLAR MAPPING'!C702&lt;&gt;"", 'CONTENT PILLAR MAPPING'!D702&lt;&gt;"", 'CONTENT PILLAR MAPPING'!E702&lt;&gt;"", 'CONTENT PILLAR MAPPING'!D710&lt;&gt;"", 'CONTENT PILLAR MAPPING'!D711&lt;&gt;""),
CONCATENATE(
"Sebagai seorang top konten kreator dengan niche utama '", 'CONTENT PILLAR MAPPING'!C694, "', spesifik kategori '", 'CONTENT PILLAR MAPPING'!E694, "', dan super spesifik '", 'CONTENT PILLAR MAPPING'!F694, "', yang dikenal sebagai '", 'CONTENT PILLAR MAPPING'!C697, "'.", CHAR(10),
"Saya memiliki Tone of Voice: '", 'CONTENT PILLAR MAPPING'!C702, "', Brand Archetype: '", 'CONTENT PILLAR MAPPING'!D702, "', dan Deskripsi Gaya Komunikasi: '", 'CONTENT PILLAR MAPPING'!E702, "'.", CHAR(10),
"Target audiens saya adalah: '", 'CONTENT PILLAR MAPPING'!D710, "', dengan segmentasi audiens: '", 'CONTENT PILLAR MAPPING'!D711, "'.", CHAR(10), CHAR(10),
"Mohon buatkan script konten yang **sangat powerful, menarik, inovatif, dan siap pakai** dengan judul ide '", B792, "'.", CHAR(10),
"Konten ini memiliki pilar '", C792, "', nilai tambah utama '", F792, "', dan akan menggunakan storytelling framework '", G792, "'.", CHAR(10),
"Gambaran singkat ide kontennya adalah: '", J792, "'.", CHAR(10),
"Konten ini akan diunggah di platform '", E792, "' dengan format '", D792,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MAPPING'!C697, "'.** Sesuaikan dengan gaya komunikasi saya, dengan fokus pada nilai tambah '", F792,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MAPPING'!D710, ", khusus ", 'CONTENT PILLAR MAPPING'!D711, ") dan membantu mereka menyelesaikan masalah atau mencapai tujuan mereka.", CHAR(10),
"✔ Membantuku membangun personal branding yang kuat dan sustainable, sesuai dengan Positioning saya sebagai '", 'CONTENT PILLAR MAPPING'!C697, "' dan Brand Archetype '", 'CONTENT PILLAR MAPPING'!D702, "'.", CHAR(10),
"✔ Kemas dalam bentuk tabel agar rapi, mudah di baca dan dipahami, dengan kolom 'Judul Konten', 'Pilar', 'Format', 'Draft Script', 'CTA', 'Saran Visual', dan 'Full Caption'. (Kosongkan kolom Link Prompt jika ada)."
),
"")</f>
        <v/>
      </c>
      <c r="L792" s="199" t="n"/>
      <c r="M792" s="199" t="n"/>
      <c r="N792" s="102" t="n"/>
      <c r="O792" s="102" t="n"/>
      <c r="P792" s="102" t="n"/>
      <c r="Q792" s="102" t="n"/>
      <c r="R792" s="102" t="n"/>
      <c r="S792" s="102" t="n"/>
      <c r="T792" s="102" t="n"/>
      <c r="U792" s="102" t="n"/>
      <c r="V792" s="102" t="n"/>
      <c r="W792" s="102" t="n"/>
      <c r="X792" s="102" t="n"/>
      <c r="Y792" s="102" t="n"/>
      <c r="Z792" s="102" t="n"/>
      <c r="AA792" s="102" t="n"/>
      <c r="AB792" s="102" t="n"/>
      <c r="AC792" s="102" t="n"/>
      <c r="AD792" s="102" t="n"/>
    </row>
    <row r="793" ht="15.75" customHeight="1" s="205">
      <c r="A793" s="102" t="n"/>
      <c r="B793" s="142" t="n"/>
      <c r="C793" s="143" t="n"/>
      <c r="D793" s="143" t="n"/>
      <c r="E793" s="143" t="n"/>
      <c r="F793" s="143" t="n"/>
      <c r="G793" s="144" t="n"/>
      <c r="H793" s="145">
        <f>IF(K793&lt;&gt;"", HYPERLINK("https://chatgpt.com/?prompt=" &amp; SUBSTITUTE(SUBSTITUTE(K793, " ", "+"), "&amp;", "dan") &amp; "&amp;force-refresh=true&amp;timestamp=" &amp; TEXT(NOW(), "yyyymmddhhmmss"), "👉 Klik untuk Generate Script! 🔥"), "")</f>
        <v/>
      </c>
      <c r="I793" s="143" t="n"/>
      <c r="J793" s="146" t="n"/>
      <c r="K793" s="130">
        <f>IF(AND(B793&lt;&gt;"", C793&lt;&gt;"", D793&lt;&gt;"", E793&lt;&gt;"", F793&lt;&gt;"", G793&lt;&gt;"", J793&lt;&gt;"", 'CONTENT PILLAR MAPPING'!C696&lt;&gt;"", 'CONTENT PILLAR MAPPING'!E696&lt;&gt;"", 'CONTENT PILLAR MAPPING'!F696&lt;&gt;"", 'CONTENT PILLAR MAPPING'!C699&lt;&gt;"", 'CONTENT PILLAR MAPPING'!C704&lt;&gt;"", 'CONTENT PILLAR MAPPING'!D704&lt;&gt;"", 'CONTENT PILLAR MAPPING'!E704&lt;&gt;"", 'CONTENT PILLAR MAPPING'!D712&lt;&gt;"", 'CONTENT PILLAR MAPPING'!D713&lt;&gt;""),
CONCATENATE(
"Sebagai seorang top konten kreator dengan niche utama '", 'CONTENT PILLAR MAPPING'!C696, "', spesifik kategori '", 'CONTENT PILLAR MAPPING'!E696, "', dan super spesifik '", 'CONTENT PILLAR MAPPING'!F696, "', yang dikenal sebagai '", 'CONTENT PILLAR MAPPING'!C699, "'.", CHAR(10),
"Saya memiliki Tone of Voice: '", 'CONTENT PILLAR MAPPING'!C704, "', Brand Archetype: '", 'CONTENT PILLAR MAPPING'!D704, "', dan Deskripsi Gaya Komunikasi: '", 'CONTENT PILLAR MAPPING'!E704, "'.", CHAR(10),
"Target audiens saya adalah: '", 'CONTENT PILLAR MAPPING'!D712, "', dengan segmentasi audiens: '", 'CONTENT PILLAR MAPPING'!D713, "'.", CHAR(10), CHAR(10),
"Mohon buatkan script konten yang **sangat powerful, menarik, inovatif, dan siap pakai** dengan judul ide '", B793, "'.", CHAR(10),
"Konten ini memiliki pilar '", C793, "', nilai tambah utama '", F793, "', dan akan menggunakan storytelling framework '", G793, "'.", CHAR(10),
"Gambaran singkat ide kontennya adalah: '", J793, "'.", CHAR(10),
"Konten ini akan diunggah di platform '", E793, "' dengan format '", D793,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MAPPING'!C699, "'.** Sesuaikan dengan gaya komunikasi saya, dengan fokus pada nilai tambah '", F793,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MAPPING'!D712, ", khusus ", 'CONTENT PILLAR MAPPING'!D713, ") dan membantu mereka menyelesaikan masalah atau mencapai tujuan mereka.", CHAR(10),
"✔ Membantuku membangun personal branding yang kuat dan sustainable, sesuai dengan Positioning saya sebagai '", 'CONTENT PILLAR MAPPING'!C699, "' dan Brand Archetype '", 'CONTENT PILLAR MAPPING'!D704, "'.", CHAR(10),
"✔ Kemas dalam bentuk tabel agar rapi, mudah di baca dan dipahami, dengan kolom 'Judul Konten', 'Pilar', 'Format', 'Draft Script', 'CTA', 'Saran Visual', dan 'Full Caption'. (Kosongkan kolom Link Prompt jika ada)."
),
"")</f>
        <v/>
      </c>
      <c r="L793" s="91" t="n"/>
      <c r="M793" s="91" t="n"/>
      <c r="N793" s="102" t="n"/>
      <c r="O793" s="102" t="n"/>
      <c r="P793" s="102" t="n"/>
      <c r="Q793" s="102" t="n"/>
      <c r="R793" s="102" t="n"/>
      <c r="S793" s="102" t="n"/>
      <c r="T793" s="102" t="n"/>
      <c r="U793" s="102" t="n"/>
      <c r="V793" s="102" t="n"/>
      <c r="W793" s="102" t="n"/>
      <c r="X793" s="102" t="n"/>
      <c r="Y793" s="102" t="n"/>
      <c r="Z793" s="102" t="n"/>
      <c r="AA793" s="102" t="n"/>
      <c r="AB793" s="102" t="n"/>
      <c r="AC793" s="102" t="n"/>
      <c r="AD793" s="102" t="n"/>
    </row>
    <row r="794" ht="15.75" customHeight="1" s="205">
      <c r="A794" s="102" t="n"/>
      <c r="B794" s="147" t="n"/>
      <c r="C794" s="144" t="n"/>
      <c r="D794" s="144" t="n"/>
      <c r="E794" s="144" t="n"/>
      <c r="F794" s="144" t="n"/>
      <c r="G794" s="144" t="n"/>
      <c r="H794" s="141">
        <f>IF(K794&lt;&gt;"", HYPERLINK("https://chatgpt.com/?prompt=" &amp; SUBSTITUTE(SUBSTITUTE(K794, " ", "+"), "&amp;", "dan") &amp; "&amp;force-refresh=true&amp;timestamp=" &amp; TEXT(NOW(), "yyyymmddhhmmss"), "👉 Klik untuk Generate Script! 🔥"), "")</f>
        <v/>
      </c>
      <c r="I794" s="144" t="n"/>
      <c r="J794" s="148" t="n"/>
      <c r="K794" s="140">
        <f>IF(AND(B794&lt;&gt;"", C794&lt;&gt;"", D794&lt;&gt;"", E794&lt;&gt;"", F794&lt;&gt;"", G794&lt;&gt;"", J794&lt;&gt;"", 'CONTENT PILLAR MAPPING'!C696&lt;&gt;"", 'CONTENT PILLAR MAPPING'!E696&lt;&gt;"", 'CONTENT PILLAR MAPPING'!F696&lt;&gt;"", 'CONTENT PILLAR MAPPING'!C699&lt;&gt;"", 'CONTENT PILLAR MAPPING'!C704&lt;&gt;"", 'CONTENT PILLAR MAPPING'!D704&lt;&gt;"", 'CONTENT PILLAR MAPPING'!E704&lt;&gt;"", 'CONTENT PILLAR MAPPING'!D712&lt;&gt;"", 'CONTENT PILLAR MAPPING'!D713&lt;&gt;""),
CONCATENATE(
"Sebagai seorang top konten kreator dengan niche utama '", 'CONTENT PILLAR MAPPING'!C696, "', spesifik kategori '", 'CONTENT PILLAR MAPPING'!E696, "', dan super spesifik '", 'CONTENT PILLAR MAPPING'!F696, "', yang dikenal sebagai '", 'CONTENT PILLAR MAPPING'!C699, "'.", CHAR(10),
"Saya memiliki Tone of Voice: '", 'CONTENT PILLAR MAPPING'!C704, "', Brand Archetype: '", 'CONTENT PILLAR MAPPING'!D704, "', dan Deskripsi Gaya Komunikasi: '", 'CONTENT PILLAR MAPPING'!E704, "'.", CHAR(10),
"Target audiens saya adalah: '", 'CONTENT PILLAR MAPPING'!D712, "', dengan segmentasi audiens: '", 'CONTENT PILLAR MAPPING'!D713, "'.", CHAR(10), CHAR(10),
"Mohon buatkan script konten yang **sangat powerful, menarik, inovatif, dan siap pakai** dengan judul ide '", B794, "'.", CHAR(10),
"Konten ini memiliki pilar '", C794, "', nilai tambah utama '", F794, "', dan akan menggunakan storytelling framework '", G794, "'.", CHAR(10),
"Gambaran singkat ide kontennya adalah: '", J794, "'.", CHAR(10),
"Konten ini akan diunggah di platform '", E794, "' dengan format '", D794,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MAPPING'!C699, "'.** Sesuaikan dengan gaya komunikasi saya, dengan fokus pada nilai tambah '", F794,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MAPPING'!D712, ", khusus ", 'CONTENT PILLAR MAPPING'!D713, ") dan membantu mereka menyelesaikan masalah atau mencapai tujuan mereka.", CHAR(10),
"✔ Membantuku membangun personal branding yang kuat dan sustainable, sesuai dengan Positioning saya sebagai '", 'CONTENT PILLAR MAPPING'!C699, "' dan Brand Archetype '", 'CONTENT PILLAR MAPPING'!D704, "'.", CHAR(10),
"✔ Kemas dalam bentuk tabel agar rapi, mudah di baca dan dipahami, dengan kolom 'Judul Konten', 'Pilar', 'Format', 'Draft Script', 'CTA', 'Saran Visual', dan 'Full Caption'. (Kosongkan kolom Link Prompt jika ada)."
),
"")</f>
        <v/>
      </c>
      <c r="L794" s="199" t="n"/>
      <c r="M794" s="199" t="n"/>
      <c r="N794" s="102" t="n"/>
      <c r="O794" s="102" t="n"/>
      <c r="P794" s="102" t="n"/>
      <c r="Q794" s="102" t="n"/>
      <c r="R794" s="102" t="n"/>
      <c r="S794" s="102" t="n"/>
      <c r="T794" s="102" t="n"/>
      <c r="U794" s="102" t="n"/>
      <c r="V794" s="102" t="n"/>
      <c r="W794" s="102" t="n"/>
      <c r="X794" s="102" t="n"/>
      <c r="Y794" s="102" t="n"/>
      <c r="Z794" s="102" t="n"/>
      <c r="AA794" s="102" t="n"/>
      <c r="AB794" s="102" t="n"/>
      <c r="AC794" s="102" t="n"/>
      <c r="AD794" s="102" t="n"/>
    </row>
    <row r="795" ht="15.75" customHeight="1" s="205">
      <c r="A795" s="102" t="n"/>
      <c r="B795" s="142" t="n"/>
      <c r="C795" s="143" t="n"/>
      <c r="D795" s="143" t="n"/>
      <c r="E795" s="143" t="n"/>
      <c r="F795" s="143" t="n"/>
      <c r="G795" s="144" t="n"/>
      <c r="H795" s="145">
        <f>IF(K795&lt;&gt;"", HYPERLINK("https://chatgpt.com/?prompt=" &amp; SUBSTITUTE(SUBSTITUTE(K795, " ", "+"), "&amp;", "dan") &amp; "&amp;force-refresh=true&amp;timestamp=" &amp; TEXT(NOW(), "yyyymmddhhmmss"), "👉 Klik untuk Generate Script! 🔥"), "")</f>
        <v/>
      </c>
      <c r="I795" s="143" t="n"/>
      <c r="J795" s="146" t="n"/>
      <c r="K795" s="130">
        <f>IF(AND(B795&lt;&gt;"", C795&lt;&gt;"", D795&lt;&gt;"", E795&lt;&gt;"", F795&lt;&gt;"", G795&lt;&gt;"", J795&lt;&gt;"", 'CONTENT PILLAR MAPPING'!C698&lt;&gt;"", 'CONTENT PILLAR MAPPING'!E698&lt;&gt;"", 'CONTENT PILLAR MAPPING'!F698&lt;&gt;"", 'CONTENT PILLAR MAPPING'!C701&lt;&gt;"", 'CONTENT PILLAR MAPPING'!C706&lt;&gt;"", 'CONTENT PILLAR MAPPING'!D706&lt;&gt;"", 'CONTENT PILLAR MAPPING'!E706&lt;&gt;"", 'CONTENT PILLAR MAPPING'!D714&lt;&gt;"", 'CONTENT PILLAR MAPPING'!D715&lt;&gt;""),
CONCATENATE(
"Sebagai seorang top konten kreator dengan niche utama '", 'CONTENT PILLAR MAPPING'!C698, "', spesifik kategori '", 'CONTENT PILLAR MAPPING'!E698, "', dan super spesifik '", 'CONTENT PILLAR MAPPING'!F698, "', yang dikenal sebagai '", 'CONTENT PILLAR MAPPING'!C701, "'.", CHAR(10),
"Saya memiliki Tone of Voice: '", 'CONTENT PILLAR MAPPING'!C706, "', Brand Archetype: '", 'CONTENT PILLAR MAPPING'!D706, "', dan Deskripsi Gaya Komunikasi: '", 'CONTENT PILLAR MAPPING'!E706, "'.", CHAR(10),
"Target audiens saya adalah: '", 'CONTENT PILLAR MAPPING'!D714, "', dengan segmentasi audiens: '", 'CONTENT PILLAR MAPPING'!D715, "'.", CHAR(10), CHAR(10),
"Mohon buatkan script konten yang **sangat powerful, menarik, inovatif, dan siap pakai** dengan judul ide '", B795, "'.", CHAR(10),
"Konten ini memiliki pilar '", C795, "', nilai tambah utama '", F795, "', dan akan menggunakan storytelling framework '", G795, "'.", CHAR(10),
"Gambaran singkat ide kontennya adalah: '", J795, "'.", CHAR(10),
"Konten ini akan diunggah di platform '", E795, "' dengan format '", D795,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MAPPING'!C701, "'.** Sesuaikan dengan gaya komunikasi saya, dengan fokus pada nilai tambah '", F795,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MAPPING'!D714, ", khusus ", 'CONTENT PILLAR MAPPING'!D715, ") dan membantu mereka menyelesaikan masalah atau mencapai tujuan mereka.", CHAR(10),
"✔ Membantuku membangun personal branding yang kuat dan sustainable, sesuai dengan Positioning saya sebagai '", 'CONTENT PILLAR MAPPING'!C701, "' dan Brand Archetype '", 'CONTENT PILLAR MAPPING'!D706, "'.", CHAR(10),
"✔ Kemas dalam bentuk tabel agar rapi, mudah di baca dan dipahami, dengan kolom 'Judul Konten', 'Pilar', 'Format', 'Draft Script', 'CTA', 'Saran Visual', dan 'Full Caption'. (Kosongkan kolom Link Prompt jika ada)."
),
"")</f>
        <v/>
      </c>
      <c r="L795" s="91" t="n"/>
      <c r="M795" s="91" t="n"/>
      <c r="N795" s="102" t="n"/>
      <c r="O795" s="102" t="n"/>
      <c r="P795" s="102" t="n"/>
      <c r="Q795" s="102" t="n"/>
      <c r="R795" s="102" t="n"/>
      <c r="S795" s="102" t="n"/>
      <c r="T795" s="102" t="n"/>
      <c r="U795" s="102" t="n"/>
      <c r="V795" s="102" t="n"/>
      <c r="W795" s="102" t="n"/>
      <c r="X795" s="102" t="n"/>
      <c r="Y795" s="102" t="n"/>
      <c r="Z795" s="102" t="n"/>
      <c r="AA795" s="102" t="n"/>
      <c r="AB795" s="102" t="n"/>
      <c r="AC795" s="102" t="n"/>
      <c r="AD795" s="102" t="n"/>
    </row>
    <row r="796" ht="15.75" customHeight="1" s="205">
      <c r="A796" s="102" t="n"/>
      <c r="B796" s="147" t="n"/>
      <c r="C796" s="144" t="n"/>
      <c r="D796" s="144" t="n"/>
      <c r="E796" s="144" t="n"/>
      <c r="F796" s="144" t="n"/>
      <c r="G796" s="144" t="n"/>
      <c r="H796" s="141">
        <f>IF(K796&lt;&gt;"", HYPERLINK("https://chatgpt.com/?prompt=" &amp; SUBSTITUTE(SUBSTITUTE(K796, " ", "+"), "&amp;", "dan") &amp; "&amp;force-refresh=true&amp;timestamp=" &amp; TEXT(NOW(), "yyyymmddhhmmss"), "👉 Klik untuk Generate Script! 🔥"), "")</f>
        <v/>
      </c>
      <c r="I796" s="144" t="n"/>
      <c r="J796" s="148" t="n"/>
      <c r="K796" s="140">
        <f>IF(AND(B796&lt;&gt;"", C796&lt;&gt;"", D796&lt;&gt;"", E796&lt;&gt;"", F796&lt;&gt;"", G796&lt;&gt;"", J796&lt;&gt;"", 'CONTENT PILLAR MAPPING'!C698&lt;&gt;"", 'CONTENT PILLAR MAPPING'!E698&lt;&gt;"", 'CONTENT PILLAR MAPPING'!F698&lt;&gt;"", 'CONTENT PILLAR MAPPING'!C701&lt;&gt;"", 'CONTENT PILLAR MAPPING'!C706&lt;&gt;"", 'CONTENT PILLAR MAPPING'!D706&lt;&gt;"", 'CONTENT PILLAR MAPPING'!E706&lt;&gt;"", 'CONTENT PILLAR MAPPING'!D714&lt;&gt;"", 'CONTENT PILLAR MAPPING'!D715&lt;&gt;""),
CONCATENATE(
"Sebagai seorang top konten kreator dengan niche utama '", 'CONTENT PILLAR MAPPING'!C698, "', spesifik kategori '", 'CONTENT PILLAR MAPPING'!E698, "', dan super spesifik '", 'CONTENT PILLAR MAPPING'!F698, "', yang dikenal sebagai '", 'CONTENT PILLAR MAPPING'!C701, "'.", CHAR(10),
"Saya memiliki Tone of Voice: '", 'CONTENT PILLAR MAPPING'!C706, "', Brand Archetype: '", 'CONTENT PILLAR MAPPING'!D706, "', dan Deskripsi Gaya Komunikasi: '", 'CONTENT PILLAR MAPPING'!E706, "'.", CHAR(10),
"Target audiens saya adalah: '", 'CONTENT PILLAR MAPPING'!D714, "', dengan segmentasi audiens: '", 'CONTENT PILLAR MAPPING'!D715, "'.", CHAR(10), CHAR(10),
"Mohon buatkan script konten yang **sangat powerful, menarik, inovatif, dan siap pakai** dengan judul ide '", B796, "'.", CHAR(10),
"Konten ini memiliki pilar '", C796, "', nilai tambah utama '", F796, "', dan akan menggunakan storytelling framework '", G796, "'.", CHAR(10),
"Gambaran singkat ide kontennya adalah: '", J796, "'.", CHAR(10),
"Konten ini akan diunggah di platform '", E796, "' dengan format '", D796,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MAPPING'!C701, "'.** Sesuaikan dengan gaya komunikasi saya, dengan fokus pada nilai tambah '", F796,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MAPPING'!D714, ", khusus ", 'CONTENT PILLAR MAPPING'!D715, ") dan membantu mereka menyelesaikan masalah atau mencapai tujuan mereka.", CHAR(10),
"✔ Membantuku membangun personal branding yang kuat dan sustainable, sesuai dengan Positioning saya sebagai '", 'CONTENT PILLAR MAPPING'!C701, "' dan Brand Archetype '", 'CONTENT PILLAR MAPPING'!D706, "'.", CHAR(10),
"✔ Kemas dalam bentuk tabel agar rapi, mudah di baca dan dipahami, dengan kolom 'Judul Konten', 'Pilar', 'Format', 'Draft Script', 'CTA', 'Saran Visual', dan 'Full Caption'. (Kosongkan kolom Link Prompt jika ada)."
),
"")</f>
        <v/>
      </c>
      <c r="L796" s="199" t="n"/>
      <c r="M796" s="199" t="n"/>
      <c r="N796" s="102" t="n"/>
      <c r="O796" s="102" t="n"/>
      <c r="P796" s="102" t="n"/>
      <c r="Q796" s="102" t="n"/>
      <c r="R796" s="102" t="n"/>
      <c r="S796" s="102" t="n"/>
      <c r="T796" s="102" t="n"/>
      <c r="U796" s="102" t="n"/>
      <c r="V796" s="102" t="n"/>
      <c r="W796" s="102" t="n"/>
      <c r="X796" s="102" t="n"/>
      <c r="Y796" s="102" t="n"/>
      <c r="Z796" s="102" t="n"/>
      <c r="AA796" s="102" t="n"/>
      <c r="AB796" s="102" t="n"/>
      <c r="AC796" s="102" t="n"/>
      <c r="AD796" s="102" t="n"/>
    </row>
    <row r="797" ht="15.75" customHeight="1" s="205">
      <c r="A797" s="102" t="n"/>
      <c r="B797" s="142" t="n"/>
      <c r="C797" s="143" t="n"/>
      <c r="D797" s="143" t="n"/>
      <c r="E797" s="143" t="n"/>
      <c r="F797" s="143" t="n"/>
      <c r="G797" s="144" t="n"/>
      <c r="H797" s="145">
        <f>IF(K797&lt;&gt;"", HYPERLINK("https://chatgpt.com/?prompt=" &amp; SUBSTITUTE(SUBSTITUTE(K797, " ", "+"), "&amp;", "dan") &amp; "&amp;force-refresh=true&amp;timestamp=" &amp; TEXT(NOW(), "yyyymmddhhmmss"), "👉 Klik untuk Generate Script! 🔥"), "")</f>
        <v/>
      </c>
      <c r="I797" s="143" t="n"/>
      <c r="J797" s="146" t="n"/>
      <c r="K797" s="130">
        <f>IF(AND(B797&lt;&gt;"", C797&lt;&gt;"", D797&lt;&gt;"", E797&lt;&gt;"", F797&lt;&gt;"", G797&lt;&gt;"", J797&lt;&gt;"", 'CONTENT PILLAR MAPPING'!C700&lt;&gt;"", 'CONTENT PILLAR MAPPING'!E700&lt;&gt;"", 'CONTENT PILLAR MAPPING'!F700&lt;&gt;"", 'CONTENT PILLAR MAPPING'!C703&lt;&gt;"", 'CONTENT PILLAR MAPPING'!C708&lt;&gt;"", 'CONTENT PILLAR MAPPING'!D708&lt;&gt;"", 'CONTENT PILLAR MAPPING'!E708&lt;&gt;"", 'CONTENT PILLAR MAPPING'!D716&lt;&gt;"", 'CONTENT PILLAR MAPPING'!D717&lt;&gt;""),
CONCATENATE(
"Sebagai seorang top konten kreator dengan niche utama '", 'CONTENT PILLAR MAPPING'!C700, "', spesifik kategori '", 'CONTENT PILLAR MAPPING'!E700, "', dan super spesifik '", 'CONTENT PILLAR MAPPING'!F700, "', yang dikenal sebagai '", 'CONTENT PILLAR MAPPING'!C703, "'.", CHAR(10),
"Saya memiliki Tone of Voice: '", 'CONTENT PILLAR MAPPING'!C708, "', Brand Archetype: '", 'CONTENT PILLAR MAPPING'!D708, "', dan Deskripsi Gaya Komunikasi: '", 'CONTENT PILLAR MAPPING'!E708, "'.", CHAR(10),
"Target audiens saya adalah: '", 'CONTENT PILLAR MAPPING'!D716, "', dengan segmentasi audiens: '", 'CONTENT PILLAR MAPPING'!D717, "'.", CHAR(10), CHAR(10),
"Mohon buatkan script konten yang **sangat powerful, menarik, inovatif, dan siap pakai** dengan judul ide '", B797, "'.", CHAR(10),
"Konten ini memiliki pilar '", C797, "', nilai tambah utama '", F797, "', dan akan menggunakan storytelling framework '", G797, "'.", CHAR(10),
"Gambaran singkat ide kontennya adalah: '", J797, "'.", CHAR(10),
"Konten ini akan diunggah di platform '", E797, "' dengan format '", D797,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MAPPING'!C703, "'.** Sesuaikan dengan gaya komunikasi saya, dengan fokus pada nilai tambah '", F797,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MAPPING'!D716, ", khusus ", 'CONTENT PILLAR MAPPING'!D717, ") dan membantu mereka menyelesaikan masalah atau mencapai tujuan mereka.", CHAR(10),
"✔ Membantuku membangun personal branding yang kuat dan sustainable, sesuai dengan Positioning saya sebagai '", 'CONTENT PILLAR MAPPING'!C703, "' dan Brand Archetype '", 'CONTENT PILLAR MAPPING'!D708, "'.", CHAR(10),
"✔ Kemas dalam bentuk tabel agar rapi, mudah di baca dan dipahami, dengan kolom 'Judul Konten', 'Pilar', 'Format', 'Draft Script', 'CTA', 'Saran Visual', dan 'Full Caption'. (Kosongkan kolom Link Prompt jika ada)."
),
"")</f>
        <v/>
      </c>
      <c r="L797" s="91" t="n"/>
      <c r="M797" s="91" t="n"/>
      <c r="N797" s="102" t="n"/>
      <c r="O797" s="102" t="n"/>
      <c r="P797" s="102" t="n"/>
      <c r="Q797" s="102" t="n"/>
      <c r="R797" s="102" t="n"/>
      <c r="S797" s="102" t="n"/>
      <c r="T797" s="102" t="n"/>
      <c r="U797" s="102" t="n"/>
      <c r="V797" s="102" t="n"/>
      <c r="W797" s="102" t="n"/>
      <c r="X797" s="102" t="n"/>
      <c r="Y797" s="102" t="n"/>
      <c r="Z797" s="102" t="n"/>
      <c r="AA797" s="102" t="n"/>
      <c r="AB797" s="102" t="n"/>
      <c r="AC797" s="102" t="n"/>
      <c r="AD797" s="102" t="n"/>
    </row>
    <row r="798" ht="15.75" customHeight="1" s="205">
      <c r="A798" s="102" t="n"/>
      <c r="B798" s="147" t="n"/>
      <c r="C798" s="144" t="n"/>
      <c r="D798" s="144" t="n"/>
      <c r="E798" s="144" t="n"/>
      <c r="F798" s="144" t="n"/>
      <c r="G798" s="144" t="n"/>
      <c r="H798" s="141">
        <f>IF(K798&lt;&gt;"", HYPERLINK("https://chatgpt.com/?prompt=" &amp; SUBSTITUTE(SUBSTITUTE(K798, " ", "+"), "&amp;", "dan") &amp; "&amp;force-refresh=true&amp;timestamp=" &amp; TEXT(NOW(), "yyyymmddhhmmss"), "👉 Klik untuk Generate Script! 🔥"), "")</f>
        <v/>
      </c>
      <c r="I798" s="144" t="n"/>
      <c r="J798" s="148" t="n"/>
      <c r="K798" s="140">
        <f>IF(AND(B798&lt;&gt;"", C798&lt;&gt;"", D798&lt;&gt;"", E798&lt;&gt;"", F798&lt;&gt;"", G798&lt;&gt;"", J798&lt;&gt;"", 'CONTENT PILLAR MAPPING'!C700&lt;&gt;"", 'CONTENT PILLAR MAPPING'!E700&lt;&gt;"", 'CONTENT PILLAR MAPPING'!F700&lt;&gt;"", 'CONTENT PILLAR MAPPING'!C703&lt;&gt;"", 'CONTENT PILLAR MAPPING'!C708&lt;&gt;"", 'CONTENT PILLAR MAPPING'!D708&lt;&gt;"", 'CONTENT PILLAR MAPPING'!E708&lt;&gt;"", 'CONTENT PILLAR MAPPING'!D716&lt;&gt;"", 'CONTENT PILLAR MAPPING'!D717&lt;&gt;""),
CONCATENATE(
"Sebagai seorang top konten kreator dengan niche utama '", 'CONTENT PILLAR MAPPING'!C700, "', spesifik kategori '", 'CONTENT PILLAR MAPPING'!E700, "', dan super spesifik '", 'CONTENT PILLAR MAPPING'!F700, "', yang dikenal sebagai '", 'CONTENT PILLAR MAPPING'!C703, "'.", CHAR(10),
"Saya memiliki Tone of Voice: '", 'CONTENT PILLAR MAPPING'!C708, "', Brand Archetype: '", 'CONTENT PILLAR MAPPING'!D708, "', dan Deskripsi Gaya Komunikasi: '", 'CONTENT PILLAR MAPPING'!E708, "'.", CHAR(10),
"Target audiens saya adalah: '", 'CONTENT PILLAR MAPPING'!D716, "', dengan segmentasi audiens: '", 'CONTENT PILLAR MAPPING'!D717, "'.", CHAR(10), CHAR(10),
"Mohon buatkan script konten yang **sangat powerful, menarik, inovatif, dan siap pakai** dengan judul ide '", B798, "'.", CHAR(10),
"Konten ini memiliki pilar '", C798, "', nilai tambah utama '", F798, "', dan akan menggunakan storytelling framework '", G798, "'.", CHAR(10),
"Gambaran singkat ide kontennya adalah: '", J798, "'.", CHAR(10),
"Konten ini akan diunggah di platform '", E798, "' dengan format '", D798,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MAPPING'!C703, "'.** Sesuaikan dengan gaya komunikasi saya, dengan fokus pada nilai tambah '", F798,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MAPPING'!D716, ", khusus ", 'CONTENT PILLAR MAPPING'!D717, ") dan membantu mereka menyelesaikan masalah atau mencapai tujuan mereka.", CHAR(10),
"✔ Membantuku membangun personal branding yang kuat dan sustainable, sesuai dengan Positioning saya sebagai '", 'CONTENT PILLAR MAPPING'!C703, "' dan Brand Archetype '", 'CONTENT PILLAR MAPPING'!D708, "'.", CHAR(10),
"✔ Kemas dalam bentuk tabel agar rapi, mudah di baca dan dipahami, dengan kolom 'Judul Konten', 'Pilar', 'Format', 'Draft Script', 'CTA', 'Saran Visual', dan 'Full Caption'. (Kosongkan kolom Link Prompt jika ada)."
),
"")</f>
        <v/>
      </c>
      <c r="L798" s="199" t="n"/>
      <c r="M798" s="199" t="n"/>
      <c r="N798" s="102" t="n"/>
      <c r="O798" s="102" t="n"/>
      <c r="P798" s="102" t="n"/>
      <c r="Q798" s="102" t="n"/>
      <c r="R798" s="102" t="n"/>
      <c r="S798" s="102" t="n"/>
      <c r="T798" s="102" t="n"/>
      <c r="U798" s="102" t="n"/>
      <c r="V798" s="102" t="n"/>
      <c r="W798" s="102" t="n"/>
      <c r="X798" s="102" t="n"/>
      <c r="Y798" s="102" t="n"/>
      <c r="Z798" s="102" t="n"/>
      <c r="AA798" s="102" t="n"/>
      <c r="AB798" s="102" t="n"/>
      <c r="AC798" s="102" t="n"/>
      <c r="AD798" s="102" t="n"/>
    </row>
    <row r="799" ht="15.75" customHeight="1" s="205">
      <c r="A799" s="102" t="n"/>
      <c r="B799" s="142" t="n"/>
      <c r="C799" s="143" t="n"/>
      <c r="D799" s="143" t="n"/>
      <c r="E799" s="143" t="n"/>
      <c r="F799" s="143" t="n"/>
      <c r="G799" s="144" t="n"/>
      <c r="H799" s="145">
        <f>IF(K799&lt;&gt;"", HYPERLINK("https://chatgpt.com/?prompt=" &amp; SUBSTITUTE(SUBSTITUTE(K799, " ", "+"), "&amp;", "dan") &amp; "&amp;force-refresh=true&amp;timestamp=" &amp; TEXT(NOW(), "yyyymmddhhmmss"), "👉 Klik untuk Generate Script! 🔥"), "")</f>
        <v/>
      </c>
      <c r="I799" s="143" t="n"/>
      <c r="J799" s="146" t="n"/>
      <c r="K799" s="130">
        <f>IF(AND(B799&lt;&gt;"", C799&lt;&gt;"", D799&lt;&gt;"", E799&lt;&gt;"", F799&lt;&gt;"", G799&lt;&gt;"", J799&lt;&gt;"", 'CONTENT PILLAR MAPPING'!C702&lt;&gt;"", 'CONTENT PILLAR MAPPING'!E702&lt;&gt;"", 'CONTENT PILLAR MAPPING'!F702&lt;&gt;"", 'CONTENT PILLAR MAPPING'!C705&lt;&gt;"", 'CONTENT PILLAR MAPPING'!C710&lt;&gt;"", 'CONTENT PILLAR MAPPING'!D710&lt;&gt;"", 'CONTENT PILLAR MAPPING'!E710&lt;&gt;"", 'CONTENT PILLAR MAPPING'!D718&lt;&gt;"", 'CONTENT PILLAR MAPPING'!D719&lt;&gt;""),
CONCATENATE(
"Sebagai seorang top konten kreator dengan niche utama '", 'CONTENT PILLAR MAPPING'!C702, "', spesifik kategori '", 'CONTENT PILLAR MAPPING'!E702, "', dan super spesifik '", 'CONTENT PILLAR MAPPING'!F702, "', yang dikenal sebagai '", 'CONTENT PILLAR MAPPING'!C705, "'.", CHAR(10),
"Saya memiliki Tone of Voice: '", 'CONTENT PILLAR MAPPING'!C710, "', Brand Archetype: '", 'CONTENT PILLAR MAPPING'!D710, "', dan Deskripsi Gaya Komunikasi: '", 'CONTENT PILLAR MAPPING'!E710, "'.", CHAR(10),
"Target audiens saya adalah: '", 'CONTENT PILLAR MAPPING'!D718, "', dengan segmentasi audiens: '", 'CONTENT PILLAR MAPPING'!D719, "'.", CHAR(10), CHAR(10),
"Mohon buatkan script konten yang **sangat powerful, menarik, inovatif, dan siap pakai** dengan judul ide '", B799, "'.", CHAR(10),
"Konten ini memiliki pilar '", C799, "', nilai tambah utama '", F799, "', dan akan menggunakan storytelling framework '", G799, "'.", CHAR(10),
"Gambaran singkat ide kontennya adalah: '", J799, "'.", CHAR(10),
"Konten ini akan diunggah di platform '", E799, "' dengan format '", D799,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MAPPING'!C705, "'.** Sesuaikan dengan gaya komunikasi saya, dengan fokus pada nilai tambah '", F799,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MAPPING'!D718, ", khusus ", 'CONTENT PILLAR MAPPING'!D719, ") dan membantu mereka menyelesaikan masalah atau mencapai tujuan mereka.", CHAR(10),
"✔ Membantuku membangun personal branding yang kuat dan sustainable, sesuai dengan Positioning saya sebagai '", 'CONTENT PILLAR MAPPING'!C705, "' dan Brand Archetype '", 'CONTENT PILLAR MAPPING'!D710, "'.", CHAR(10),
"✔ Kemas dalam bentuk tabel agar rapi, mudah di baca dan dipahami, dengan kolom 'Judul Konten', 'Pilar', 'Format', 'Draft Script', 'CTA', 'Saran Visual', dan 'Full Caption'. (Kosongkan kolom Link Prompt jika ada)."
),
"")</f>
        <v/>
      </c>
      <c r="L799" s="91" t="n"/>
      <c r="M799" s="91" t="n"/>
      <c r="N799" s="102" t="n"/>
      <c r="O799" s="102" t="n"/>
      <c r="P799" s="102" t="n"/>
      <c r="Q799" s="102" t="n"/>
      <c r="R799" s="102" t="n"/>
      <c r="S799" s="102" t="n"/>
      <c r="T799" s="102" t="n"/>
      <c r="U799" s="102" t="n"/>
      <c r="V799" s="102" t="n"/>
      <c r="W799" s="102" t="n"/>
      <c r="X799" s="102" t="n"/>
      <c r="Y799" s="102" t="n"/>
      <c r="Z799" s="102" t="n"/>
      <c r="AA799" s="102" t="n"/>
      <c r="AB799" s="102" t="n"/>
      <c r="AC799" s="102" t="n"/>
      <c r="AD799" s="102" t="n"/>
    </row>
    <row r="800" ht="15.75" customHeight="1" s="205">
      <c r="A800" s="102" t="n"/>
      <c r="B800" s="147" t="n"/>
      <c r="C800" s="144" t="n"/>
      <c r="D800" s="144" t="n"/>
      <c r="E800" s="144" t="n"/>
      <c r="F800" s="144" t="n"/>
      <c r="G800" s="144" t="n"/>
      <c r="H800" s="141">
        <f>IF(K800&lt;&gt;"", HYPERLINK("https://chatgpt.com/?prompt=" &amp; SUBSTITUTE(SUBSTITUTE(K800, " ", "+"), "&amp;", "dan") &amp; "&amp;force-refresh=true&amp;timestamp=" &amp; TEXT(NOW(), "yyyymmddhhmmss"), "👉 Klik untuk Generate Script! 🔥"), "")</f>
        <v/>
      </c>
      <c r="I800" s="144" t="n"/>
      <c r="J800" s="148" t="n"/>
      <c r="K800" s="140">
        <f>IF(AND(B800&lt;&gt;"", C800&lt;&gt;"", D800&lt;&gt;"", E800&lt;&gt;"", F800&lt;&gt;"", G800&lt;&gt;"", J800&lt;&gt;"", 'CONTENT PILLAR MAPPING'!C702&lt;&gt;"", 'CONTENT PILLAR MAPPING'!E702&lt;&gt;"", 'CONTENT PILLAR MAPPING'!F702&lt;&gt;"", 'CONTENT PILLAR MAPPING'!C705&lt;&gt;"", 'CONTENT PILLAR MAPPING'!C710&lt;&gt;"", 'CONTENT PILLAR MAPPING'!D710&lt;&gt;"", 'CONTENT PILLAR MAPPING'!E710&lt;&gt;"", 'CONTENT PILLAR MAPPING'!D718&lt;&gt;"", 'CONTENT PILLAR MAPPING'!D719&lt;&gt;""),
CONCATENATE(
"Sebagai seorang top konten kreator dengan niche utama '", 'CONTENT PILLAR MAPPING'!C702, "', spesifik kategori '", 'CONTENT PILLAR MAPPING'!E702, "', dan super spesifik '", 'CONTENT PILLAR MAPPING'!F702, "', yang dikenal sebagai '", 'CONTENT PILLAR MAPPING'!C705, "'.", CHAR(10),
"Saya memiliki Tone of Voice: '", 'CONTENT PILLAR MAPPING'!C710, "', Brand Archetype: '", 'CONTENT PILLAR MAPPING'!D710, "', dan Deskripsi Gaya Komunikasi: '", 'CONTENT PILLAR MAPPING'!E710, "'.", CHAR(10),
"Target audiens saya adalah: '", 'CONTENT PILLAR MAPPING'!D718, "', dengan segmentasi audiens: '", 'CONTENT PILLAR MAPPING'!D719, "'.", CHAR(10), CHAR(10),
"Mohon buatkan script konten yang **sangat powerful, menarik, inovatif, dan siap pakai** dengan judul ide '", B800, "'.", CHAR(10),
"Konten ini memiliki pilar '", C800, "', nilai tambah utama '", F800, "', dan akan menggunakan storytelling framework '", G800, "'.", CHAR(10),
"Gambaran singkat ide kontennya adalah: '", J800, "'.", CHAR(10),
"Konten ini akan diunggah di platform '", E800, "' dengan format '", D800,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MAPPING'!C705, "'.** Sesuaikan dengan gaya komunikasi saya, dengan fokus pada nilai tambah '", F800,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MAPPING'!D718, ", khusus ", 'CONTENT PILLAR MAPPING'!D719, ") dan membantu mereka menyelesaikan masalah atau mencapai tujuan mereka.", CHAR(10),
"✔ Membantuku membangun personal branding yang kuat dan sustainable, sesuai dengan Positioning saya sebagai '", 'CONTENT PILLAR MAPPING'!C705, "' dan Brand Archetype '", 'CONTENT PILLAR MAPPING'!D710, "'.", CHAR(10),
"✔ Kemas dalam bentuk tabel agar rapi, mudah di baca dan dipahami, dengan kolom 'Judul Konten', 'Pilar', 'Format', 'Draft Script', 'CTA', 'Saran Visual', dan 'Full Caption'. (Kosongkan kolom Link Prompt jika ada)."
),
"")</f>
        <v/>
      </c>
      <c r="L800" s="199" t="n"/>
      <c r="M800" s="199" t="n"/>
      <c r="N800" s="102" t="n"/>
      <c r="O800" s="102" t="n"/>
      <c r="P800" s="102" t="n"/>
      <c r="Q800" s="102" t="n"/>
      <c r="R800" s="102" t="n"/>
      <c r="S800" s="102" t="n"/>
      <c r="T800" s="102" t="n"/>
      <c r="U800" s="102" t="n"/>
      <c r="V800" s="102" t="n"/>
      <c r="W800" s="102" t="n"/>
      <c r="X800" s="102" t="n"/>
      <c r="Y800" s="102" t="n"/>
      <c r="Z800" s="102" t="n"/>
      <c r="AA800" s="102" t="n"/>
      <c r="AB800" s="102" t="n"/>
      <c r="AC800" s="102" t="n"/>
      <c r="AD800" s="102" t="n"/>
    </row>
    <row r="801" ht="15.75" customHeight="1" s="205">
      <c r="A801" s="102" t="n"/>
      <c r="B801" s="142" t="n"/>
      <c r="C801" s="143" t="n"/>
      <c r="D801" s="143" t="n"/>
      <c r="E801" s="143" t="n"/>
      <c r="F801" s="143" t="n"/>
      <c r="G801" s="144" t="n"/>
      <c r="H801" s="145">
        <f>IF(K801&lt;&gt;"", HYPERLINK("https://chatgpt.com/?prompt=" &amp; SUBSTITUTE(SUBSTITUTE(K801, " ", "+"), "&amp;", "dan") &amp; "&amp;force-refresh=true&amp;timestamp=" &amp; TEXT(NOW(), "yyyymmddhhmmss"), "👉 Klik untuk Generate Script! 🔥"), "")</f>
        <v/>
      </c>
      <c r="I801" s="143" t="n"/>
      <c r="J801" s="146" t="n"/>
      <c r="K801" s="130">
        <f>IF(AND(B801&lt;&gt;"", C801&lt;&gt;"", D801&lt;&gt;"", E801&lt;&gt;"", F801&lt;&gt;"", G801&lt;&gt;"", J801&lt;&gt;"", 'CONTENT PILLAR MAPPING'!C704&lt;&gt;"", 'CONTENT PILLAR MAPPING'!E704&lt;&gt;"", 'CONTENT PILLAR MAPPING'!F704&lt;&gt;"", 'CONTENT PILLAR MAPPING'!C707&lt;&gt;"", 'CONTENT PILLAR MAPPING'!C712&lt;&gt;"", 'CONTENT PILLAR MAPPING'!D712&lt;&gt;"", 'CONTENT PILLAR MAPPING'!E712&lt;&gt;"", 'CONTENT PILLAR MAPPING'!D720&lt;&gt;"", 'CONTENT PILLAR MAPPING'!D721&lt;&gt;""),
CONCATENATE(
"Sebagai seorang top konten kreator dengan niche utama '", 'CONTENT PILLAR MAPPING'!C704, "', spesifik kategori '", 'CONTENT PILLAR MAPPING'!E704, "', dan super spesifik '", 'CONTENT PILLAR MAPPING'!F704, "', yang dikenal sebagai '", 'CONTENT PILLAR MAPPING'!C707, "'.", CHAR(10),
"Saya memiliki Tone of Voice: '", 'CONTENT PILLAR MAPPING'!C712, "', Brand Archetype: '", 'CONTENT PILLAR MAPPING'!D712, "', dan Deskripsi Gaya Komunikasi: '", 'CONTENT PILLAR MAPPING'!E712, "'.", CHAR(10),
"Target audiens saya adalah: '", 'CONTENT PILLAR MAPPING'!D720, "', dengan segmentasi audiens: '", 'CONTENT PILLAR MAPPING'!D721, "'.", CHAR(10), CHAR(10),
"Mohon buatkan script konten yang **sangat powerful, menarik, inovatif, dan siap pakai** dengan judul ide '", B801, "'.", CHAR(10),
"Konten ini memiliki pilar '", C801, "', nilai tambah utama '", F801, "', dan akan menggunakan storytelling framework '", G801, "'.", CHAR(10),
"Gambaran singkat ide kontennya adalah: '", J801, "'.", CHAR(10),
"Konten ini akan diunggah di platform '", E801, "' dengan format '", D801,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MAPPING'!C707, "'.** Sesuaikan dengan gaya komunikasi saya, dengan fokus pada nilai tambah '", F801,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MAPPING'!D720, ", khusus ", 'CONTENT PILLAR MAPPING'!D721, ") dan membantu mereka menyelesaikan masalah atau mencapai tujuan mereka.", CHAR(10),
"✔ Membantuku membangun personal branding yang kuat dan sustainable, sesuai dengan Positioning saya sebagai '", 'CONTENT PILLAR MAPPING'!C707, "' dan Brand Archetype '", 'CONTENT PILLAR MAPPING'!D712, "'.", CHAR(10),
"✔ Kemas dalam bentuk tabel agar rapi, mudah di baca dan dipahami, dengan kolom 'Judul Konten', 'Pilar', 'Format', 'Draft Script', 'CTA', 'Saran Visual', dan 'Full Caption'. (Kosongkan kolom Link Prompt jika ada)."
),
"")</f>
        <v/>
      </c>
      <c r="L801" s="91" t="n"/>
      <c r="M801" s="91" t="n"/>
      <c r="N801" s="102" t="n"/>
      <c r="O801" s="102" t="n"/>
      <c r="P801" s="102" t="n"/>
      <c r="Q801" s="102" t="n"/>
      <c r="R801" s="102" t="n"/>
      <c r="S801" s="102" t="n"/>
      <c r="T801" s="102" t="n"/>
      <c r="U801" s="102" t="n"/>
      <c r="V801" s="102" t="n"/>
      <c r="W801" s="102" t="n"/>
      <c r="X801" s="102" t="n"/>
      <c r="Y801" s="102" t="n"/>
      <c r="Z801" s="102" t="n"/>
      <c r="AA801" s="102" t="n"/>
      <c r="AB801" s="102" t="n"/>
      <c r="AC801" s="102" t="n"/>
      <c r="AD801" s="102" t="n"/>
    </row>
    <row r="802" ht="15.75" customHeight="1" s="205">
      <c r="A802" s="102" t="n"/>
      <c r="B802" s="147" t="n"/>
      <c r="C802" s="144" t="n"/>
      <c r="D802" s="144" t="n"/>
      <c r="E802" s="144" t="n"/>
      <c r="F802" s="144" t="n"/>
      <c r="G802" s="144" t="n"/>
      <c r="H802" s="141">
        <f>IF(K802&lt;&gt;"", HYPERLINK("https://chatgpt.com/?prompt=" &amp; SUBSTITUTE(SUBSTITUTE(K802, " ", "+"), "&amp;", "dan") &amp; "&amp;force-refresh=true&amp;timestamp=" &amp; TEXT(NOW(), "yyyymmddhhmmss"), "👉 Klik untuk Generate Script! 🔥"), "")</f>
        <v/>
      </c>
      <c r="I802" s="144" t="n"/>
      <c r="J802" s="148" t="n"/>
      <c r="K802" s="140">
        <f>IF(AND(B802&lt;&gt;"", C802&lt;&gt;"", D802&lt;&gt;"", E802&lt;&gt;"", F802&lt;&gt;"", G802&lt;&gt;"", J802&lt;&gt;"", 'CONTENT PILLAR MAPPING'!C704&lt;&gt;"", 'CONTENT PILLAR MAPPING'!E704&lt;&gt;"", 'CONTENT PILLAR MAPPING'!F704&lt;&gt;"", 'CONTENT PILLAR MAPPING'!C707&lt;&gt;"", 'CONTENT PILLAR MAPPING'!C712&lt;&gt;"", 'CONTENT PILLAR MAPPING'!D712&lt;&gt;"", 'CONTENT PILLAR MAPPING'!E712&lt;&gt;"", 'CONTENT PILLAR MAPPING'!D720&lt;&gt;"", 'CONTENT PILLAR MAPPING'!D721&lt;&gt;""),
CONCATENATE(
"Sebagai seorang top konten kreator dengan niche utama '", 'CONTENT PILLAR MAPPING'!C704, "', spesifik kategori '", 'CONTENT PILLAR MAPPING'!E704, "', dan super spesifik '", 'CONTENT PILLAR MAPPING'!F704, "', yang dikenal sebagai '", 'CONTENT PILLAR MAPPING'!C707, "'.", CHAR(10),
"Saya memiliki Tone of Voice: '", 'CONTENT PILLAR MAPPING'!C712, "', Brand Archetype: '", 'CONTENT PILLAR MAPPING'!D712, "', dan Deskripsi Gaya Komunikasi: '", 'CONTENT PILLAR MAPPING'!E712, "'.", CHAR(10),
"Target audiens saya adalah: '", 'CONTENT PILLAR MAPPING'!D720, "', dengan segmentasi audiens: '", 'CONTENT PILLAR MAPPING'!D721, "'.", CHAR(10), CHAR(10),
"Mohon buatkan script konten yang **sangat powerful, menarik, inovatif, dan siap pakai** dengan judul ide '", B802, "'.", CHAR(10),
"Konten ini memiliki pilar '", C802, "', nilai tambah utama '", F802, "', dan akan menggunakan storytelling framework '", G802, "'.", CHAR(10),
"Gambaran singkat ide kontennya adalah: '", J802, "'.", CHAR(10),
"Konten ini akan diunggah di platform '", E802, "' dengan format '", D802,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MAPPING'!C707, "'.** Sesuaikan dengan gaya komunikasi saya, dengan fokus pada nilai tambah '", F802,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MAPPING'!D720, ", khusus ", 'CONTENT PILLAR MAPPING'!D721, ") dan membantu mereka menyelesaikan masalah atau mencapai tujuan mereka.", CHAR(10),
"✔ Membantuku membangun personal branding yang kuat dan sustainable, sesuai dengan Positioning saya sebagai '", 'CONTENT PILLAR MAPPING'!C707, "' dan Brand Archetype '", 'CONTENT PILLAR MAPPING'!D712, "'.", CHAR(10),
"✔ Kemas dalam bentuk tabel agar rapi, mudah di baca dan dipahami, dengan kolom 'Judul Konten', 'Pilar', 'Format', 'Draft Script', 'CTA', 'Saran Visual', dan 'Full Caption'. (Kosongkan kolom Link Prompt jika ada)."
),
"")</f>
        <v/>
      </c>
      <c r="L802" s="199" t="n"/>
      <c r="M802" s="199" t="n"/>
      <c r="N802" s="102" t="n"/>
      <c r="O802" s="102" t="n"/>
      <c r="P802" s="102" t="n"/>
      <c r="Q802" s="102" t="n"/>
      <c r="R802" s="102" t="n"/>
      <c r="S802" s="102" t="n"/>
      <c r="T802" s="102" t="n"/>
      <c r="U802" s="102" t="n"/>
      <c r="V802" s="102" t="n"/>
      <c r="W802" s="102" t="n"/>
      <c r="X802" s="102" t="n"/>
      <c r="Y802" s="102" t="n"/>
      <c r="Z802" s="102" t="n"/>
      <c r="AA802" s="102" t="n"/>
      <c r="AB802" s="102" t="n"/>
      <c r="AC802" s="102" t="n"/>
      <c r="AD802" s="102" t="n"/>
    </row>
    <row r="803" ht="15.75" customHeight="1" s="205">
      <c r="A803" s="102" t="n"/>
      <c r="B803" s="142" t="n"/>
      <c r="C803" s="143" t="n"/>
      <c r="D803" s="143" t="n"/>
      <c r="E803" s="143" t="n"/>
      <c r="F803" s="143" t="n"/>
      <c r="G803" s="144" t="n"/>
      <c r="H803" s="145">
        <f>IF(K803&lt;&gt;"", HYPERLINK("https://chatgpt.com/?prompt=" &amp; SUBSTITUTE(SUBSTITUTE(K803, " ", "+"), "&amp;", "dan") &amp; "&amp;force-refresh=true&amp;timestamp=" &amp; TEXT(NOW(), "yyyymmddhhmmss"), "👉 Klik untuk Generate Script! 🔥"), "")</f>
        <v/>
      </c>
      <c r="I803" s="143" t="n"/>
      <c r="J803" s="146" t="n"/>
      <c r="K803" s="130">
        <f>IF(AND(B803&lt;&gt;"", C803&lt;&gt;"", D803&lt;&gt;"", E803&lt;&gt;"", F803&lt;&gt;"", G803&lt;&gt;"", J803&lt;&gt;"", 'CONTENT PILLAR MAPPING'!C706&lt;&gt;"", 'CONTENT PILLAR MAPPING'!E706&lt;&gt;"", 'CONTENT PILLAR MAPPING'!F706&lt;&gt;"", 'CONTENT PILLAR MAPPING'!C709&lt;&gt;"", 'CONTENT PILLAR MAPPING'!C714&lt;&gt;"", 'CONTENT PILLAR MAPPING'!D714&lt;&gt;"", 'CONTENT PILLAR MAPPING'!E714&lt;&gt;"", 'CONTENT PILLAR MAPPING'!D722&lt;&gt;"", 'CONTENT PILLAR MAPPING'!D723&lt;&gt;""),
CONCATENATE(
"Sebagai seorang top konten kreator dengan niche utama '", 'CONTENT PILLAR MAPPING'!C706, "', spesifik kategori '", 'CONTENT PILLAR MAPPING'!E706, "', dan super spesifik '", 'CONTENT PILLAR MAPPING'!F706, "', yang dikenal sebagai '", 'CONTENT PILLAR MAPPING'!C709, "'.", CHAR(10),
"Saya memiliki Tone of Voice: '", 'CONTENT PILLAR MAPPING'!C714, "', Brand Archetype: '", 'CONTENT PILLAR MAPPING'!D714, "', dan Deskripsi Gaya Komunikasi: '", 'CONTENT PILLAR MAPPING'!E714, "'.", CHAR(10),
"Target audiens saya adalah: '", 'CONTENT PILLAR MAPPING'!D722, "', dengan segmentasi audiens: '", 'CONTENT PILLAR MAPPING'!D723, "'.", CHAR(10), CHAR(10),
"Mohon buatkan script konten yang **sangat powerful, menarik, inovatif, dan siap pakai** dengan judul ide '", B803, "'.", CHAR(10),
"Konten ini memiliki pilar '", C803, "', nilai tambah utama '", F803, "', dan akan menggunakan storytelling framework '", G803, "'.", CHAR(10),
"Gambaran singkat ide kontennya adalah: '", J803, "'.", CHAR(10),
"Konten ini akan diunggah di platform '", E803, "' dengan format '", D803,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MAPPING'!C709, "'.** Sesuaikan dengan gaya komunikasi saya, dengan fokus pada nilai tambah '", F803,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MAPPING'!D722, ", khusus ", 'CONTENT PILLAR MAPPING'!D723, ") dan membantu mereka menyelesaikan masalah atau mencapai tujuan mereka.", CHAR(10),
"✔ Membantuku membangun personal branding yang kuat dan sustainable, sesuai dengan Positioning saya sebagai '", 'CONTENT PILLAR MAPPING'!C709, "' dan Brand Archetype '", 'CONTENT PILLAR MAPPING'!D714, "'.", CHAR(10),
"✔ Kemas dalam bentuk tabel agar rapi, mudah di baca dan dipahami, dengan kolom 'Judul Konten', 'Pilar', 'Format', 'Draft Script', 'CTA', 'Saran Visual', dan 'Full Caption'. (Kosongkan kolom Link Prompt jika ada)."
),
"")</f>
        <v/>
      </c>
      <c r="L803" s="91" t="n"/>
      <c r="M803" s="91" t="n"/>
      <c r="N803" s="102" t="n"/>
      <c r="O803" s="102" t="n"/>
      <c r="P803" s="102" t="n"/>
      <c r="Q803" s="102" t="n"/>
      <c r="R803" s="102" t="n"/>
      <c r="S803" s="102" t="n"/>
      <c r="T803" s="102" t="n"/>
      <c r="U803" s="102" t="n"/>
      <c r="V803" s="102" t="n"/>
      <c r="W803" s="102" t="n"/>
      <c r="X803" s="102" t="n"/>
      <c r="Y803" s="102" t="n"/>
      <c r="Z803" s="102" t="n"/>
      <c r="AA803" s="102" t="n"/>
      <c r="AB803" s="102" t="n"/>
      <c r="AC803" s="102" t="n"/>
      <c r="AD803" s="102" t="n"/>
    </row>
    <row r="804" ht="15.75" customHeight="1" s="205">
      <c r="A804" s="102" t="n"/>
      <c r="B804" s="147" t="n"/>
      <c r="C804" s="144" t="n"/>
      <c r="D804" s="144" t="n"/>
      <c r="E804" s="144" t="n"/>
      <c r="F804" s="144" t="n"/>
      <c r="G804" s="144" t="n"/>
      <c r="H804" s="141">
        <f>IF(K804&lt;&gt;"", HYPERLINK("https://chatgpt.com/?prompt=" &amp; SUBSTITUTE(SUBSTITUTE(K804, " ", "+"), "&amp;", "dan") &amp; "&amp;force-refresh=true&amp;timestamp=" &amp; TEXT(NOW(), "yyyymmddhhmmss"), "👉 Klik untuk Generate Script! 🔥"), "")</f>
        <v/>
      </c>
      <c r="I804" s="144" t="n"/>
      <c r="J804" s="148" t="n"/>
      <c r="K804" s="140">
        <f>IF(AND(B804&lt;&gt;"", C804&lt;&gt;"", D804&lt;&gt;"", E804&lt;&gt;"", F804&lt;&gt;"", G804&lt;&gt;"", J804&lt;&gt;"", 'CONTENT PILLAR MAPPING'!C706&lt;&gt;"", 'CONTENT PILLAR MAPPING'!E706&lt;&gt;"", 'CONTENT PILLAR MAPPING'!F706&lt;&gt;"", 'CONTENT PILLAR MAPPING'!C709&lt;&gt;"", 'CONTENT PILLAR MAPPING'!C714&lt;&gt;"", 'CONTENT PILLAR MAPPING'!D714&lt;&gt;"", 'CONTENT PILLAR MAPPING'!E714&lt;&gt;"", 'CONTENT PILLAR MAPPING'!D722&lt;&gt;"", 'CONTENT PILLAR MAPPING'!D723&lt;&gt;""),
CONCATENATE(
"Sebagai seorang top konten kreator dengan niche utama '", 'CONTENT PILLAR MAPPING'!C706, "', spesifik kategori '", 'CONTENT PILLAR MAPPING'!E706, "', dan super spesifik '", 'CONTENT PILLAR MAPPING'!F706, "', yang dikenal sebagai '", 'CONTENT PILLAR MAPPING'!C709, "'.", CHAR(10),
"Saya memiliki Tone of Voice: '", 'CONTENT PILLAR MAPPING'!C714, "', Brand Archetype: '", 'CONTENT PILLAR MAPPING'!D714, "', dan Deskripsi Gaya Komunikasi: '", 'CONTENT PILLAR MAPPING'!E714, "'.", CHAR(10),
"Target audiens saya adalah: '", 'CONTENT PILLAR MAPPING'!D722, "', dengan segmentasi audiens: '", 'CONTENT PILLAR MAPPING'!D723, "'.", CHAR(10), CHAR(10),
"Mohon buatkan script konten yang **sangat powerful, menarik, inovatif, dan siap pakai** dengan judul ide '", B804, "'.", CHAR(10),
"Konten ini memiliki pilar '", C804, "', nilai tambah utama '", F804, "', dan akan menggunakan storytelling framework '", G804, "'.", CHAR(10),
"Gambaran singkat ide kontennya adalah: '", J804, "'.", CHAR(10),
"Konten ini akan diunggah di platform '", E804, "' dengan format '", D804,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MAPPING'!C709, "'.** Sesuaikan dengan gaya komunikasi saya, dengan fokus pada nilai tambah '", F804,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MAPPING'!D722, ", khusus ", 'CONTENT PILLAR MAPPING'!D723, ") dan membantu mereka menyelesaikan masalah atau mencapai tujuan mereka.", CHAR(10),
"✔ Membantuku membangun personal branding yang kuat dan sustainable, sesuai dengan Positioning saya sebagai '", 'CONTENT PILLAR MAPPING'!C709, "' dan Brand Archetype '", 'CONTENT PILLAR MAPPING'!D714, "'.", CHAR(10),
"✔ Kemas dalam bentuk tabel agar rapi, mudah di baca dan dipahami, dengan kolom 'Judul Konten', 'Pilar', 'Format', 'Draft Script', 'CTA', 'Saran Visual', dan 'Full Caption'. (Kosongkan kolom Link Prompt jika ada)."
),
"")</f>
        <v/>
      </c>
      <c r="L804" s="199" t="n"/>
      <c r="M804" s="199" t="n"/>
      <c r="N804" s="102" t="n"/>
      <c r="O804" s="102" t="n"/>
      <c r="P804" s="102" t="n"/>
      <c r="Q804" s="102" t="n"/>
      <c r="R804" s="102" t="n"/>
      <c r="S804" s="102" t="n"/>
      <c r="T804" s="102" t="n"/>
      <c r="U804" s="102" t="n"/>
      <c r="V804" s="102" t="n"/>
      <c r="W804" s="102" t="n"/>
      <c r="X804" s="102" t="n"/>
      <c r="Y804" s="102" t="n"/>
      <c r="Z804" s="102" t="n"/>
      <c r="AA804" s="102" t="n"/>
      <c r="AB804" s="102" t="n"/>
      <c r="AC804" s="102" t="n"/>
      <c r="AD804" s="102" t="n"/>
    </row>
    <row r="805" ht="15.75" customHeight="1" s="205">
      <c r="A805" s="102" t="n"/>
      <c r="B805" s="142" t="n"/>
      <c r="C805" s="143" t="n"/>
      <c r="D805" s="143" t="n"/>
      <c r="E805" s="143" t="n"/>
      <c r="F805" s="143" t="n"/>
      <c r="G805" s="144" t="n"/>
      <c r="H805" s="145">
        <f>IF(K805&lt;&gt;"", HYPERLINK("https://chatgpt.com/?prompt=" &amp; SUBSTITUTE(SUBSTITUTE(K805, " ", "+"), "&amp;", "dan") &amp; "&amp;force-refresh=true&amp;timestamp=" &amp; TEXT(NOW(), "yyyymmddhhmmss"), "👉 Klik untuk Generate Script! 🔥"), "")</f>
        <v/>
      </c>
      <c r="I805" s="143" t="n"/>
      <c r="J805" s="146" t="n"/>
      <c r="K805" s="130">
        <f>IF(AND(B805&lt;&gt;"", C805&lt;&gt;"", D805&lt;&gt;"", E805&lt;&gt;"", F805&lt;&gt;"", G805&lt;&gt;"", J805&lt;&gt;"", 'CONTENT PILLAR MAPPING'!C708&lt;&gt;"", 'CONTENT PILLAR MAPPING'!E708&lt;&gt;"", 'CONTENT PILLAR MAPPING'!F708&lt;&gt;"", 'CONTENT PILLAR MAPPING'!C711&lt;&gt;"", 'CONTENT PILLAR MAPPING'!C716&lt;&gt;"", 'CONTENT PILLAR MAPPING'!D716&lt;&gt;"", 'CONTENT PILLAR MAPPING'!E716&lt;&gt;"", 'CONTENT PILLAR MAPPING'!D724&lt;&gt;"", 'CONTENT PILLAR MAPPING'!D725&lt;&gt;""),
CONCATENATE(
"Sebagai seorang top konten kreator dengan niche utama '", 'CONTENT PILLAR MAPPING'!C708, "', spesifik kategori '", 'CONTENT PILLAR MAPPING'!E708, "', dan super spesifik '", 'CONTENT PILLAR MAPPING'!F708, "', yang dikenal sebagai '", 'CONTENT PILLAR MAPPING'!C711, "'.", CHAR(10),
"Saya memiliki Tone of Voice: '", 'CONTENT PILLAR MAPPING'!C716, "', Brand Archetype: '", 'CONTENT PILLAR MAPPING'!D716, "', dan Deskripsi Gaya Komunikasi: '", 'CONTENT PILLAR MAPPING'!E716, "'.", CHAR(10),
"Target audiens saya adalah: '", 'CONTENT PILLAR MAPPING'!D724, "', dengan segmentasi audiens: '", 'CONTENT PILLAR MAPPING'!D725, "'.", CHAR(10), CHAR(10),
"Mohon buatkan script konten yang **sangat powerful, menarik, inovatif, dan siap pakai** dengan judul ide '", B805, "'.", CHAR(10),
"Konten ini memiliki pilar '", C805, "', nilai tambah utama '", F805, "', dan akan menggunakan storytelling framework '", G805, "'.", CHAR(10),
"Gambaran singkat ide kontennya adalah: '", J805, "'.", CHAR(10),
"Konten ini akan diunggah di platform '", E805, "' dengan format '", D805,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MAPPING'!C711, "'.** Sesuaikan dengan gaya komunikasi saya, dengan fokus pada nilai tambah '", F805,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MAPPING'!D724, ", khusus ", 'CONTENT PILLAR MAPPING'!D725, ") dan membantu mereka menyelesaikan masalah atau mencapai tujuan mereka.", CHAR(10),
"✔ Membantuku membangun personal branding yang kuat dan sustainable, sesuai dengan Positioning saya sebagai '", 'CONTENT PILLAR MAPPING'!C711, "' dan Brand Archetype '", 'CONTENT PILLAR MAPPING'!D716, "'.", CHAR(10),
"✔ Kemas dalam bentuk tabel agar rapi, mudah di baca dan dipahami, dengan kolom 'Judul Konten', 'Pilar', 'Format', 'Draft Script', 'CTA', 'Saran Visual', dan 'Full Caption'. (Kosongkan kolom Link Prompt jika ada)."
),
"")</f>
        <v/>
      </c>
      <c r="L805" s="91" t="n"/>
      <c r="M805" s="91" t="n"/>
      <c r="N805" s="102" t="n"/>
      <c r="O805" s="102" t="n"/>
      <c r="P805" s="102" t="n"/>
      <c r="Q805" s="102" t="n"/>
      <c r="R805" s="102" t="n"/>
      <c r="S805" s="102" t="n"/>
      <c r="T805" s="102" t="n"/>
      <c r="U805" s="102" t="n"/>
      <c r="V805" s="102" t="n"/>
      <c r="W805" s="102" t="n"/>
      <c r="X805" s="102" t="n"/>
      <c r="Y805" s="102" t="n"/>
      <c r="Z805" s="102" t="n"/>
      <c r="AA805" s="102" t="n"/>
      <c r="AB805" s="102" t="n"/>
      <c r="AC805" s="102" t="n"/>
      <c r="AD805" s="102" t="n"/>
    </row>
    <row r="806" ht="15.75" customHeight="1" s="205">
      <c r="A806" s="102" t="n"/>
      <c r="B806" s="147" t="n"/>
      <c r="C806" s="144" t="n"/>
      <c r="D806" s="144" t="n"/>
      <c r="E806" s="144" t="n"/>
      <c r="F806" s="144" t="n"/>
      <c r="G806" s="144" t="n"/>
      <c r="H806" s="141">
        <f>IF(K806&lt;&gt;"", HYPERLINK("https://chatgpt.com/?prompt=" &amp; SUBSTITUTE(SUBSTITUTE(K806, " ", "+"), "&amp;", "dan") &amp; "&amp;force-refresh=true&amp;timestamp=" &amp; TEXT(NOW(), "yyyymmddhhmmss"), "👉 Klik untuk Generate Script! 🔥"), "")</f>
        <v/>
      </c>
      <c r="I806" s="144" t="n"/>
      <c r="J806" s="148" t="n"/>
      <c r="K806" s="140">
        <f>IF(AND(B806&lt;&gt;"", C806&lt;&gt;"", D806&lt;&gt;"", E806&lt;&gt;"", F806&lt;&gt;"", G806&lt;&gt;"", J806&lt;&gt;"", 'CONTENT PILLAR MAPPING'!C708&lt;&gt;"", 'CONTENT PILLAR MAPPING'!E708&lt;&gt;"", 'CONTENT PILLAR MAPPING'!F708&lt;&gt;"", 'CONTENT PILLAR MAPPING'!C711&lt;&gt;"", 'CONTENT PILLAR MAPPING'!C716&lt;&gt;"", 'CONTENT PILLAR MAPPING'!D716&lt;&gt;"", 'CONTENT PILLAR MAPPING'!E716&lt;&gt;"", 'CONTENT PILLAR MAPPING'!D724&lt;&gt;"", 'CONTENT PILLAR MAPPING'!D725&lt;&gt;""),
CONCATENATE(
"Sebagai seorang top konten kreator dengan niche utama '", 'CONTENT PILLAR MAPPING'!C708, "', spesifik kategori '", 'CONTENT PILLAR MAPPING'!E708, "', dan super spesifik '", 'CONTENT PILLAR MAPPING'!F708, "', yang dikenal sebagai '", 'CONTENT PILLAR MAPPING'!C711, "'.", CHAR(10),
"Saya memiliki Tone of Voice: '", 'CONTENT PILLAR MAPPING'!C716, "', Brand Archetype: '", 'CONTENT PILLAR MAPPING'!D716, "', dan Deskripsi Gaya Komunikasi: '", 'CONTENT PILLAR MAPPING'!E716, "'.", CHAR(10),
"Target audiens saya adalah: '", 'CONTENT PILLAR MAPPING'!D724, "', dengan segmentasi audiens: '", 'CONTENT PILLAR MAPPING'!D725, "'.", CHAR(10), CHAR(10),
"Mohon buatkan script konten yang **sangat powerful, menarik, inovatif, dan siap pakai** dengan judul ide '", B806, "'.", CHAR(10),
"Konten ini memiliki pilar '", C806, "', nilai tambah utama '", F806, "', dan akan menggunakan storytelling framework '", G806, "'.", CHAR(10),
"Gambaran singkat ide kontennya adalah: '", J806, "'.", CHAR(10),
"Konten ini akan diunggah di platform '", E806, "' dengan format '", D806,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MAPPING'!C711, "'.** Sesuaikan dengan gaya komunikasi saya, dengan fokus pada nilai tambah '", F806,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MAPPING'!D724, ", khusus ", 'CONTENT PILLAR MAPPING'!D725, ") dan membantu mereka menyelesaikan masalah atau mencapai tujuan mereka.", CHAR(10),
"✔ Membantuku membangun personal branding yang kuat dan sustainable, sesuai dengan Positioning saya sebagai '", 'CONTENT PILLAR MAPPING'!C711, "' dan Brand Archetype '", 'CONTENT PILLAR MAPPING'!D716, "'.", CHAR(10),
"✔ Kemas dalam bentuk tabel agar rapi, mudah di baca dan dipahami, dengan kolom 'Judul Konten', 'Pilar', 'Format', 'Draft Script', 'CTA', 'Saran Visual', dan 'Full Caption'. (Kosongkan kolom Link Prompt jika ada)."
),
"")</f>
        <v/>
      </c>
      <c r="L806" s="199" t="n"/>
      <c r="M806" s="199" t="n"/>
      <c r="N806" s="102" t="n"/>
      <c r="O806" s="102" t="n"/>
      <c r="P806" s="102" t="n"/>
      <c r="Q806" s="102" t="n"/>
      <c r="R806" s="102" t="n"/>
      <c r="S806" s="102" t="n"/>
      <c r="T806" s="102" t="n"/>
      <c r="U806" s="102" t="n"/>
      <c r="V806" s="102" t="n"/>
      <c r="W806" s="102" t="n"/>
      <c r="X806" s="102" t="n"/>
      <c r="Y806" s="102" t="n"/>
      <c r="Z806" s="102" t="n"/>
      <c r="AA806" s="102" t="n"/>
      <c r="AB806" s="102" t="n"/>
      <c r="AC806" s="102" t="n"/>
      <c r="AD806" s="102" t="n"/>
    </row>
    <row r="807" ht="15.75" customHeight="1" s="205">
      <c r="A807" s="102" t="n"/>
      <c r="B807" s="142" t="n"/>
      <c r="C807" s="143" t="n"/>
      <c r="D807" s="143" t="n"/>
      <c r="E807" s="143" t="n"/>
      <c r="F807" s="143" t="n"/>
      <c r="G807" s="144" t="n"/>
      <c r="H807" s="145">
        <f>IF(K807&lt;&gt;"", HYPERLINK("https://chatgpt.com/?prompt=" &amp; SUBSTITUTE(SUBSTITUTE(K807, " ", "+"), "&amp;", "dan") &amp; "&amp;force-refresh=true&amp;timestamp=" &amp; TEXT(NOW(), "yyyymmddhhmmss"), "👉 Klik untuk Generate Script! 🔥"), "")</f>
        <v/>
      </c>
      <c r="I807" s="143" t="n"/>
      <c r="J807" s="146" t="n"/>
      <c r="K807" s="130">
        <f>IF(AND(B807&lt;&gt;"", C807&lt;&gt;"", D807&lt;&gt;"", E807&lt;&gt;"", F807&lt;&gt;"", G807&lt;&gt;"", J807&lt;&gt;"", 'CONTENT PILLAR MAPPING'!C710&lt;&gt;"", 'CONTENT PILLAR MAPPING'!E710&lt;&gt;"", 'CONTENT PILLAR MAPPING'!F710&lt;&gt;"", 'CONTENT PILLAR MAPPING'!C713&lt;&gt;"", 'CONTENT PILLAR MAPPING'!C718&lt;&gt;"", 'CONTENT PILLAR MAPPING'!D718&lt;&gt;"", 'CONTENT PILLAR MAPPING'!E718&lt;&gt;"", 'CONTENT PILLAR MAPPING'!D726&lt;&gt;"", 'CONTENT PILLAR MAPPING'!D727&lt;&gt;""),
CONCATENATE(
"Sebagai seorang top konten kreator dengan niche utama '", 'CONTENT PILLAR MAPPING'!C710, "', spesifik kategori '", 'CONTENT PILLAR MAPPING'!E710, "', dan super spesifik '", 'CONTENT PILLAR MAPPING'!F710, "', yang dikenal sebagai '", 'CONTENT PILLAR MAPPING'!C713, "'.", CHAR(10),
"Saya memiliki Tone of Voice: '", 'CONTENT PILLAR MAPPING'!C718, "', Brand Archetype: '", 'CONTENT PILLAR MAPPING'!D718, "', dan Deskripsi Gaya Komunikasi: '", 'CONTENT PILLAR MAPPING'!E718, "'.", CHAR(10),
"Target audiens saya adalah: '", 'CONTENT PILLAR MAPPING'!D726, "', dengan segmentasi audiens: '", 'CONTENT PILLAR MAPPING'!D727, "'.", CHAR(10), CHAR(10),
"Mohon buatkan script konten yang **sangat powerful, menarik, inovatif, dan siap pakai** dengan judul ide '", B807, "'.", CHAR(10),
"Konten ini memiliki pilar '", C807, "', nilai tambah utama '", F807, "', dan akan menggunakan storytelling framework '", G807, "'.", CHAR(10),
"Gambaran singkat ide kontennya adalah: '", J807, "'.", CHAR(10),
"Konten ini akan diunggah di platform '", E807, "' dengan format '", D807,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MAPPING'!C713, "'.** Sesuaikan dengan gaya komunikasi saya, dengan fokus pada nilai tambah '", F807,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MAPPING'!D726, ", khusus ", 'CONTENT PILLAR MAPPING'!D727, ") dan membantu mereka menyelesaikan masalah atau mencapai tujuan mereka.", CHAR(10),
"✔ Membantuku membangun personal branding yang kuat dan sustainable, sesuai dengan Positioning saya sebagai '", 'CONTENT PILLAR MAPPING'!C713, "' dan Brand Archetype '", 'CONTENT PILLAR MAPPING'!D718, "'.", CHAR(10),
"✔ Kemas dalam bentuk tabel agar rapi, mudah di baca dan dipahami, dengan kolom 'Judul Konten', 'Pilar', 'Format', 'Draft Script', 'CTA', 'Saran Visual', dan 'Full Caption'. (Kosongkan kolom Link Prompt jika ada)."
),
"")</f>
        <v/>
      </c>
      <c r="L807" s="91" t="n"/>
      <c r="M807" s="91" t="n"/>
      <c r="N807" s="102" t="n"/>
      <c r="O807" s="102" t="n"/>
      <c r="P807" s="102" t="n"/>
      <c r="Q807" s="102" t="n"/>
      <c r="R807" s="102" t="n"/>
      <c r="S807" s="102" t="n"/>
      <c r="T807" s="102" t="n"/>
      <c r="U807" s="102" t="n"/>
      <c r="V807" s="102" t="n"/>
      <c r="W807" s="102" t="n"/>
      <c r="X807" s="102" t="n"/>
      <c r="Y807" s="102" t="n"/>
      <c r="Z807" s="102" t="n"/>
      <c r="AA807" s="102" t="n"/>
      <c r="AB807" s="102" t="n"/>
      <c r="AC807" s="102" t="n"/>
      <c r="AD807" s="102" t="n"/>
    </row>
    <row r="808" ht="15.75" customHeight="1" s="205">
      <c r="A808" s="102" t="n"/>
      <c r="B808" s="147" t="n"/>
      <c r="C808" s="144" t="n"/>
      <c r="D808" s="144" t="n"/>
      <c r="E808" s="144" t="n"/>
      <c r="F808" s="144" t="n"/>
      <c r="G808" s="144" t="n"/>
      <c r="H808" s="141">
        <f>IF(K808&lt;&gt;"", HYPERLINK("https://chatgpt.com/?prompt=" &amp; SUBSTITUTE(SUBSTITUTE(K808, " ", "+"), "&amp;", "dan") &amp; "&amp;force-refresh=true&amp;timestamp=" &amp; TEXT(NOW(), "yyyymmddhhmmss"), "👉 Klik untuk Generate Script! 🔥"), "")</f>
        <v/>
      </c>
      <c r="I808" s="144" t="n"/>
      <c r="J808" s="148" t="n"/>
      <c r="K808" s="140">
        <f>IF(AND(B808&lt;&gt;"", C808&lt;&gt;"", D808&lt;&gt;"", E808&lt;&gt;"", F808&lt;&gt;"", G808&lt;&gt;"", J808&lt;&gt;"", 'CONTENT PILLAR MAPPING'!C710&lt;&gt;"", 'CONTENT PILLAR MAPPING'!E710&lt;&gt;"", 'CONTENT PILLAR MAPPING'!F710&lt;&gt;"", 'CONTENT PILLAR MAPPING'!C713&lt;&gt;"", 'CONTENT PILLAR MAPPING'!C718&lt;&gt;"", 'CONTENT PILLAR MAPPING'!D718&lt;&gt;"", 'CONTENT PILLAR MAPPING'!E718&lt;&gt;"", 'CONTENT PILLAR MAPPING'!D726&lt;&gt;"", 'CONTENT PILLAR MAPPING'!D727&lt;&gt;""),
CONCATENATE(
"Sebagai seorang top konten kreator dengan niche utama '", 'CONTENT PILLAR MAPPING'!C710, "', spesifik kategori '", 'CONTENT PILLAR MAPPING'!E710, "', dan super spesifik '", 'CONTENT PILLAR MAPPING'!F710, "', yang dikenal sebagai '", 'CONTENT PILLAR MAPPING'!C713, "'.", CHAR(10),
"Saya memiliki Tone of Voice: '", 'CONTENT PILLAR MAPPING'!C718, "', Brand Archetype: '", 'CONTENT PILLAR MAPPING'!D718, "', dan Deskripsi Gaya Komunikasi: '", 'CONTENT PILLAR MAPPING'!E718, "'.", CHAR(10),
"Target audiens saya adalah: '", 'CONTENT PILLAR MAPPING'!D726, "', dengan segmentasi audiens: '", 'CONTENT PILLAR MAPPING'!D727, "'.", CHAR(10), CHAR(10),
"Mohon buatkan script konten yang **sangat powerful, menarik, inovatif, dan siap pakai** dengan judul ide '", B808, "'.", CHAR(10),
"Konten ini memiliki pilar '", C808, "', nilai tambah utama '", F808, "', dan akan menggunakan storytelling framework '", G808, "'.", CHAR(10),
"Gambaran singkat ide kontennya adalah: '", J808, "'.", CHAR(10),
"Konten ini akan diunggah di platform '", E808, "' dengan format '", D808,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MAPPING'!C713, "'.** Sesuaikan dengan gaya komunikasi saya, dengan fokus pada nilai tambah '", F808,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MAPPING'!D726, ", khusus ", 'CONTENT PILLAR MAPPING'!D727, ") dan membantu mereka menyelesaikan masalah atau mencapai tujuan mereka.", CHAR(10),
"✔ Membantuku membangun personal branding yang kuat dan sustainable, sesuai dengan Positioning saya sebagai '", 'CONTENT PILLAR MAPPING'!C713, "' dan Brand Archetype '", 'CONTENT PILLAR MAPPING'!D718, "'.", CHAR(10),
"✔ Kemas dalam bentuk tabel agar rapi, mudah di baca dan dipahami, dengan kolom 'Judul Konten', 'Pilar', 'Format', 'Draft Script', 'CTA', 'Saran Visual', dan 'Full Caption'. (Kosongkan kolom Link Prompt jika ada)."
),
"")</f>
        <v/>
      </c>
      <c r="L808" s="199" t="n"/>
      <c r="M808" s="199" t="n"/>
      <c r="N808" s="102" t="n"/>
      <c r="O808" s="102" t="n"/>
      <c r="P808" s="102" t="n"/>
      <c r="Q808" s="102" t="n"/>
      <c r="R808" s="102" t="n"/>
      <c r="S808" s="102" t="n"/>
      <c r="T808" s="102" t="n"/>
      <c r="U808" s="102" t="n"/>
      <c r="V808" s="102" t="n"/>
      <c r="W808" s="102" t="n"/>
      <c r="X808" s="102" t="n"/>
      <c r="Y808" s="102" t="n"/>
      <c r="Z808" s="102" t="n"/>
      <c r="AA808" s="102" t="n"/>
      <c r="AB808" s="102" t="n"/>
      <c r="AC808" s="102" t="n"/>
      <c r="AD808" s="102" t="n"/>
    </row>
    <row r="809" ht="15.75" customHeight="1" s="205">
      <c r="A809" s="102" t="n"/>
      <c r="B809" s="142" t="n"/>
      <c r="C809" s="143" t="n"/>
      <c r="D809" s="143" t="n"/>
      <c r="E809" s="143" t="n"/>
      <c r="F809" s="143" t="n"/>
      <c r="G809" s="144" t="n"/>
      <c r="H809" s="145">
        <f>IF(K809&lt;&gt;"", HYPERLINK("https://chatgpt.com/?prompt=" &amp; SUBSTITUTE(SUBSTITUTE(K809, " ", "+"), "&amp;", "dan") &amp; "&amp;force-refresh=true&amp;timestamp=" &amp; TEXT(NOW(), "yyyymmddhhmmss"), "👉 Klik untuk Generate Script! 🔥"), "")</f>
        <v/>
      </c>
      <c r="I809" s="143" t="n"/>
      <c r="J809" s="146" t="n"/>
      <c r="K809" s="130">
        <f>IF(AND(B809&lt;&gt;"", C809&lt;&gt;"", D809&lt;&gt;"", E809&lt;&gt;"", F809&lt;&gt;"", G809&lt;&gt;"", J809&lt;&gt;"", 'CONTENT PILLAR MAPPING'!C712&lt;&gt;"", 'CONTENT PILLAR MAPPING'!E712&lt;&gt;"", 'CONTENT PILLAR MAPPING'!F712&lt;&gt;"", 'CONTENT PILLAR MAPPING'!C715&lt;&gt;"", 'CONTENT PILLAR MAPPING'!C720&lt;&gt;"", 'CONTENT PILLAR MAPPING'!D720&lt;&gt;"", 'CONTENT PILLAR MAPPING'!E720&lt;&gt;"", 'CONTENT PILLAR MAPPING'!D728&lt;&gt;"", 'CONTENT PILLAR MAPPING'!D729&lt;&gt;""),
CONCATENATE(
"Sebagai seorang top konten kreator dengan niche utama '", 'CONTENT PILLAR MAPPING'!C712, "', spesifik kategori '", 'CONTENT PILLAR MAPPING'!E712, "', dan super spesifik '", 'CONTENT PILLAR MAPPING'!F712, "', yang dikenal sebagai '", 'CONTENT PILLAR MAPPING'!C715, "'.", CHAR(10),
"Saya memiliki Tone of Voice: '", 'CONTENT PILLAR MAPPING'!C720, "', Brand Archetype: '", 'CONTENT PILLAR MAPPING'!D720, "', dan Deskripsi Gaya Komunikasi: '", 'CONTENT PILLAR MAPPING'!E720, "'.", CHAR(10),
"Target audiens saya adalah: '", 'CONTENT PILLAR MAPPING'!D728, "', dengan segmentasi audiens: '", 'CONTENT PILLAR MAPPING'!D729, "'.", CHAR(10), CHAR(10),
"Mohon buatkan script konten yang **sangat powerful, menarik, inovatif, dan siap pakai** dengan judul ide '", B809, "'.", CHAR(10),
"Konten ini memiliki pilar '", C809, "', nilai tambah utama '", F809, "', dan akan menggunakan storytelling framework '", G809, "'.", CHAR(10),
"Gambaran singkat ide kontennya adalah: '", J809, "'.", CHAR(10),
"Konten ini akan diunggah di platform '", E809, "' dengan format '", D809,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MAPPING'!C715, "'.** Sesuaikan dengan gaya komunikasi saya, dengan fokus pada nilai tambah '", F809,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MAPPING'!D728, ", khusus ", 'CONTENT PILLAR MAPPING'!D729, ") dan membantu mereka menyelesaikan masalah atau mencapai tujuan mereka.", CHAR(10),
"✔ Membantuku membangun personal branding yang kuat dan sustainable, sesuai dengan Positioning saya sebagai '", 'CONTENT PILLAR MAPPING'!C715, "' dan Brand Archetype '", 'CONTENT PILLAR MAPPING'!D720, "'.", CHAR(10),
"✔ Kemas dalam bentuk tabel agar rapi, mudah di baca dan dipahami, dengan kolom 'Judul Konten', 'Pilar', 'Format', 'Draft Script', 'CTA', 'Saran Visual', dan 'Full Caption'. (Kosongkan kolom Link Prompt jika ada)."
),
"")</f>
        <v/>
      </c>
      <c r="L809" s="91" t="n"/>
      <c r="M809" s="91" t="n"/>
      <c r="N809" s="102" t="n"/>
      <c r="O809" s="102" t="n"/>
      <c r="P809" s="102" t="n"/>
      <c r="Q809" s="102" t="n"/>
      <c r="R809" s="102" t="n"/>
      <c r="S809" s="102" t="n"/>
      <c r="T809" s="102" t="n"/>
      <c r="U809" s="102" t="n"/>
      <c r="V809" s="102" t="n"/>
      <c r="W809" s="102" t="n"/>
      <c r="X809" s="102" t="n"/>
      <c r="Y809" s="102" t="n"/>
      <c r="Z809" s="102" t="n"/>
      <c r="AA809" s="102" t="n"/>
      <c r="AB809" s="102" t="n"/>
      <c r="AC809" s="102" t="n"/>
      <c r="AD809" s="102" t="n"/>
    </row>
    <row r="810" ht="15.75" customHeight="1" s="205">
      <c r="A810" s="102" t="n"/>
      <c r="B810" s="147" t="n"/>
      <c r="C810" s="144" t="n"/>
      <c r="D810" s="144" t="n"/>
      <c r="E810" s="144" t="n"/>
      <c r="F810" s="144" t="n"/>
      <c r="G810" s="144" t="n"/>
      <c r="H810" s="141">
        <f>IF(K810&lt;&gt;"", HYPERLINK("https://chatgpt.com/?prompt=" &amp; SUBSTITUTE(SUBSTITUTE(K810, " ", "+"), "&amp;", "dan") &amp; "&amp;force-refresh=true&amp;timestamp=" &amp; TEXT(NOW(), "yyyymmddhhmmss"), "👉 Klik untuk Generate Script! 🔥"), "")</f>
        <v/>
      </c>
      <c r="I810" s="144" t="n"/>
      <c r="J810" s="148" t="n"/>
      <c r="K810" s="140">
        <f>IF(AND(B810&lt;&gt;"", C810&lt;&gt;"", D810&lt;&gt;"", E810&lt;&gt;"", F810&lt;&gt;"", G810&lt;&gt;"", J810&lt;&gt;"", 'CONTENT PILLAR MAPPING'!C712&lt;&gt;"", 'CONTENT PILLAR MAPPING'!E712&lt;&gt;"", 'CONTENT PILLAR MAPPING'!F712&lt;&gt;"", 'CONTENT PILLAR MAPPING'!C715&lt;&gt;"", 'CONTENT PILLAR MAPPING'!C720&lt;&gt;"", 'CONTENT PILLAR MAPPING'!D720&lt;&gt;"", 'CONTENT PILLAR MAPPING'!E720&lt;&gt;"", 'CONTENT PILLAR MAPPING'!D728&lt;&gt;"", 'CONTENT PILLAR MAPPING'!D729&lt;&gt;""),
CONCATENATE(
"Sebagai seorang top konten kreator dengan niche utama '", 'CONTENT PILLAR MAPPING'!C712, "', spesifik kategori '", 'CONTENT PILLAR MAPPING'!E712, "', dan super spesifik '", 'CONTENT PILLAR MAPPING'!F712, "', yang dikenal sebagai '", 'CONTENT PILLAR MAPPING'!C715, "'.", CHAR(10),
"Saya memiliki Tone of Voice: '", 'CONTENT PILLAR MAPPING'!C720, "', Brand Archetype: '", 'CONTENT PILLAR MAPPING'!D720, "', dan Deskripsi Gaya Komunikasi: '", 'CONTENT PILLAR MAPPING'!E720, "'.", CHAR(10),
"Target audiens saya adalah: '", 'CONTENT PILLAR MAPPING'!D728, "', dengan segmentasi audiens: '", 'CONTENT PILLAR MAPPING'!D729, "'.", CHAR(10), CHAR(10),
"Mohon buatkan script konten yang **sangat powerful, menarik, inovatif, dan siap pakai** dengan judul ide '", B810, "'.", CHAR(10),
"Konten ini memiliki pilar '", C810, "', nilai tambah utama '", F810, "', dan akan menggunakan storytelling framework '", G810, "'.", CHAR(10),
"Gambaran singkat ide kontennya adalah: '", J810, "'.", CHAR(10),
"Konten ini akan diunggah di platform '", E810, "' dengan format '", D810,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MAPPING'!C715, "'.** Sesuaikan dengan gaya komunikasi saya, dengan fokus pada nilai tambah '", F810,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MAPPING'!D728, ", khusus ", 'CONTENT PILLAR MAPPING'!D729, ") dan membantu mereka menyelesaikan masalah atau mencapai tujuan mereka.", CHAR(10),
"✔ Membantuku membangun personal branding yang kuat dan sustainable, sesuai dengan Positioning saya sebagai '", 'CONTENT PILLAR MAPPING'!C715, "' dan Brand Archetype '", 'CONTENT PILLAR MAPPING'!D720, "'.", CHAR(10),
"✔ Kemas dalam bentuk tabel agar rapi, mudah di baca dan dipahami, dengan kolom 'Judul Konten', 'Pilar', 'Format', 'Draft Script', 'CTA', 'Saran Visual', dan 'Full Caption'. (Kosongkan kolom Link Prompt jika ada)."
),
"")</f>
        <v/>
      </c>
      <c r="L810" s="199" t="n"/>
      <c r="M810" s="199" t="n"/>
      <c r="N810" s="102" t="n"/>
      <c r="O810" s="102" t="n"/>
      <c r="P810" s="102" t="n"/>
      <c r="Q810" s="102" t="n"/>
      <c r="R810" s="102" t="n"/>
      <c r="S810" s="102" t="n"/>
      <c r="T810" s="102" t="n"/>
      <c r="U810" s="102" t="n"/>
      <c r="V810" s="102" t="n"/>
      <c r="W810" s="102" t="n"/>
      <c r="X810" s="102" t="n"/>
      <c r="Y810" s="102" t="n"/>
      <c r="Z810" s="102" t="n"/>
      <c r="AA810" s="102" t="n"/>
      <c r="AB810" s="102" t="n"/>
      <c r="AC810" s="102" t="n"/>
      <c r="AD810" s="102" t="n"/>
    </row>
    <row r="811" ht="15.75" customHeight="1" s="205">
      <c r="A811" s="102" t="n"/>
      <c r="B811" s="142" t="n"/>
      <c r="C811" s="143" t="n"/>
      <c r="D811" s="143" t="n"/>
      <c r="E811" s="143" t="n"/>
      <c r="F811" s="143" t="n"/>
      <c r="G811" s="144" t="n"/>
      <c r="H811" s="145">
        <f>IF(K811&lt;&gt;"", HYPERLINK("https://chatgpt.com/?prompt=" &amp; SUBSTITUTE(SUBSTITUTE(K811, " ", "+"), "&amp;", "dan") &amp; "&amp;force-refresh=true&amp;timestamp=" &amp; TEXT(NOW(), "yyyymmddhhmmss"), "👉 Klik untuk Generate Script! 🔥"), "")</f>
        <v/>
      </c>
      <c r="I811" s="143" t="n"/>
      <c r="J811" s="146" t="n"/>
      <c r="K811" s="130">
        <f>IF(AND(B811&lt;&gt;"", C811&lt;&gt;"", D811&lt;&gt;"", E811&lt;&gt;"", F811&lt;&gt;"", G811&lt;&gt;"", J811&lt;&gt;"", 'CONTENT PILLAR MAPPING'!C714&lt;&gt;"", 'CONTENT PILLAR MAPPING'!E714&lt;&gt;"", 'CONTENT PILLAR MAPPING'!F714&lt;&gt;"", 'CONTENT PILLAR MAPPING'!C717&lt;&gt;"", 'CONTENT PILLAR MAPPING'!C722&lt;&gt;"", 'CONTENT PILLAR MAPPING'!D722&lt;&gt;"", 'CONTENT PILLAR MAPPING'!E722&lt;&gt;"", 'CONTENT PILLAR MAPPING'!D730&lt;&gt;"", 'CONTENT PILLAR MAPPING'!D731&lt;&gt;""),
CONCATENATE(
"Sebagai seorang top konten kreator dengan niche utama '", 'CONTENT PILLAR MAPPING'!C714, "', spesifik kategori '", 'CONTENT PILLAR MAPPING'!E714, "', dan super spesifik '", 'CONTENT PILLAR MAPPING'!F714, "', yang dikenal sebagai '", 'CONTENT PILLAR MAPPING'!C717, "'.", CHAR(10),
"Saya memiliki Tone of Voice: '", 'CONTENT PILLAR MAPPING'!C722, "', Brand Archetype: '", 'CONTENT PILLAR MAPPING'!D722, "', dan Deskripsi Gaya Komunikasi: '", 'CONTENT PILLAR MAPPING'!E722, "'.", CHAR(10),
"Target audiens saya adalah: '", 'CONTENT PILLAR MAPPING'!D730, "', dengan segmentasi audiens: '", 'CONTENT PILLAR MAPPING'!D731, "'.", CHAR(10), CHAR(10),
"Mohon buatkan script konten yang **sangat powerful, menarik, inovatif, dan siap pakai** dengan judul ide '", B811, "'.", CHAR(10),
"Konten ini memiliki pilar '", C811, "', nilai tambah utama '", F811, "', dan akan menggunakan storytelling framework '", G811, "'.", CHAR(10),
"Gambaran singkat ide kontennya adalah: '", J811, "'.", CHAR(10),
"Konten ini akan diunggah di platform '", E811, "' dengan format '", D811,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MAPPING'!C717, "'.** Sesuaikan dengan gaya komunikasi saya, dengan fokus pada nilai tambah '", F811,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MAPPING'!D730, ", khusus ", 'CONTENT PILLAR MAPPING'!D731, ") dan membantu mereka menyelesaikan masalah atau mencapai tujuan mereka.", CHAR(10),
"✔ Membantuku membangun personal branding yang kuat dan sustainable, sesuai dengan Positioning saya sebagai '", 'CONTENT PILLAR MAPPING'!C717, "' dan Brand Archetype '", 'CONTENT PILLAR MAPPING'!D722, "'.", CHAR(10),
"✔ Kemas dalam bentuk tabel agar rapi, mudah di baca dan dipahami, dengan kolom 'Judul Konten', 'Pilar', 'Format', 'Draft Script', 'CTA', 'Saran Visual', dan 'Full Caption'. (Kosongkan kolom Link Prompt jika ada)."
),
"")</f>
        <v/>
      </c>
      <c r="L811" s="91" t="n"/>
      <c r="M811" s="91" t="n"/>
      <c r="N811" s="102" t="n"/>
      <c r="O811" s="102" t="n"/>
      <c r="P811" s="102" t="n"/>
      <c r="Q811" s="102" t="n"/>
      <c r="R811" s="102" t="n"/>
      <c r="S811" s="102" t="n"/>
      <c r="T811" s="102" t="n"/>
      <c r="U811" s="102" t="n"/>
      <c r="V811" s="102" t="n"/>
      <c r="W811" s="102" t="n"/>
      <c r="X811" s="102" t="n"/>
      <c r="Y811" s="102" t="n"/>
      <c r="Z811" s="102" t="n"/>
      <c r="AA811" s="102" t="n"/>
      <c r="AB811" s="102" t="n"/>
      <c r="AC811" s="102" t="n"/>
      <c r="AD811" s="102" t="n"/>
    </row>
    <row r="812" ht="15.75" customHeight="1" s="205">
      <c r="A812" s="102" t="n"/>
      <c r="B812" s="147" t="n"/>
      <c r="C812" s="144" t="n"/>
      <c r="D812" s="144" t="n"/>
      <c r="E812" s="144" t="n"/>
      <c r="F812" s="144" t="n"/>
      <c r="G812" s="144" t="n"/>
      <c r="H812" s="141">
        <f>IF(K812&lt;&gt;"", HYPERLINK("https://chatgpt.com/?prompt=" &amp; SUBSTITUTE(SUBSTITUTE(K812, " ", "+"), "&amp;", "dan") &amp; "&amp;force-refresh=true&amp;timestamp=" &amp; TEXT(NOW(), "yyyymmddhhmmss"), "👉 Klik untuk Generate Script! 🔥"), "")</f>
        <v/>
      </c>
      <c r="I812" s="144" t="n"/>
      <c r="J812" s="148" t="n"/>
      <c r="K812" s="140">
        <f>IF(AND(B812&lt;&gt;"", C812&lt;&gt;"", D812&lt;&gt;"", E812&lt;&gt;"", F812&lt;&gt;"", G812&lt;&gt;"", J812&lt;&gt;"", 'CONTENT PILLAR MAPPING'!C714&lt;&gt;"", 'CONTENT PILLAR MAPPING'!E714&lt;&gt;"", 'CONTENT PILLAR MAPPING'!F714&lt;&gt;"", 'CONTENT PILLAR MAPPING'!C717&lt;&gt;"", 'CONTENT PILLAR MAPPING'!C722&lt;&gt;"", 'CONTENT PILLAR MAPPING'!D722&lt;&gt;"", 'CONTENT PILLAR MAPPING'!E722&lt;&gt;"", 'CONTENT PILLAR MAPPING'!D730&lt;&gt;"", 'CONTENT PILLAR MAPPING'!D731&lt;&gt;""),
CONCATENATE(
"Sebagai seorang top konten kreator dengan niche utama '", 'CONTENT PILLAR MAPPING'!C714, "', spesifik kategori '", 'CONTENT PILLAR MAPPING'!E714, "', dan super spesifik '", 'CONTENT PILLAR MAPPING'!F714, "', yang dikenal sebagai '", 'CONTENT PILLAR MAPPING'!C717, "'.", CHAR(10),
"Saya memiliki Tone of Voice: '", 'CONTENT PILLAR MAPPING'!C722, "', Brand Archetype: '", 'CONTENT PILLAR MAPPING'!D722, "', dan Deskripsi Gaya Komunikasi: '", 'CONTENT PILLAR MAPPING'!E722, "'.", CHAR(10),
"Target audiens saya adalah: '", 'CONTENT PILLAR MAPPING'!D730, "', dengan segmentasi audiens: '", 'CONTENT PILLAR MAPPING'!D731, "'.", CHAR(10), CHAR(10),
"Mohon buatkan script konten yang **sangat powerful, menarik, inovatif, dan siap pakai** dengan judul ide '", B812, "'.", CHAR(10),
"Konten ini memiliki pilar '", C812, "', nilai tambah utama '", F812, "', dan akan menggunakan storytelling framework '", G812, "'.", CHAR(10),
"Gambaran singkat ide kontennya adalah: '", J812, "'.", CHAR(10),
"Konten ini akan diunggah di platform '", E812, "' dengan format '", D812,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MAPPING'!C717, "'.** Sesuaikan dengan gaya komunikasi saya, dengan fokus pada nilai tambah '", F812,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MAPPING'!D730, ", khusus ", 'CONTENT PILLAR MAPPING'!D731, ") dan membantu mereka menyelesaikan masalah atau mencapai tujuan mereka.", CHAR(10),
"✔ Membantuku membangun personal branding yang kuat dan sustainable, sesuai dengan Positioning saya sebagai '", 'CONTENT PILLAR MAPPING'!C717, "' dan Brand Archetype '", 'CONTENT PILLAR MAPPING'!D722, "'.", CHAR(10),
"✔ Kemas dalam bentuk tabel agar rapi, mudah di baca dan dipahami, dengan kolom 'Judul Konten', 'Pilar', 'Format', 'Draft Script', 'CTA', 'Saran Visual', dan 'Full Caption'. (Kosongkan kolom Link Prompt jika ada)."
),
"")</f>
        <v/>
      </c>
      <c r="L812" s="199" t="n"/>
      <c r="M812" s="199" t="n"/>
      <c r="N812" s="102" t="n"/>
      <c r="O812" s="102" t="n"/>
      <c r="P812" s="102" t="n"/>
      <c r="Q812" s="102" t="n"/>
      <c r="R812" s="102" t="n"/>
      <c r="S812" s="102" t="n"/>
      <c r="T812" s="102" t="n"/>
      <c r="U812" s="102" t="n"/>
      <c r="V812" s="102" t="n"/>
      <c r="W812" s="102" t="n"/>
      <c r="X812" s="102" t="n"/>
      <c r="Y812" s="102" t="n"/>
      <c r="Z812" s="102" t="n"/>
      <c r="AA812" s="102" t="n"/>
      <c r="AB812" s="102" t="n"/>
      <c r="AC812" s="102" t="n"/>
      <c r="AD812" s="102" t="n"/>
    </row>
    <row r="813" ht="15.75" customHeight="1" s="205">
      <c r="A813" s="102" t="n"/>
      <c r="B813" s="142" t="n"/>
      <c r="C813" s="143" t="n"/>
      <c r="D813" s="143" t="n"/>
      <c r="E813" s="143" t="n"/>
      <c r="F813" s="143" t="n"/>
      <c r="G813" s="144" t="n"/>
      <c r="H813" s="145">
        <f>IF(K813&lt;&gt;"", HYPERLINK("https://chatgpt.com/?prompt=" &amp; SUBSTITUTE(SUBSTITUTE(K813, " ", "+"), "&amp;", "dan") &amp; "&amp;force-refresh=true&amp;timestamp=" &amp; TEXT(NOW(), "yyyymmddhhmmss"), "👉 Klik untuk Generate Script! 🔥"), "")</f>
        <v/>
      </c>
      <c r="I813" s="143" t="n"/>
      <c r="J813" s="146" t="n"/>
      <c r="K813" s="130">
        <f>IF(AND(B813&lt;&gt;"", C813&lt;&gt;"", D813&lt;&gt;"", E813&lt;&gt;"", F813&lt;&gt;"", G813&lt;&gt;"", J813&lt;&gt;"", 'CONTENT PILLAR MAPPING'!C716&lt;&gt;"", 'CONTENT PILLAR MAPPING'!E716&lt;&gt;"", 'CONTENT PILLAR MAPPING'!F716&lt;&gt;"", 'CONTENT PILLAR MAPPING'!C719&lt;&gt;"", 'CONTENT PILLAR MAPPING'!C724&lt;&gt;"", 'CONTENT PILLAR MAPPING'!D724&lt;&gt;"", 'CONTENT PILLAR MAPPING'!E724&lt;&gt;"", 'CONTENT PILLAR MAPPING'!D732&lt;&gt;"", 'CONTENT PILLAR MAPPING'!D733&lt;&gt;""),
CONCATENATE(
"Sebagai seorang top konten kreator dengan niche utama '", 'CONTENT PILLAR MAPPING'!C716, "', spesifik kategori '", 'CONTENT PILLAR MAPPING'!E716, "', dan super spesifik '", 'CONTENT PILLAR MAPPING'!F716, "', yang dikenal sebagai '", 'CONTENT PILLAR MAPPING'!C719, "'.", CHAR(10),
"Saya memiliki Tone of Voice: '", 'CONTENT PILLAR MAPPING'!C724, "', Brand Archetype: '", 'CONTENT PILLAR MAPPING'!D724, "', dan Deskripsi Gaya Komunikasi: '", 'CONTENT PILLAR MAPPING'!E724, "'.", CHAR(10),
"Target audiens saya adalah: '", 'CONTENT PILLAR MAPPING'!D732, "', dengan segmentasi audiens: '", 'CONTENT PILLAR MAPPING'!D733, "'.", CHAR(10), CHAR(10),
"Mohon buatkan script konten yang **sangat powerful, menarik, inovatif, dan siap pakai** dengan judul ide '", B813, "'.", CHAR(10),
"Konten ini memiliki pilar '", C813, "', nilai tambah utama '", F813, "', dan akan menggunakan storytelling framework '", G813, "'.", CHAR(10),
"Gambaran singkat ide kontennya adalah: '", J813, "'.", CHAR(10),
"Konten ini akan diunggah di platform '", E813, "' dengan format '", D813,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MAPPING'!C719, "'.** Sesuaikan dengan gaya komunikasi saya, dengan fokus pada nilai tambah '", F813,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MAPPING'!D732, ", khusus ", 'CONTENT PILLAR MAPPING'!D733, ") dan membantu mereka menyelesaikan masalah atau mencapai tujuan mereka.", CHAR(10),
"✔ Membantuku membangun personal branding yang kuat dan sustainable, sesuai dengan Positioning saya sebagai '", 'CONTENT PILLAR MAPPING'!C719, "' dan Brand Archetype '", 'CONTENT PILLAR MAPPING'!D724, "'.", CHAR(10),
"✔ Kemas dalam bentuk tabel agar rapi, mudah di baca dan dipahami, dengan kolom 'Judul Konten', 'Pilar', 'Format', 'Draft Script', 'CTA', 'Saran Visual', dan 'Full Caption'. (Kosongkan kolom Link Prompt jika ada)."
),
"")</f>
        <v/>
      </c>
      <c r="L813" s="91" t="n"/>
      <c r="M813" s="91" t="n"/>
      <c r="N813" s="102" t="n"/>
      <c r="O813" s="102" t="n"/>
      <c r="P813" s="102" t="n"/>
      <c r="Q813" s="102" t="n"/>
      <c r="R813" s="102" t="n"/>
      <c r="S813" s="102" t="n"/>
      <c r="T813" s="102" t="n"/>
      <c r="U813" s="102" t="n"/>
      <c r="V813" s="102" t="n"/>
      <c r="W813" s="102" t="n"/>
      <c r="X813" s="102" t="n"/>
      <c r="Y813" s="102" t="n"/>
      <c r="Z813" s="102" t="n"/>
      <c r="AA813" s="102" t="n"/>
      <c r="AB813" s="102" t="n"/>
      <c r="AC813" s="102" t="n"/>
      <c r="AD813" s="102" t="n"/>
    </row>
    <row r="814" ht="15.75" customHeight="1" s="205">
      <c r="A814" s="102" t="n"/>
      <c r="B814" s="147" t="n"/>
      <c r="C814" s="144" t="n"/>
      <c r="D814" s="144" t="n"/>
      <c r="E814" s="144" t="n"/>
      <c r="F814" s="144" t="n"/>
      <c r="G814" s="144" t="n"/>
      <c r="H814" s="141">
        <f>IF(K814&lt;&gt;"", HYPERLINK("https://chatgpt.com/?prompt=" &amp; SUBSTITUTE(SUBSTITUTE(K814, " ", "+"), "&amp;", "dan") &amp; "&amp;force-refresh=true&amp;timestamp=" &amp; TEXT(NOW(), "yyyymmddhhmmss"), "👉 Klik untuk Generate Script! 🔥"), "")</f>
        <v/>
      </c>
      <c r="I814" s="144" t="n"/>
      <c r="J814" s="148" t="n"/>
      <c r="K814" s="140">
        <f>IF(AND(B814&lt;&gt;"", C814&lt;&gt;"", D814&lt;&gt;"", E814&lt;&gt;"", F814&lt;&gt;"", G814&lt;&gt;"", J814&lt;&gt;"", 'CONTENT PILLAR MAPPING'!C716&lt;&gt;"", 'CONTENT PILLAR MAPPING'!E716&lt;&gt;"", 'CONTENT PILLAR MAPPING'!F716&lt;&gt;"", 'CONTENT PILLAR MAPPING'!C719&lt;&gt;"", 'CONTENT PILLAR MAPPING'!C724&lt;&gt;"", 'CONTENT PILLAR MAPPING'!D724&lt;&gt;"", 'CONTENT PILLAR MAPPING'!E724&lt;&gt;"", 'CONTENT PILLAR MAPPING'!D732&lt;&gt;"", 'CONTENT PILLAR MAPPING'!D733&lt;&gt;""),
CONCATENATE(
"Sebagai seorang top konten kreator dengan niche utama '", 'CONTENT PILLAR MAPPING'!C716, "', spesifik kategori '", 'CONTENT PILLAR MAPPING'!E716, "', dan super spesifik '", 'CONTENT PILLAR MAPPING'!F716, "', yang dikenal sebagai '", 'CONTENT PILLAR MAPPING'!C719, "'.", CHAR(10),
"Saya memiliki Tone of Voice: '", 'CONTENT PILLAR MAPPING'!C724, "', Brand Archetype: '", 'CONTENT PILLAR MAPPING'!D724, "', dan Deskripsi Gaya Komunikasi: '", 'CONTENT PILLAR MAPPING'!E724, "'.", CHAR(10),
"Target audiens saya adalah: '", 'CONTENT PILLAR MAPPING'!D732, "', dengan segmentasi audiens: '", 'CONTENT PILLAR MAPPING'!D733, "'.", CHAR(10), CHAR(10),
"Mohon buatkan script konten yang **sangat powerful, menarik, inovatif, dan siap pakai** dengan judul ide '", B814, "'.", CHAR(10),
"Konten ini memiliki pilar '", C814, "', nilai tambah utama '", F814, "', dan akan menggunakan storytelling framework '", G814, "'.", CHAR(10),
"Gambaran singkat ide kontennya adalah: '", J814, "'.", CHAR(10),
"Konten ini akan diunggah di platform '", E814, "' dengan format '", D814,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MAPPING'!C719, "'.** Sesuaikan dengan gaya komunikasi saya, dengan fokus pada nilai tambah '", F814,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MAPPING'!D732, ", khusus ", 'CONTENT PILLAR MAPPING'!D733, ") dan membantu mereka menyelesaikan masalah atau mencapai tujuan mereka.", CHAR(10),
"✔ Membantuku membangun personal branding yang kuat dan sustainable, sesuai dengan Positioning saya sebagai '", 'CONTENT PILLAR MAPPING'!C719, "' dan Brand Archetype '", 'CONTENT PILLAR MAPPING'!D724, "'.", CHAR(10),
"✔ Kemas dalam bentuk tabel agar rapi, mudah di baca dan dipahami, dengan kolom 'Judul Konten', 'Pilar', 'Format', 'Draft Script', 'CTA', 'Saran Visual', dan 'Full Caption'. (Kosongkan kolom Link Prompt jika ada)."
),
"")</f>
        <v/>
      </c>
      <c r="L814" s="199" t="n"/>
      <c r="M814" s="199" t="n"/>
      <c r="N814" s="102" t="n"/>
      <c r="O814" s="102" t="n"/>
      <c r="P814" s="102" t="n"/>
      <c r="Q814" s="102" t="n"/>
      <c r="R814" s="102" t="n"/>
      <c r="S814" s="102" t="n"/>
      <c r="T814" s="102" t="n"/>
      <c r="U814" s="102" t="n"/>
      <c r="V814" s="102" t="n"/>
      <c r="W814" s="102" t="n"/>
      <c r="X814" s="102" t="n"/>
      <c r="Y814" s="102" t="n"/>
      <c r="Z814" s="102" t="n"/>
      <c r="AA814" s="102" t="n"/>
      <c r="AB814" s="102" t="n"/>
      <c r="AC814" s="102" t="n"/>
      <c r="AD814" s="102" t="n"/>
    </row>
    <row r="815" ht="15.75" customHeight="1" s="205">
      <c r="A815" s="102" t="n"/>
      <c r="B815" s="142" t="n"/>
      <c r="C815" s="143" t="n"/>
      <c r="D815" s="143" t="n"/>
      <c r="E815" s="143" t="n"/>
      <c r="F815" s="143" t="n"/>
      <c r="G815" s="144" t="n"/>
      <c r="H815" s="145">
        <f>IF(K815&lt;&gt;"", HYPERLINK("https://chatgpt.com/?prompt=" &amp; SUBSTITUTE(SUBSTITUTE(K815, " ", "+"), "&amp;", "dan") &amp; "&amp;force-refresh=true&amp;timestamp=" &amp; TEXT(NOW(), "yyyymmddhhmmss"), "👉 Klik untuk Generate Script! 🔥"), "")</f>
        <v/>
      </c>
      <c r="I815" s="143" t="n"/>
      <c r="J815" s="146" t="n"/>
      <c r="K815" s="130">
        <f>IF(AND(B815&lt;&gt;"", C815&lt;&gt;"", D815&lt;&gt;"", E815&lt;&gt;"", F815&lt;&gt;"", G815&lt;&gt;"", J815&lt;&gt;"", 'CONTENT PILLAR MAPPING'!C718&lt;&gt;"", 'CONTENT PILLAR MAPPING'!E718&lt;&gt;"", 'CONTENT PILLAR MAPPING'!F718&lt;&gt;"", 'CONTENT PILLAR MAPPING'!C721&lt;&gt;"", 'CONTENT PILLAR MAPPING'!C726&lt;&gt;"", 'CONTENT PILLAR MAPPING'!D726&lt;&gt;"", 'CONTENT PILLAR MAPPING'!E726&lt;&gt;"", 'CONTENT PILLAR MAPPING'!D734&lt;&gt;"", 'CONTENT PILLAR MAPPING'!D735&lt;&gt;""),
CONCATENATE(
"Sebagai seorang top konten kreator dengan niche utama '", 'CONTENT PILLAR MAPPING'!C718, "', spesifik kategori '", 'CONTENT PILLAR MAPPING'!E718, "', dan super spesifik '", 'CONTENT PILLAR MAPPING'!F718, "', yang dikenal sebagai '", 'CONTENT PILLAR MAPPING'!C721, "'.", CHAR(10),
"Saya memiliki Tone of Voice: '", 'CONTENT PILLAR MAPPING'!C726, "', Brand Archetype: '", 'CONTENT PILLAR MAPPING'!D726, "', dan Deskripsi Gaya Komunikasi: '", 'CONTENT PILLAR MAPPING'!E726, "'.", CHAR(10),
"Target audiens saya adalah: '", 'CONTENT PILLAR MAPPING'!D734, "', dengan segmentasi audiens: '", 'CONTENT PILLAR MAPPING'!D735, "'.", CHAR(10), CHAR(10),
"Mohon buatkan script konten yang **sangat powerful, menarik, inovatif, dan siap pakai** dengan judul ide '", B815, "'.", CHAR(10),
"Konten ini memiliki pilar '", C815, "', nilai tambah utama '", F815, "', dan akan menggunakan storytelling framework '", G815, "'.", CHAR(10),
"Gambaran singkat ide kontennya adalah: '", J815, "'.", CHAR(10),
"Konten ini akan diunggah di platform '", E815, "' dengan format '", D815,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MAPPING'!C721, "'.** Sesuaikan dengan gaya komunikasi saya, dengan fokus pada nilai tambah '", F815,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MAPPING'!D734, ", khusus ", 'CONTENT PILLAR MAPPING'!D735, ") dan membantu mereka menyelesaikan masalah atau mencapai tujuan mereka.", CHAR(10),
"✔ Membantuku membangun personal branding yang kuat dan sustainable, sesuai dengan Positioning saya sebagai '", 'CONTENT PILLAR MAPPING'!C721, "' dan Brand Archetype '", 'CONTENT PILLAR MAPPING'!D726, "'.", CHAR(10),
"✔ Kemas dalam bentuk tabel agar rapi, mudah di baca dan dipahami, dengan kolom 'Judul Konten', 'Pilar', 'Format', 'Draft Script', 'CTA', 'Saran Visual', dan 'Full Caption'. (Kosongkan kolom Link Prompt jika ada)."
),
"")</f>
        <v/>
      </c>
      <c r="L815" s="91" t="n"/>
      <c r="M815" s="91" t="n"/>
      <c r="N815" s="102" t="n"/>
      <c r="O815" s="102" t="n"/>
      <c r="P815" s="102" t="n"/>
      <c r="Q815" s="102" t="n"/>
      <c r="R815" s="102" t="n"/>
      <c r="S815" s="102" t="n"/>
      <c r="T815" s="102" t="n"/>
      <c r="U815" s="102" t="n"/>
      <c r="V815" s="102" t="n"/>
      <c r="W815" s="102" t="n"/>
      <c r="X815" s="102" t="n"/>
      <c r="Y815" s="102" t="n"/>
      <c r="Z815" s="102" t="n"/>
      <c r="AA815" s="102" t="n"/>
      <c r="AB815" s="102" t="n"/>
      <c r="AC815" s="102" t="n"/>
      <c r="AD815" s="102" t="n"/>
    </row>
    <row r="816" ht="15.75" customHeight="1" s="205">
      <c r="A816" s="102" t="n"/>
      <c r="B816" s="147" t="n"/>
      <c r="C816" s="144" t="n"/>
      <c r="D816" s="144" t="n"/>
      <c r="E816" s="144" t="n"/>
      <c r="F816" s="144" t="n"/>
      <c r="G816" s="144" t="n"/>
      <c r="H816" s="141">
        <f>IF(K816&lt;&gt;"", HYPERLINK("https://chatgpt.com/?prompt=" &amp; SUBSTITUTE(SUBSTITUTE(K816, " ", "+"), "&amp;", "dan") &amp; "&amp;force-refresh=true&amp;timestamp=" &amp; TEXT(NOW(), "yyyymmddhhmmss"), "👉 Klik untuk Generate Script! 🔥"), "")</f>
        <v/>
      </c>
      <c r="I816" s="144" t="n"/>
      <c r="J816" s="148" t="n"/>
      <c r="K816" s="140">
        <f>IF(AND(B816&lt;&gt;"", C816&lt;&gt;"", D816&lt;&gt;"", E816&lt;&gt;"", F816&lt;&gt;"", G816&lt;&gt;"", J816&lt;&gt;"", 'CONTENT PILLAR MAPPING'!C718&lt;&gt;"", 'CONTENT PILLAR MAPPING'!E718&lt;&gt;"", 'CONTENT PILLAR MAPPING'!F718&lt;&gt;"", 'CONTENT PILLAR MAPPING'!C721&lt;&gt;"", 'CONTENT PILLAR MAPPING'!C726&lt;&gt;"", 'CONTENT PILLAR MAPPING'!D726&lt;&gt;"", 'CONTENT PILLAR MAPPING'!E726&lt;&gt;"", 'CONTENT PILLAR MAPPING'!D734&lt;&gt;"", 'CONTENT PILLAR MAPPING'!D735&lt;&gt;""),
CONCATENATE(
"Sebagai seorang top konten kreator dengan niche utama '", 'CONTENT PILLAR MAPPING'!C718, "', spesifik kategori '", 'CONTENT PILLAR MAPPING'!E718, "', dan super spesifik '", 'CONTENT PILLAR MAPPING'!F718, "', yang dikenal sebagai '", 'CONTENT PILLAR MAPPING'!C721, "'.", CHAR(10),
"Saya memiliki Tone of Voice: '", 'CONTENT PILLAR MAPPING'!C726, "', Brand Archetype: '", 'CONTENT PILLAR MAPPING'!D726, "', dan Deskripsi Gaya Komunikasi: '", 'CONTENT PILLAR MAPPING'!E726, "'.", CHAR(10),
"Target audiens saya adalah: '", 'CONTENT PILLAR MAPPING'!D734, "', dengan segmentasi audiens: '", 'CONTENT PILLAR MAPPING'!D735, "'.", CHAR(10), CHAR(10),
"Mohon buatkan script konten yang **sangat powerful, menarik, inovatif, dan siap pakai** dengan judul ide '", B816, "'.", CHAR(10),
"Konten ini memiliki pilar '", C816, "', nilai tambah utama '", F816, "', dan akan menggunakan storytelling framework '", G816, "'.", CHAR(10),
"Gambaran singkat ide kontennya adalah: '", J816, "'.", CHAR(10),
"Konten ini akan diunggah di platform '", E816, "' dengan format '", D816,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MAPPING'!C721, "'.** Sesuaikan dengan gaya komunikasi saya, dengan fokus pada nilai tambah '", F816,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MAPPING'!D734, ", khusus ", 'CONTENT PILLAR MAPPING'!D735, ") dan membantu mereka menyelesaikan masalah atau mencapai tujuan mereka.", CHAR(10),
"✔ Membantuku membangun personal branding yang kuat dan sustainable, sesuai dengan Positioning saya sebagai '", 'CONTENT PILLAR MAPPING'!C721, "' dan Brand Archetype '", 'CONTENT PILLAR MAPPING'!D726, "'.", CHAR(10),
"✔ Kemas dalam bentuk tabel agar rapi, mudah di baca dan dipahami, dengan kolom 'Judul Konten', 'Pilar', 'Format', 'Draft Script', 'CTA', 'Saran Visual', dan 'Full Caption'. (Kosongkan kolom Link Prompt jika ada)."
),
"")</f>
        <v/>
      </c>
      <c r="L816" s="199" t="n"/>
      <c r="M816" s="199" t="n"/>
      <c r="N816" s="102" t="n"/>
      <c r="O816" s="102" t="n"/>
      <c r="P816" s="102" t="n"/>
      <c r="Q816" s="102" t="n"/>
      <c r="R816" s="102" t="n"/>
      <c r="S816" s="102" t="n"/>
      <c r="T816" s="102" t="n"/>
      <c r="U816" s="102" t="n"/>
      <c r="V816" s="102" t="n"/>
      <c r="W816" s="102" t="n"/>
      <c r="X816" s="102" t="n"/>
      <c r="Y816" s="102" t="n"/>
      <c r="Z816" s="102" t="n"/>
      <c r="AA816" s="102" t="n"/>
      <c r="AB816" s="102" t="n"/>
      <c r="AC816" s="102" t="n"/>
      <c r="AD816" s="102" t="n"/>
    </row>
    <row r="817" ht="15.75" customHeight="1" s="205">
      <c r="A817" s="102" t="n"/>
      <c r="B817" s="142" t="n"/>
      <c r="C817" s="143" t="n"/>
      <c r="D817" s="143" t="n"/>
      <c r="E817" s="143" t="n"/>
      <c r="F817" s="143" t="n"/>
      <c r="G817" s="144" t="n"/>
      <c r="H817" s="145">
        <f>IF(K817&lt;&gt;"", HYPERLINK("https://chatgpt.com/?prompt=" &amp; SUBSTITUTE(SUBSTITUTE(K817, " ", "+"), "&amp;", "dan") &amp; "&amp;force-refresh=true&amp;timestamp=" &amp; TEXT(NOW(), "yyyymmddhhmmss"), "👉 Klik untuk Generate Script! 🔥"), "")</f>
        <v/>
      </c>
      <c r="I817" s="143" t="n"/>
      <c r="J817" s="146" t="n"/>
      <c r="K817" s="130">
        <f>IF(AND(B817&lt;&gt;"", C817&lt;&gt;"", D817&lt;&gt;"", E817&lt;&gt;"", F817&lt;&gt;"", G817&lt;&gt;"", J817&lt;&gt;"", 'CONTENT PILLAR MAPPING'!C720&lt;&gt;"", 'CONTENT PILLAR MAPPING'!E720&lt;&gt;"", 'CONTENT PILLAR MAPPING'!F720&lt;&gt;"", 'CONTENT PILLAR MAPPING'!C723&lt;&gt;"", 'CONTENT PILLAR MAPPING'!C728&lt;&gt;"", 'CONTENT PILLAR MAPPING'!D728&lt;&gt;"", 'CONTENT PILLAR MAPPING'!E728&lt;&gt;"", 'CONTENT PILLAR MAPPING'!D736&lt;&gt;"", 'CONTENT PILLAR MAPPING'!D737&lt;&gt;""),
CONCATENATE(
"Sebagai seorang top konten kreator dengan niche utama '", 'CONTENT PILLAR MAPPING'!C720, "', spesifik kategori '", 'CONTENT PILLAR MAPPING'!E720, "', dan super spesifik '", 'CONTENT PILLAR MAPPING'!F720, "', yang dikenal sebagai '", 'CONTENT PILLAR MAPPING'!C723, "'.", CHAR(10),
"Saya memiliki Tone of Voice: '", 'CONTENT PILLAR MAPPING'!C728, "', Brand Archetype: '", 'CONTENT PILLAR MAPPING'!D728, "', dan Deskripsi Gaya Komunikasi: '", 'CONTENT PILLAR MAPPING'!E728, "'.", CHAR(10),
"Target audiens saya adalah: '", 'CONTENT PILLAR MAPPING'!D736, "', dengan segmentasi audiens: '", 'CONTENT PILLAR MAPPING'!D737, "'.", CHAR(10), CHAR(10),
"Mohon buatkan script konten yang **sangat powerful, menarik, inovatif, dan siap pakai** dengan judul ide '", B817, "'.", CHAR(10),
"Konten ini memiliki pilar '", C817, "', nilai tambah utama '", F817, "', dan akan menggunakan storytelling framework '", G817, "'.", CHAR(10),
"Gambaran singkat ide kontennya adalah: '", J817, "'.", CHAR(10),
"Konten ini akan diunggah di platform '", E817, "' dengan format '", D817,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MAPPING'!C723, "'.** Sesuaikan dengan gaya komunikasi saya, dengan fokus pada nilai tambah '", F817,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MAPPING'!D736, ", khusus ", 'CONTENT PILLAR MAPPING'!D737, ") dan membantu mereka menyelesaikan masalah atau mencapai tujuan mereka.", CHAR(10),
"✔ Membantuku membangun personal branding yang kuat dan sustainable, sesuai dengan Positioning saya sebagai '", 'CONTENT PILLAR MAPPING'!C723, "' dan Brand Archetype '", 'CONTENT PILLAR MAPPING'!D728, "'.", CHAR(10),
"✔ Kemas dalam bentuk tabel agar rapi, mudah di baca dan dipahami, dengan kolom 'Judul Konten', 'Pilar', 'Format', 'Draft Script', 'CTA', 'Saran Visual', dan 'Full Caption'. (Kosongkan kolom Link Prompt jika ada)."
),
"")</f>
        <v/>
      </c>
      <c r="L817" s="91" t="n"/>
      <c r="M817" s="91" t="n"/>
      <c r="N817" s="102" t="n"/>
      <c r="O817" s="102" t="n"/>
      <c r="P817" s="102" t="n"/>
      <c r="Q817" s="102" t="n"/>
      <c r="R817" s="102" t="n"/>
      <c r="S817" s="102" t="n"/>
      <c r="T817" s="102" t="n"/>
      <c r="U817" s="102" t="n"/>
      <c r="V817" s="102" t="n"/>
      <c r="W817" s="102" t="n"/>
      <c r="X817" s="102" t="n"/>
      <c r="Y817" s="102" t="n"/>
      <c r="Z817" s="102" t="n"/>
      <c r="AA817" s="102" t="n"/>
      <c r="AB817" s="102" t="n"/>
      <c r="AC817" s="102" t="n"/>
      <c r="AD817" s="102" t="n"/>
    </row>
    <row r="818" ht="15.75" customHeight="1" s="205">
      <c r="A818" s="102" t="n"/>
      <c r="B818" s="147" t="n"/>
      <c r="C818" s="144" t="n"/>
      <c r="D818" s="144" t="n"/>
      <c r="E818" s="144" t="n"/>
      <c r="F818" s="144" t="n"/>
      <c r="G818" s="144" t="n"/>
      <c r="H818" s="141">
        <f>IF(K818&lt;&gt;"", HYPERLINK("https://chatgpt.com/?prompt=" &amp; SUBSTITUTE(SUBSTITUTE(K818, " ", "+"), "&amp;", "dan") &amp; "&amp;force-refresh=true&amp;timestamp=" &amp; TEXT(NOW(), "yyyymmddhhmmss"), "👉 Klik untuk Generate Script! 🔥"), "")</f>
        <v/>
      </c>
      <c r="I818" s="144" t="n"/>
      <c r="J818" s="148" t="n"/>
      <c r="K818" s="140">
        <f>IF(AND(B818&lt;&gt;"", C818&lt;&gt;"", D818&lt;&gt;"", E818&lt;&gt;"", F818&lt;&gt;"", G818&lt;&gt;"", J818&lt;&gt;"", 'CONTENT PILLAR MAPPING'!C720&lt;&gt;"", 'CONTENT PILLAR MAPPING'!E720&lt;&gt;"", 'CONTENT PILLAR MAPPING'!F720&lt;&gt;"", 'CONTENT PILLAR MAPPING'!C723&lt;&gt;"", 'CONTENT PILLAR MAPPING'!C728&lt;&gt;"", 'CONTENT PILLAR MAPPING'!D728&lt;&gt;"", 'CONTENT PILLAR MAPPING'!E728&lt;&gt;"", 'CONTENT PILLAR MAPPING'!D736&lt;&gt;"", 'CONTENT PILLAR MAPPING'!D737&lt;&gt;""),
CONCATENATE(
"Sebagai seorang top konten kreator dengan niche utama '", 'CONTENT PILLAR MAPPING'!C720, "', spesifik kategori '", 'CONTENT PILLAR MAPPING'!E720, "', dan super spesifik '", 'CONTENT PILLAR MAPPING'!F720, "', yang dikenal sebagai '", 'CONTENT PILLAR MAPPING'!C723, "'.", CHAR(10),
"Saya memiliki Tone of Voice: '", 'CONTENT PILLAR MAPPING'!C728, "', Brand Archetype: '", 'CONTENT PILLAR MAPPING'!D728, "', dan Deskripsi Gaya Komunikasi: '", 'CONTENT PILLAR MAPPING'!E728, "'.", CHAR(10),
"Target audiens saya adalah: '", 'CONTENT PILLAR MAPPING'!D736, "', dengan segmentasi audiens: '", 'CONTENT PILLAR MAPPING'!D737, "'.", CHAR(10), CHAR(10),
"Mohon buatkan script konten yang **sangat powerful, menarik, inovatif, dan siap pakai** dengan judul ide '", B818, "'.", CHAR(10),
"Konten ini memiliki pilar '", C818, "', nilai tambah utama '", F818, "', dan akan menggunakan storytelling framework '", G818, "'.", CHAR(10),
"Gambaran singkat ide kontennya adalah: '", J818, "'.", CHAR(10),
"Konten ini akan diunggah di platform '", E818, "' dengan format '", D818,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MAPPING'!C723, "'.** Sesuaikan dengan gaya komunikasi saya, dengan fokus pada nilai tambah '", F818,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MAPPING'!D736, ", khusus ", 'CONTENT PILLAR MAPPING'!D737, ") dan membantu mereka menyelesaikan masalah atau mencapai tujuan mereka.", CHAR(10),
"✔ Membantuku membangun personal branding yang kuat dan sustainable, sesuai dengan Positioning saya sebagai '", 'CONTENT PILLAR MAPPING'!C723, "' dan Brand Archetype '", 'CONTENT PILLAR MAPPING'!D728, "'.", CHAR(10),
"✔ Kemas dalam bentuk tabel agar rapi, mudah di baca dan dipahami, dengan kolom 'Judul Konten', 'Pilar', 'Format', 'Draft Script', 'CTA', 'Saran Visual', dan 'Full Caption'. (Kosongkan kolom Link Prompt jika ada)."
),
"")</f>
        <v/>
      </c>
      <c r="L818" s="199" t="n"/>
      <c r="M818" s="199" t="n"/>
      <c r="N818" s="102" t="n"/>
      <c r="O818" s="102" t="n"/>
      <c r="P818" s="102" t="n"/>
      <c r="Q818" s="102" t="n"/>
      <c r="R818" s="102" t="n"/>
      <c r="S818" s="102" t="n"/>
      <c r="T818" s="102" t="n"/>
      <c r="U818" s="102" t="n"/>
      <c r="V818" s="102" t="n"/>
      <c r="W818" s="102" t="n"/>
      <c r="X818" s="102" t="n"/>
      <c r="Y818" s="102" t="n"/>
      <c r="Z818" s="102" t="n"/>
      <c r="AA818" s="102" t="n"/>
      <c r="AB818" s="102" t="n"/>
      <c r="AC818" s="102" t="n"/>
      <c r="AD818" s="102" t="n"/>
    </row>
    <row r="819" ht="15.75" customHeight="1" s="205">
      <c r="A819" s="102" t="n"/>
      <c r="B819" s="142" t="n"/>
      <c r="C819" s="143" t="n"/>
      <c r="D819" s="143" t="n"/>
      <c r="E819" s="143" t="n"/>
      <c r="F819" s="143" t="n"/>
      <c r="G819" s="144" t="n"/>
      <c r="H819" s="145">
        <f>IF(K819&lt;&gt;"", HYPERLINK("https://chatgpt.com/?prompt=" &amp; SUBSTITUTE(SUBSTITUTE(K819, " ", "+"), "&amp;", "dan") &amp; "&amp;force-refresh=true&amp;timestamp=" &amp; TEXT(NOW(), "yyyymmddhhmmss"), "👉 Klik untuk Generate Script! 🔥"), "")</f>
        <v/>
      </c>
      <c r="I819" s="143" t="n"/>
      <c r="J819" s="146" t="n"/>
      <c r="K819" s="130">
        <f>IF(AND(B819&lt;&gt;"", C819&lt;&gt;"", D819&lt;&gt;"", E819&lt;&gt;"", F819&lt;&gt;"", G819&lt;&gt;"", J819&lt;&gt;"", 'CONTENT PILLAR MAPPING'!C722&lt;&gt;"", 'CONTENT PILLAR MAPPING'!E722&lt;&gt;"", 'CONTENT PILLAR MAPPING'!F722&lt;&gt;"", 'CONTENT PILLAR MAPPING'!C725&lt;&gt;"", 'CONTENT PILLAR MAPPING'!C730&lt;&gt;"", 'CONTENT PILLAR MAPPING'!D730&lt;&gt;"", 'CONTENT PILLAR MAPPING'!E730&lt;&gt;"", 'CONTENT PILLAR MAPPING'!D738&lt;&gt;"", 'CONTENT PILLAR MAPPING'!D739&lt;&gt;""),
CONCATENATE(
"Sebagai seorang top konten kreator dengan niche utama '", 'CONTENT PILLAR MAPPING'!C722, "', spesifik kategori '", 'CONTENT PILLAR MAPPING'!E722, "', dan super spesifik '", 'CONTENT PILLAR MAPPING'!F722, "', yang dikenal sebagai '", 'CONTENT PILLAR MAPPING'!C725, "'.", CHAR(10),
"Saya memiliki Tone of Voice: '", 'CONTENT PILLAR MAPPING'!C730, "', Brand Archetype: '", 'CONTENT PILLAR MAPPING'!D730, "', dan Deskripsi Gaya Komunikasi: '", 'CONTENT PILLAR MAPPING'!E730, "'.", CHAR(10),
"Target audiens saya adalah: '", 'CONTENT PILLAR MAPPING'!D738, "', dengan segmentasi audiens: '", 'CONTENT PILLAR MAPPING'!D739, "'.", CHAR(10), CHAR(10),
"Mohon buatkan script konten yang **sangat powerful, menarik, inovatif, dan siap pakai** dengan judul ide '", B819, "'.", CHAR(10),
"Konten ini memiliki pilar '", C819, "', nilai tambah utama '", F819, "', dan akan menggunakan storytelling framework '", G819, "'.", CHAR(10),
"Gambaran singkat ide kontennya adalah: '", J819, "'.", CHAR(10),
"Konten ini akan diunggah di platform '", E819, "' dengan format '", D819,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MAPPING'!C725, "'.** Sesuaikan dengan gaya komunikasi saya, dengan fokus pada nilai tambah '", F819,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MAPPING'!D738, ", khusus ", 'CONTENT PILLAR MAPPING'!D739, ") dan membantu mereka menyelesaikan masalah atau mencapai tujuan mereka.", CHAR(10),
"✔ Membantuku membangun personal branding yang kuat dan sustainable, sesuai dengan Positioning saya sebagai '", 'CONTENT PILLAR MAPPING'!C725, "' dan Brand Archetype '", 'CONTENT PILLAR MAPPING'!D730, "'.", CHAR(10),
"✔ Kemas dalam bentuk tabel agar rapi, mudah di baca dan dipahami, dengan kolom 'Judul Konten', 'Pilar', 'Format', 'Draft Script', 'CTA', 'Saran Visual', dan 'Full Caption'. (Kosongkan kolom Link Prompt jika ada)."
),
"")</f>
        <v/>
      </c>
      <c r="L819" s="91" t="n"/>
      <c r="M819" s="91" t="n"/>
      <c r="N819" s="102" t="n"/>
      <c r="O819" s="102" t="n"/>
      <c r="P819" s="102" t="n"/>
      <c r="Q819" s="102" t="n"/>
      <c r="R819" s="102" t="n"/>
      <c r="S819" s="102" t="n"/>
      <c r="T819" s="102" t="n"/>
      <c r="U819" s="102" t="n"/>
      <c r="V819" s="102" t="n"/>
      <c r="W819" s="102" t="n"/>
      <c r="X819" s="102" t="n"/>
      <c r="Y819" s="102" t="n"/>
      <c r="Z819" s="102" t="n"/>
      <c r="AA819" s="102" t="n"/>
      <c r="AB819" s="102" t="n"/>
      <c r="AC819" s="102" t="n"/>
      <c r="AD819" s="102" t="n"/>
    </row>
    <row r="820" ht="15.75" customHeight="1" s="205">
      <c r="A820" s="102" t="n"/>
      <c r="B820" s="147" t="n"/>
      <c r="C820" s="144" t="n"/>
      <c r="D820" s="144" t="n"/>
      <c r="E820" s="144" t="n"/>
      <c r="F820" s="144" t="n"/>
      <c r="G820" s="144" t="n"/>
      <c r="H820" s="141">
        <f>IF(K820&lt;&gt;"", HYPERLINK("https://chatgpt.com/?prompt=" &amp; SUBSTITUTE(SUBSTITUTE(K820, " ", "+"), "&amp;", "dan") &amp; "&amp;force-refresh=true&amp;timestamp=" &amp; TEXT(NOW(), "yyyymmddhhmmss"), "👉 Klik untuk Generate Script! 🔥"), "")</f>
        <v/>
      </c>
      <c r="I820" s="144" t="n"/>
      <c r="J820" s="148" t="n"/>
      <c r="K820" s="140">
        <f>IF(AND(B820&lt;&gt;"", C820&lt;&gt;"", D820&lt;&gt;"", E820&lt;&gt;"", F820&lt;&gt;"", G820&lt;&gt;"", J820&lt;&gt;"", 'CONTENT PILLAR MAPPING'!C722&lt;&gt;"", 'CONTENT PILLAR MAPPING'!E722&lt;&gt;"", 'CONTENT PILLAR MAPPING'!F722&lt;&gt;"", 'CONTENT PILLAR MAPPING'!C725&lt;&gt;"", 'CONTENT PILLAR MAPPING'!C730&lt;&gt;"", 'CONTENT PILLAR MAPPING'!D730&lt;&gt;"", 'CONTENT PILLAR MAPPING'!E730&lt;&gt;"", 'CONTENT PILLAR MAPPING'!D738&lt;&gt;"", 'CONTENT PILLAR MAPPING'!D739&lt;&gt;""),
CONCATENATE(
"Sebagai seorang top konten kreator dengan niche utama '", 'CONTENT PILLAR MAPPING'!C722, "', spesifik kategori '", 'CONTENT PILLAR MAPPING'!E722, "', dan super spesifik '", 'CONTENT PILLAR MAPPING'!F722, "', yang dikenal sebagai '", 'CONTENT PILLAR MAPPING'!C725, "'.", CHAR(10),
"Saya memiliki Tone of Voice: '", 'CONTENT PILLAR MAPPING'!C730, "', Brand Archetype: '", 'CONTENT PILLAR MAPPING'!D730, "', dan Deskripsi Gaya Komunikasi: '", 'CONTENT PILLAR MAPPING'!E730, "'.", CHAR(10),
"Target audiens saya adalah: '", 'CONTENT PILLAR MAPPING'!D738, "', dengan segmentasi audiens: '", 'CONTENT PILLAR MAPPING'!D739, "'.", CHAR(10), CHAR(10),
"Mohon buatkan script konten yang **sangat powerful, menarik, inovatif, dan siap pakai** dengan judul ide '", B820, "'.", CHAR(10),
"Konten ini memiliki pilar '", C820, "', nilai tambah utama '", F820, "', dan akan menggunakan storytelling framework '", G820, "'.", CHAR(10),
"Gambaran singkat ide kontennya adalah: '", J820, "'.", CHAR(10),
"Konten ini akan diunggah di platform '", E820, "' dengan format '", D820,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MAPPING'!C725, "'.** Sesuaikan dengan gaya komunikasi saya, dengan fokus pada nilai tambah '", F820,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MAPPING'!D738, ", khusus ", 'CONTENT PILLAR MAPPING'!D739, ") dan membantu mereka menyelesaikan masalah atau mencapai tujuan mereka.", CHAR(10),
"✔ Membantuku membangun personal branding yang kuat dan sustainable, sesuai dengan Positioning saya sebagai '", 'CONTENT PILLAR MAPPING'!C725, "' dan Brand Archetype '", 'CONTENT PILLAR MAPPING'!D730, "'.", CHAR(10),
"✔ Kemas dalam bentuk tabel agar rapi, mudah di baca dan dipahami, dengan kolom 'Judul Konten', 'Pilar', 'Format', 'Draft Script', 'CTA', 'Saran Visual', dan 'Full Caption'. (Kosongkan kolom Link Prompt jika ada)."
),
"")</f>
        <v/>
      </c>
      <c r="L820" s="199" t="n"/>
      <c r="M820" s="199" t="n"/>
      <c r="N820" s="102" t="n"/>
      <c r="O820" s="102" t="n"/>
      <c r="P820" s="102" t="n"/>
      <c r="Q820" s="102" t="n"/>
      <c r="R820" s="102" t="n"/>
      <c r="S820" s="102" t="n"/>
      <c r="T820" s="102" t="n"/>
      <c r="U820" s="102" t="n"/>
      <c r="V820" s="102" t="n"/>
      <c r="W820" s="102" t="n"/>
      <c r="X820" s="102" t="n"/>
      <c r="Y820" s="102" t="n"/>
      <c r="Z820" s="102" t="n"/>
      <c r="AA820" s="102" t="n"/>
      <c r="AB820" s="102" t="n"/>
      <c r="AC820" s="102" t="n"/>
      <c r="AD820" s="102" t="n"/>
    </row>
    <row r="821" ht="15.75" customHeight="1" s="205">
      <c r="A821" s="102" t="n"/>
      <c r="B821" s="142" t="n"/>
      <c r="C821" s="143" t="n"/>
      <c r="D821" s="143" t="n"/>
      <c r="E821" s="143" t="n"/>
      <c r="F821" s="143" t="n"/>
      <c r="G821" s="144" t="n"/>
      <c r="H821" s="145">
        <f>IF(K821&lt;&gt;"", HYPERLINK("https://chatgpt.com/?prompt=" &amp; SUBSTITUTE(SUBSTITUTE(K821, " ", "+"), "&amp;", "dan") &amp; "&amp;force-refresh=true&amp;timestamp=" &amp; TEXT(NOW(), "yyyymmddhhmmss"), "👉 Klik untuk Generate Script! 🔥"), "")</f>
        <v/>
      </c>
      <c r="I821" s="143" t="n"/>
      <c r="J821" s="146" t="n"/>
      <c r="K821" s="130">
        <f>IF(AND(B821&lt;&gt;"", C821&lt;&gt;"", D821&lt;&gt;"", E821&lt;&gt;"", F821&lt;&gt;"", G821&lt;&gt;"", J821&lt;&gt;"", 'CONTENT PILLAR MAPPING'!C724&lt;&gt;"", 'CONTENT PILLAR MAPPING'!E724&lt;&gt;"", 'CONTENT PILLAR MAPPING'!F724&lt;&gt;"", 'CONTENT PILLAR MAPPING'!C727&lt;&gt;"", 'CONTENT PILLAR MAPPING'!C732&lt;&gt;"", 'CONTENT PILLAR MAPPING'!D732&lt;&gt;"", 'CONTENT PILLAR MAPPING'!E732&lt;&gt;"", 'CONTENT PILLAR MAPPING'!D740&lt;&gt;"", 'CONTENT PILLAR MAPPING'!D741&lt;&gt;""),
CONCATENATE(
"Sebagai seorang top konten kreator dengan niche utama '", 'CONTENT PILLAR MAPPING'!C724, "', spesifik kategori '", 'CONTENT PILLAR MAPPING'!E724, "', dan super spesifik '", 'CONTENT PILLAR MAPPING'!F724, "', yang dikenal sebagai '", 'CONTENT PILLAR MAPPING'!C727, "'.", CHAR(10),
"Saya memiliki Tone of Voice: '", 'CONTENT PILLAR MAPPING'!C732, "', Brand Archetype: '", 'CONTENT PILLAR MAPPING'!D732, "', dan Deskripsi Gaya Komunikasi: '", 'CONTENT PILLAR MAPPING'!E732, "'.", CHAR(10),
"Target audiens saya adalah: '", 'CONTENT PILLAR MAPPING'!D740, "', dengan segmentasi audiens: '", 'CONTENT PILLAR MAPPING'!D741, "'.", CHAR(10), CHAR(10),
"Mohon buatkan script konten yang **sangat powerful, menarik, inovatif, dan siap pakai** dengan judul ide '", B821, "'.", CHAR(10),
"Konten ini memiliki pilar '", C821, "', nilai tambah utama '", F821, "', dan akan menggunakan storytelling framework '", G821, "'.", CHAR(10),
"Gambaran singkat ide kontennya adalah: '", J821, "'.", CHAR(10),
"Konten ini akan diunggah di platform '", E821, "' dengan format '", D821,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MAPPING'!C727, "'.** Sesuaikan dengan gaya komunikasi saya, dengan fokus pada nilai tambah '", F821,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MAPPING'!D740, ", khusus ", 'CONTENT PILLAR MAPPING'!D741, ") dan membantu mereka menyelesaikan masalah atau mencapai tujuan mereka.", CHAR(10),
"✔ Membantuku membangun personal branding yang kuat dan sustainable, sesuai dengan Positioning saya sebagai '", 'CONTENT PILLAR MAPPING'!C727, "' dan Brand Archetype '", 'CONTENT PILLAR MAPPING'!D732, "'.", CHAR(10),
"✔ Kemas dalam bentuk tabel agar rapi, mudah di baca dan dipahami, dengan kolom 'Judul Konten', 'Pilar', 'Format', 'Draft Script', 'CTA', 'Saran Visual', dan 'Full Caption'. (Kosongkan kolom Link Prompt jika ada)."
),
"")</f>
        <v/>
      </c>
      <c r="L821" s="91" t="n"/>
      <c r="M821" s="91" t="n"/>
      <c r="N821" s="102" t="n"/>
      <c r="O821" s="102" t="n"/>
      <c r="P821" s="102" t="n"/>
      <c r="Q821" s="102" t="n"/>
      <c r="R821" s="102" t="n"/>
      <c r="S821" s="102" t="n"/>
      <c r="T821" s="102" t="n"/>
      <c r="U821" s="102" t="n"/>
      <c r="V821" s="102" t="n"/>
      <c r="W821" s="102" t="n"/>
      <c r="X821" s="102" t="n"/>
      <c r="Y821" s="102" t="n"/>
      <c r="Z821" s="102" t="n"/>
      <c r="AA821" s="102" t="n"/>
      <c r="AB821" s="102" t="n"/>
      <c r="AC821" s="102" t="n"/>
      <c r="AD821" s="102" t="n"/>
    </row>
    <row r="822" ht="15.75" customHeight="1" s="205">
      <c r="A822" s="102" t="n"/>
      <c r="B822" s="147" t="n"/>
      <c r="C822" s="144" t="n"/>
      <c r="D822" s="144" t="n"/>
      <c r="E822" s="144" t="n"/>
      <c r="F822" s="144" t="n"/>
      <c r="G822" s="144" t="n"/>
      <c r="H822" s="141">
        <f>IF(K822&lt;&gt;"", HYPERLINK("https://chatgpt.com/?prompt=" &amp; SUBSTITUTE(SUBSTITUTE(K822, " ", "+"), "&amp;", "dan") &amp; "&amp;force-refresh=true&amp;timestamp=" &amp; TEXT(NOW(), "yyyymmddhhmmss"), "👉 Klik untuk Generate Script! 🔥"), "")</f>
        <v/>
      </c>
      <c r="I822" s="144" t="n"/>
      <c r="J822" s="148" t="n"/>
      <c r="K822" s="140">
        <f>IF(AND(B822&lt;&gt;"", C822&lt;&gt;"", D822&lt;&gt;"", E822&lt;&gt;"", F822&lt;&gt;"", G822&lt;&gt;"", J822&lt;&gt;"", 'CONTENT PILLAR MAPPING'!C724&lt;&gt;"", 'CONTENT PILLAR MAPPING'!E724&lt;&gt;"", 'CONTENT PILLAR MAPPING'!F724&lt;&gt;"", 'CONTENT PILLAR MAPPING'!C727&lt;&gt;"", 'CONTENT PILLAR MAPPING'!C732&lt;&gt;"", 'CONTENT PILLAR MAPPING'!D732&lt;&gt;"", 'CONTENT PILLAR MAPPING'!E732&lt;&gt;"", 'CONTENT PILLAR MAPPING'!D740&lt;&gt;"", 'CONTENT PILLAR MAPPING'!D741&lt;&gt;""),
CONCATENATE(
"Sebagai seorang top konten kreator dengan niche utama '", 'CONTENT PILLAR MAPPING'!C724, "', spesifik kategori '", 'CONTENT PILLAR MAPPING'!E724, "', dan super spesifik '", 'CONTENT PILLAR MAPPING'!F724, "', yang dikenal sebagai '", 'CONTENT PILLAR MAPPING'!C727, "'.", CHAR(10),
"Saya memiliki Tone of Voice: '", 'CONTENT PILLAR MAPPING'!C732, "', Brand Archetype: '", 'CONTENT PILLAR MAPPING'!D732, "', dan Deskripsi Gaya Komunikasi: '", 'CONTENT PILLAR MAPPING'!E732, "'.", CHAR(10),
"Target audiens saya adalah: '", 'CONTENT PILLAR MAPPING'!D740, "', dengan segmentasi audiens: '", 'CONTENT PILLAR MAPPING'!D741, "'.", CHAR(10), CHAR(10),
"Mohon buatkan script konten yang **sangat powerful, menarik, inovatif, dan siap pakai** dengan judul ide '", B822, "'.", CHAR(10),
"Konten ini memiliki pilar '", C822, "', nilai tambah utama '", F822, "', dan akan menggunakan storytelling framework '", G822, "'.", CHAR(10),
"Gambaran singkat ide kontennya adalah: '", J822, "'.", CHAR(10),
"Konten ini akan diunggah di platform '", E822, "' dengan format '", D822,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MAPPING'!C727, "'.** Sesuaikan dengan gaya komunikasi saya, dengan fokus pada nilai tambah '", F822,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MAPPING'!D740, ", khusus ", 'CONTENT PILLAR MAPPING'!D741, ") dan membantu mereka menyelesaikan masalah atau mencapai tujuan mereka.", CHAR(10),
"✔ Membantuku membangun personal branding yang kuat dan sustainable, sesuai dengan Positioning saya sebagai '", 'CONTENT PILLAR MAPPING'!C727, "' dan Brand Archetype '", 'CONTENT PILLAR MAPPING'!D732, "'.", CHAR(10),
"✔ Kemas dalam bentuk tabel agar rapi, mudah di baca dan dipahami, dengan kolom 'Judul Konten', 'Pilar', 'Format', 'Draft Script', 'CTA', 'Saran Visual', dan 'Full Caption'. (Kosongkan kolom Link Prompt jika ada)."
),
"")</f>
        <v/>
      </c>
      <c r="L822" s="199" t="n"/>
      <c r="M822" s="199" t="n"/>
      <c r="N822" s="102" t="n"/>
      <c r="O822" s="102" t="n"/>
      <c r="P822" s="102" t="n"/>
      <c r="Q822" s="102" t="n"/>
      <c r="R822" s="102" t="n"/>
      <c r="S822" s="102" t="n"/>
      <c r="T822" s="102" t="n"/>
      <c r="U822" s="102" t="n"/>
      <c r="V822" s="102" t="n"/>
      <c r="W822" s="102" t="n"/>
      <c r="X822" s="102" t="n"/>
      <c r="Y822" s="102" t="n"/>
      <c r="Z822" s="102" t="n"/>
      <c r="AA822" s="102" t="n"/>
      <c r="AB822" s="102" t="n"/>
      <c r="AC822" s="102" t="n"/>
      <c r="AD822" s="102" t="n"/>
    </row>
    <row r="823" ht="15.75" customHeight="1" s="205">
      <c r="A823" s="102" t="n"/>
      <c r="B823" s="142" t="n"/>
      <c r="C823" s="143" t="n"/>
      <c r="D823" s="143" t="n"/>
      <c r="E823" s="143" t="n"/>
      <c r="F823" s="143" t="n"/>
      <c r="G823" s="144" t="n"/>
      <c r="H823" s="145">
        <f>IF(K823&lt;&gt;"", HYPERLINK("https://chatgpt.com/?prompt=" &amp; SUBSTITUTE(SUBSTITUTE(K823, " ", "+"), "&amp;", "dan") &amp; "&amp;force-refresh=true&amp;timestamp=" &amp; TEXT(NOW(), "yyyymmddhhmmss"), "👉 Klik untuk Generate Script! 🔥"), "")</f>
        <v/>
      </c>
      <c r="I823" s="143" t="n"/>
      <c r="J823" s="146" t="n"/>
      <c r="K823" s="130">
        <f>IF(AND(B823&lt;&gt;"", C823&lt;&gt;"", D823&lt;&gt;"", E823&lt;&gt;"", F823&lt;&gt;"", G823&lt;&gt;"", J823&lt;&gt;"", 'CONTENT PILLAR MAPPING'!C726&lt;&gt;"", 'CONTENT PILLAR MAPPING'!E726&lt;&gt;"", 'CONTENT PILLAR MAPPING'!F726&lt;&gt;"", 'CONTENT PILLAR MAPPING'!C729&lt;&gt;"", 'CONTENT PILLAR MAPPING'!C734&lt;&gt;"", 'CONTENT PILLAR MAPPING'!D734&lt;&gt;"", 'CONTENT PILLAR MAPPING'!E734&lt;&gt;"", 'CONTENT PILLAR MAPPING'!D742&lt;&gt;"", 'CONTENT PILLAR MAPPING'!D743&lt;&gt;""),
CONCATENATE(
"Sebagai seorang top konten kreator dengan niche utama '", 'CONTENT PILLAR MAPPING'!C726, "', spesifik kategori '", 'CONTENT PILLAR MAPPING'!E726, "', dan super spesifik '", 'CONTENT PILLAR MAPPING'!F726, "', yang dikenal sebagai '", 'CONTENT PILLAR MAPPING'!C729, "'.", CHAR(10),
"Saya memiliki Tone of Voice: '", 'CONTENT PILLAR MAPPING'!C734, "', Brand Archetype: '", 'CONTENT PILLAR MAPPING'!D734, "', dan Deskripsi Gaya Komunikasi: '", 'CONTENT PILLAR MAPPING'!E734, "'.", CHAR(10),
"Target audiens saya adalah: '", 'CONTENT PILLAR MAPPING'!D742, "', dengan segmentasi audiens: '", 'CONTENT PILLAR MAPPING'!D743, "'.", CHAR(10), CHAR(10),
"Mohon buatkan script konten yang **sangat powerful, menarik, inovatif, dan siap pakai** dengan judul ide '", B823, "'.", CHAR(10),
"Konten ini memiliki pilar '", C823, "', nilai tambah utama '", F823, "', dan akan menggunakan storytelling framework '", G823, "'.", CHAR(10),
"Gambaran singkat ide kontennya adalah: '", J823, "'.", CHAR(10),
"Konten ini akan diunggah di platform '", E823, "' dengan format '", D823,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MAPPING'!C729, "'.** Sesuaikan dengan gaya komunikasi saya, dengan fokus pada nilai tambah '", F823,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MAPPING'!D742, ", khusus ", 'CONTENT PILLAR MAPPING'!D743, ") dan membantu mereka menyelesaikan masalah atau mencapai tujuan mereka.", CHAR(10),
"✔ Membantuku membangun personal branding yang kuat dan sustainable, sesuai dengan Positioning saya sebagai '", 'CONTENT PILLAR MAPPING'!C729, "' dan Brand Archetype '", 'CONTENT PILLAR MAPPING'!D734, "'.", CHAR(10),
"✔ Kemas dalam bentuk tabel agar rapi, mudah di baca dan dipahami, dengan kolom 'Judul Konten', 'Pilar', 'Format', 'Draft Script', 'CTA', 'Saran Visual', dan 'Full Caption'. (Kosongkan kolom Link Prompt jika ada)."
),
"")</f>
        <v/>
      </c>
      <c r="L823" s="91" t="n"/>
      <c r="M823" s="91" t="n"/>
      <c r="N823" s="102" t="n"/>
      <c r="O823" s="102" t="n"/>
      <c r="P823" s="102" t="n"/>
      <c r="Q823" s="102" t="n"/>
      <c r="R823" s="102" t="n"/>
      <c r="S823" s="102" t="n"/>
      <c r="T823" s="102" t="n"/>
      <c r="U823" s="102" t="n"/>
      <c r="V823" s="102" t="n"/>
      <c r="W823" s="102" t="n"/>
      <c r="X823" s="102" t="n"/>
      <c r="Y823" s="102" t="n"/>
      <c r="Z823" s="102" t="n"/>
      <c r="AA823" s="102" t="n"/>
      <c r="AB823" s="102" t="n"/>
      <c r="AC823" s="102" t="n"/>
      <c r="AD823" s="102" t="n"/>
    </row>
    <row r="824" ht="15.75" customHeight="1" s="205">
      <c r="A824" s="102" t="n"/>
      <c r="B824" s="147" t="n"/>
      <c r="C824" s="144" t="n"/>
      <c r="D824" s="144" t="n"/>
      <c r="E824" s="144" t="n"/>
      <c r="F824" s="144" t="n"/>
      <c r="G824" s="144" t="n"/>
      <c r="H824" s="141">
        <f>IF(K824&lt;&gt;"", HYPERLINK("https://chatgpt.com/?prompt=" &amp; SUBSTITUTE(SUBSTITUTE(K824, " ", "+"), "&amp;", "dan") &amp; "&amp;force-refresh=true&amp;timestamp=" &amp; TEXT(NOW(), "yyyymmddhhmmss"), "👉 Klik untuk Generate Script! 🔥"), "")</f>
        <v/>
      </c>
      <c r="I824" s="144" t="n"/>
      <c r="J824" s="148" t="n"/>
      <c r="K824" s="140">
        <f>IF(AND(B824&lt;&gt;"", C824&lt;&gt;"", D824&lt;&gt;"", E824&lt;&gt;"", F824&lt;&gt;"", G824&lt;&gt;"", J824&lt;&gt;"", 'CONTENT PILLAR MAPPING'!C726&lt;&gt;"", 'CONTENT PILLAR MAPPING'!E726&lt;&gt;"", 'CONTENT PILLAR MAPPING'!F726&lt;&gt;"", 'CONTENT PILLAR MAPPING'!C729&lt;&gt;"", 'CONTENT PILLAR MAPPING'!C734&lt;&gt;"", 'CONTENT PILLAR MAPPING'!D734&lt;&gt;"", 'CONTENT PILLAR MAPPING'!E734&lt;&gt;"", 'CONTENT PILLAR MAPPING'!D742&lt;&gt;"", 'CONTENT PILLAR MAPPING'!D743&lt;&gt;""),
CONCATENATE(
"Sebagai seorang top konten kreator dengan niche utama '", 'CONTENT PILLAR MAPPING'!C726, "', spesifik kategori '", 'CONTENT PILLAR MAPPING'!E726, "', dan super spesifik '", 'CONTENT PILLAR MAPPING'!F726, "', yang dikenal sebagai '", 'CONTENT PILLAR MAPPING'!C729, "'.", CHAR(10),
"Saya memiliki Tone of Voice: '", 'CONTENT PILLAR MAPPING'!C734, "', Brand Archetype: '", 'CONTENT PILLAR MAPPING'!D734, "', dan Deskripsi Gaya Komunikasi: '", 'CONTENT PILLAR MAPPING'!E734, "'.", CHAR(10),
"Target audiens saya adalah: '", 'CONTENT PILLAR MAPPING'!D742, "', dengan segmentasi audiens: '", 'CONTENT PILLAR MAPPING'!D743, "'.", CHAR(10), CHAR(10),
"Mohon buatkan script konten yang **sangat powerful, menarik, inovatif, dan siap pakai** dengan judul ide '", B824, "'.", CHAR(10),
"Konten ini memiliki pilar '", C824, "', nilai tambah utama '", F824, "', dan akan menggunakan storytelling framework '", G824, "'.", CHAR(10),
"Gambaran singkat ide kontennya adalah: '", J824, "'.", CHAR(10),
"Konten ini akan diunggah di platform '", E824, "' dengan format '", D824,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MAPPING'!C729, "'.** Sesuaikan dengan gaya komunikasi saya, dengan fokus pada nilai tambah '", F824,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MAPPING'!D742, ", khusus ", 'CONTENT PILLAR MAPPING'!D743, ") dan membantu mereka menyelesaikan masalah atau mencapai tujuan mereka.", CHAR(10),
"✔ Membantuku membangun personal branding yang kuat dan sustainable, sesuai dengan Positioning saya sebagai '", 'CONTENT PILLAR MAPPING'!C729, "' dan Brand Archetype '", 'CONTENT PILLAR MAPPING'!D734, "'.", CHAR(10),
"✔ Kemas dalam bentuk tabel agar rapi, mudah di baca dan dipahami, dengan kolom 'Judul Konten', 'Pilar', 'Format', 'Draft Script', 'CTA', 'Saran Visual', dan 'Full Caption'. (Kosongkan kolom Link Prompt jika ada)."
),
"")</f>
        <v/>
      </c>
      <c r="L824" s="199" t="n"/>
      <c r="M824" s="199" t="n"/>
      <c r="N824" s="102" t="n"/>
      <c r="O824" s="102" t="n"/>
      <c r="P824" s="102" t="n"/>
      <c r="Q824" s="102" t="n"/>
      <c r="R824" s="102" t="n"/>
      <c r="S824" s="102" t="n"/>
      <c r="T824" s="102" t="n"/>
      <c r="U824" s="102" t="n"/>
      <c r="V824" s="102" t="n"/>
      <c r="W824" s="102" t="n"/>
      <c r="X824" s="102" t="n"/>
      <c r="Y824" s="102" t="n"/>
      <c r="Z824" s="102" t="n"/>
      <c r="AA824" s="102" t="n"/>
      <c r="AB824" s="102" t="n"/>
      <c r="AC824" s="102" t="n"/>
      <c r="AD824" s="102" t="n"/>
    </row>
    <row r="825" ht="15.75" customHeight="1" s="205">
      <c r="A825" s="102" t="n"/>
      <c r="B825" s="142" t="n"/>
      <c r="C825" s="143" t="n"/>
      <c r="D825" s="143" t="n"/>
      <c r="E825" s="143" t="n"/>
      <c r="F825" s="143" t="n"/>
      <c r="G825" s="144" t="n"/>
      <c r="H825" s="145">
        <f>IF(K825&lt;&gt;"", HYPERLINK("https://chatgpt.com/?prompt=" &amp; SUBSTITUTE(SUBSTITUTE(K825, " ", "+"), "&amp;", "dan") &amp; "&amp;force-refresh=true&amp;timestamp=" &amp; TEXT(NOW(), "yyyymmddhhmmss"), "👉 Klik untuk Generate Script! 🔥"), "")</f>
        <v/>
      </c>
      <c r="I825" s="143" t="n"/>
      <c r="J825" s="146" t="n"/>
      <c r="K825" s="130">
        <f>IF(AND(B825&lt;&gt;"", C825&lt;&gt;"", D825&lt;&gt;"", E825&lt;&gt;"", F825&lt;&gt;"", G825&lt;&gt;"", J825&lt;&gt;"", 'CONTENT PILLAR MAPPING'!C728&lt;&gt;"", 'CONTENT PILLAR MAPPING'!E728&lt;&gt;"", 'CONTENT PILLAR MAPPING'!F728&lt;&gt;"", 'CONTENT PILLAR MAPPING'!C731&lt;&gt;"", 'CONTENT PILLAR MAPPING'!C736&lt;&gt;"", 'CONTENT PILLAR MAPPING'!D736&lt;&gt;"", 'CONTENT PILLAR MAPPING'!E736&lt;&gt;"", 'CONTENT PILLAR MAPPING'!D744&lt;&gt;"", 'CONTENT PILLAR MAPPING'!D745&lt;&gt;""),
CONCATENATE(
"Sebagai seorang top konten kreator dengan niche utama '", 'CONTENT PILLAR MAPPING'!C728, "', spesifik kategori '", 'CONTENT PILLAR MAPPING'!E728, "', dan super spesifik '", 'CONTENT PILLAR MAPPING'!F728, "', yang dikenal sebagai '", 'CONTENT PILLAR MAPPING'!C731, "'.", CHAR(10),
"Saya memiliki Tone of Voice: '", 'CONTENT PILLAR MAPPING'!C736, "', Brand Archetype: '", 'CONTENT PILLAR MAPPING'!D736, "', dan Deskripsi Gaya Komunikasi: '", 'CONTENT PILLAR MAPPING'!E736, "'.", CHAR(10),
"Target audiens saya adalah: '", 'CONTENT PILLAR MAPPING'!D744, "', dengan segmentasi audiens: '", 'CONTENT PILLAR MAPPING'!D745, "'.", CHAR(10), CHAR(10),
"Mohon buatkan script konten yang **sangat powerful, menarik, inovatif, dan siap pakai** dengan judul ide '", B825, "'.", CHAR(10),
"Konten ini memiliki pilar '", C825, "', nilai tambah utama '", F825, "', dan akan menggunakan storytelling framework '", G825, "'.", CHAR(10),
"Gambaran singkat ide kontennya adalah: '", J825, "'.", CHAR(10),
"Konten ini akan diunggah di platform '", E825, "' dengan format '", D825,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MAPPING'!C731, "'.** Sesuaikan dengan gaya komunikasi saya, dengan fokus pada nilai tambah '", F825,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MAPPING'!D744, ", khusus ", 'CONTENT PILLAR MAPPING'!D745, ") dan membantu mereka menyelesaikan masalah atau mencapai tujuan mereka.", CHAR(10),
"✔ Membantuku membangun personal branding yang kuat dan sustainable, sesuai dengan Positioning saya sebagai '", 'CONTENT PILLAR MAPPING'!C731, "' dan Brand Archetype '", 'CONTENT PILLAR MAPPING'!D736, "'.", CHAR(10),
"✔ Kemas dalam bentuk tabel agar rapi, mudah di baca dan dipahami, dengan kolom 'Judul Konten', 'Pilar', 'Format', 'Draft Script', 'CTA', 'Saran Visual', dan 'Full Caption'. (Kosongkan kolom Link Prompt jika ada)."
),
"")</f>
        <v/>
      </c>
      <c r="L825" s="91" t="n"/>
      <c r="M825" s="91" t="n"/>
      <c r="N825" s="102" t="n"/>
      <c r="O825" s="102" t="n"/>
      <c r="P825" s="102" t="n"/>
      <c r="Q825" s="102" t="n"/>
      <c r="R825" s="102" t="n"/>
      <c r="S825" s="102" t="n"/>
      <c r="T825" s="102" t="n"/>
      <c r="U825" s="102" t="n"/>
      <c r="V825" s="102" t="n"/>
      <c r="W825" s="102" t="n"/>
      <c r="X825" s="102" t="n"/>
      <c r="Y825" s="102" t="n"/>
      <c r="Z825" s="102" t="n"/>
      <c r="AA825" s="102" t="n"/>
      <c r="AB825" s="102" t="n"/>
      <c r="AC825" s="102" t="n"/>
      <c r="AD825" s="102" t="n"/>
    </row>
    <row r="826" ht="15.75" customHeight="1" s="205">
      <c r="A826" s="102" t="n"/>
      <c r="B826" s="147" t="n"/>
      <c r="C826" s="144" t="n"/>
      <c r="D826" s="144" t="n"/>
      <c r="E826" s="144" t="n"/>
      <c r="F826" s="144" t="n"/>
      <c r="G826" s="144" t="n"/>
      <c r="H826" s="141">
        <f>IF(K826&lt;&gt;"", HYPERLINK("https://chatgpt.com/?prompt=" &amp; SUBSTITUTE(SUBSTITUTE(K826, " ", "+"), "&amp;", "dan") &amp; "&amp;force-refresh=true&amp;timestamp=" &amp; TEXT(NOW(), "yyyymmddhhmmss"), "👉 Klik untuk Generate Script! 🔥"), "")</f>
        <v/>
      </c>
      <c r="I826" s="144" t="n"/>
      <c r="J826" s="148" t="n"/>
      <c r="K826" s="140">
        <f>IF(AND(B826&lt;&gt;"", C826&lt;&gt;"", D826&lt;&gt;"", E826&lt;&gt;"", F826&lt;&gt;"", G826&lt;&gt;"", J826&lt;&gt;"", 'CONTENT PILLAR MAPPING'!C728&lt;&gt;"", 'CONTENT PILLAR MAPPING'!E728&lt;&gt;"", 'CONTENT PILLAR MAPPING'!F728&lt;&gt;"", 'CONTENT PILLAR MAPPING'!C731&lt;&gt;"", 'CONTENT PILLAR MAPPING'!C736&lt;&gt;"", 'CONTENT PILLAR MAPPING'!D736&lt;&gt;"", 'CONTENT PILLAR MAPPING'!E736&lt;&gt;"", 'CONTENT PILLAR MAPPING'!D744&lt;&gt;"", 'CONTENT PILLAR MAPPING'!D745&lt;&gt;""),
CONCATENATE(
"Sebagai seorang top konten kreator dengan niche utama '", 'CONTENT PILLAR MAPPING'!C728, "', spesifik kategori '", 'CONTENT PILLAR MAPPING'!E728, "', dan super spesifik '", 'CONTENT PILLAR MAPPING'!F728, "', yang dikenal sebagai '", 'CONTENT PILLAR MAPPING'!C731, "'.", CHAR(10),
"Saya memiliki Tone of Voice: '", 'CONTENT PILLAR MAPPING'!C736, "', Brand Archetype: '", 'CONTENT PILLAR MAPPING'!D736, "', dan Deskripsi Gaya Komunikasi: '", 'CONTENT PILLAR MAPPING'!E736, "'.", CHAR(10),
"Target audiens saya adalah: '", 'CONTENT PILLAR MAPPING'!D744, "', dengan segmentasi audiens: '", 'CONTENT PILLAR MAPPING'!D745, "'.", CHAR(10), CHAR(10),
"Mohon buatkan script konten yang **sangat powerful, menarik, inovatif, dan siap pakai** dengan judul ide '", B826, "'.", CHAR(10),
"Konten ini memiliki pilar '", C826, "', nilai tambah utama '", F826, "', dan akan menggunakan storytelling framework '", G826, "'.", CHAR(10),
"Gambaran singkat ide kontennya adalah: '", J826, "'.", CHAR(10),
"Konten ini akan diunggah di platform '", E826, "' dengan format '", D826,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MAPPING'!C731, "'.** Sesuaikan dengan gaya komunikasi saya, dengan fokus pada nilai tambah '", F826,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MAPPING'!D744, ", khusus ", 'CONTENT PILLAR MAPPING'!D745, ") dan membantu mereka menyelesaikan masalah atau mencapai tujuan mereka.", CHAR(10),
"✔ Membantuku membangun personal branding yang kuat dan sustainable, sesuai dengan Positioning saya sebagai '", 'CONTENT PILLAR MAPPING'!C731, "' dan Brand Archetype '", 'CONTENT PILLAR MAPPING'!D736, "'.", CHAR(10),
"✔ Kemas dalam bentuk tabel agar rapi, mudah di baca dan dipahami, dengan kolom 'Judul Konten', 'Pilar', 'Format', 'Draft Script', 'CTA', 'Saran Visual', dan 'Full Caption'. (Kosongkan kolom Link Prompt jika ada)."
),
"")</f>
        <v/>
      </c>
      <c r="L826" s="199" t="n"/>
      <c r="M826" s="199" t="n"/>
      <c r="N826" s="102" t="n"/>
      <c r="O826" s="102" t="n"/>
      <c r="P826" s="102" t="n"/>
      <c r="Q826" s="102" t="n"/>
      <c r="R826" s="102" t="n"/>
      <c r="S826" s="102" t="n"/>
      <c r="T826" s="102" t="n"/>
      <c r="U826" s="102" t="n"/>
      <c r="V826" s="102" t="n"/>
      <c r="W826" s="102" t="n"/>
      <c r="X826" s="102" t="n"/>
      <c r="Y826" s="102" t="n"/>
      <c r="Z826" s="102" t="n"/>
      <c r="AA826" s="102" t="n"/>
      <c r="AB826" s="102" t="n"/>
      <c r="AC826" s="102" t="n"/>
      <c r="AD826" s="102" t="n"/>
    </row>
    <row r="827" ht="15.75" customHeight="1" s="205">
      <c r="A827" s="102" t="n"/>
      <c r="B827" s="142" t="n"/>
      <c r="C827" s="143" t="n"/>
      <c r="D827" s="143" t="n"/>
      <c r="E827" s="143" t="n"/>
      <c r="F827" s="143" t="n"/>
      <c r="G827" s="144" t="n"/>
      <c r="H827" s="145">
        <f>IF(K827&lt;&gt;"", HYPERLINK("https://chatgpt.com/?prompt=" &amp; SUBSTITUTE(SUBSTITUTE(K827, " ", "+"), "&amp;", "dan") &amp; "&amp;force-refresh=true&amp;timestamp=" &amp; TEXT(NOW(), "yyyymmddhhmmss"), "👉 Klik untuk Generate Script! 🔥"), "")</f>
        <v/>
      </c>
      <c r="I827" s="143" t="n"/>
      <c r="J827" s="146" t="n"/>
      <c r="K827" s="130">
        <f>IF(AND(B827&lt;&gt;"", C827&lt;&gt;"", D827&lt;&gt;"", E827&lt;&gt;"", F827&lt;&gt;"", G827&lt;&gt;"", J827&lt;&gt;"", 'CONTENT PILLAR MAPPING'!C730&lt;&gt;"", 'CONTENT PILLAR MAPPING'!E730&lt;&gt;"", 'CONTENT PILLAR MAPPING'!F730&lt;&gt;"", 'CONTENT PILLAR MAPPING'!C733&lt;&gt;"", 'CONTENT PILLAR MAPPING'!C738&lt;&gt;"", 'CONTENT PILLAR MAPPING'!D738&lt;&gt;"", 'CONTENT PILLAR MAPPING'!E738&lt;&gt;"", 'CONTENT PILLAR MAPPING'!D746&lt;&gt;"", 'CONTENT PILLAR MAPPING'!D747&lt;&gt;""),
CONCATENATE(
"Sebagai seorang top konten kreator dengan niche utama '", 'CONTENT PILLAR MAPPING'!C730, "', spesifik kategori '", 'CONTENT PILLAR MAPPING'!E730, "', dan super spesifik '", 'CONTENT PILLAR MAPPING'!F730, "', yang dikenal sebagai '", 'CONTENT PILLAR MAPPING'!C733, "'.", CHAR(10),
"Saya memiliki Tone of Voice: '", 'CONTENT PILLAR MAPPING'!C738, "', Brand Archetype: '", 'CONTENT PILLAR MAPPING'!D738, "', dan Deskripsi Gaya Komunikasi: '", 'CONTENT PILLAR MAPPING'!E738, "'.", CHAR(10),
"Target audiens saya adalah: '", 'CONTENT PILLAR MAPPING'!D746, "', dengan segmentasi audiens: '", 'CONTENT PILLAR MAPPING'!D747, "'.", CHAR(10), CHAR(10),
"Mohon buatkan script konten yang **sangat powerful, menarik, inovatif, dan siap pakai** dengan judul ide '", B827, "'.", CHAR(10),
"Konten ini memiliki pilar '", C827, "', nilai tambah utama '", F827, "', dan akan menggunakan storytelling framework '", G827, "'.", CHAR(10),
"Gambaran singkat ide kontennya adalah: '", J827, "'.", CHAR(10),
"Konten ini akan diunggah di platform '", E827, "' dengan format '", D827,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MAPPING'!C733, "'.** Sesuaikan dengan gaya komunikasi saya, dengan fokus pada nilai tambah '", F827,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MAPPING'!D746, ", khusus ", 'CONTENT PILLAR MAPPING'!D747, ") dan membantu mereka menyelesaikan masalah atau mencapai tujuan mereka.", CHAR(10),
"✔ Membantuku membangun personal branding yang kuat dan sustainable, sesuai dengan Positioning saya sebagai '", 'CONTENT PILLAR MAPPING'!C733, "' dan Brand Archetype '", 'CONTENT PILLAR MAPPING'!D738, "'.", CHAR(10),
"✔ Kemas dalam bentuk tabel agar rapi, mudah di baca dan dipahami, dengan kolom 'Judul Konten', 'Pilar', 'Format', 'Draft Script', 'CTA', 'Saran Visual', dan 'Full Caption'. (Kosongkan kolom Link Prompt jika ada)."
),
"")</f>
        <v/>
      </c>
      <c r="L827" s="91" t="n"/>
      <c r="M827" s="91" t="n"/>
      <c r="N827" s="102" t="n"/>
      <c r="O827" s="102" t="n"/>
      <c r="P827" s="102" t="n"/>
      <c r="Q827" s="102" t="n"/>
      <c r="R827" s="102" t="n"/>
      <c r="S827" s="102" t="n"/>
      <c r="T827" s="102" t="n"/>
      <c r="U827" s="102" t="n"/>
      <c r="V827" s="102" t="n"/>
      <c r="W827" s="102" t="n"/>
      <c r="X827" s="102" t="n"/>
      <c r="Y827" s="102" t="n"/>
      <c r="Z827" s="102" t="n"/>
      <c r="AA827" s="102" t="n"/>
      <c r="AB827" s="102" t="n"/>
      <c r="AC827" s="102" t="n"/>
      <c r="AD827" s="102" t="n"/>
    </row>
    <row r="828" ht="15.75" customHeight="1" s="205">
      <c r="A828" s="102" t="n"/>
      <c r="B828" s="147" t="n"/>
      <c r="C828" s="144" t="n"/>
      <c r="D828" s="144" t="n"/>
      <c r="E828" s="144" t="n"/>
      <c r="F828" s="144" t="n"/>
      <c r="G828" s="144" t="n"/>
      <c r="H828" s="141">
        <f>IF(K828&lt;&gt;"", HYPERLINK("https://chatgpt.com/?prompt=" &amp; SUBSTITUTE(SUBSTITUTE(K828, " ", "+"), "&amp;", "dan") &amp; "&amp;force-refresh=true&amp;timestamp=" &amp; TEXT(NOW(), "yyyymmddhhmmss"), "👉 Klik untuk Generate Script! 🔥"), "")</f>
        <v/>
      </c>
      <c r="I828" s="144" t="n"/>
      <c r="J828" s="148" t="n"/>
      <c r="K828" s="140">
        <f>IF(AND(B828&lt;&gt;"", C828&lt;&gt;"", D828&lt;&gt;"", E828&lt;&gt;"", F828&lt;&gt;"", G828&lt;&gt;"", J828&lt;&gt;"", 'CONTENT PILLAR MAPPING'!C730&lt;&gt;"", 'CONTENT PILLAR MAPPING'!E730&lt;&gt;"", 'CONTENT PILLAR MAPPING'!F730&lt;&gt;"", 'CONTENT PILLAR MAPPING'!C733&lt;&gt;"", 'CONTENT PILLAR MAPPING'!C738&lt;&gt;"", 'CONTENT PILLAR MAPPING'!D738&lt;&gt;"", 'CONTENT PILLAR MAPPING'!E738&lt;&gt;"", 'CONTENT PILLAR MAPPING'!D746&lt;&gt;"", 'CONTENT PILLAR MAPPING'!D747&lt;&gt;""),
CONCATENATE(
"Sebagai seorang top konten kreator dengan niche utama '", 'CONTENT PILLAR MAPPING'!C730, "', spesifik kategori '", 'CONTENT PILLAR MAPPING'!E730, "', dan super spesifik '", 'CONTENT PILLAR MAPPING'!F730, "', yang dikenal sebagai '", 'CONTENT PILLAR MAPPING'!C733, "'.", CHAR(10),
"Saya memiliki Tone of Voice: '", 'CONTENT PILLAR MAPPING'!C738, "', Brand Archetype: '", 'CONTENT PILLAR MAPPING'!D738, "', dan Deskripsi Gaya Komunikasi: '", 'CONTENT PILLAR MAPPING'!E738, "'.", CHAR(10),
"Target audiens saya adalah: '", 'CONTENT PILLAR MAPPING'!D746, "', dengan segmentasi audiens: '", 'CONTENT PILLAR MAPPING'!D747, "'.", CHAR(10), CHAR(10),
"Mohon buatkan script konten yang **sangat powerful, menarik, inovatif, dan siap pakai** dengan judul ide '", B828, "'.", CHAR(10),
"Konten ini memiliki pilar '", C828, "', nilai tambah utama '", F828, "', dan akan menggunakan storytelling framework '", G828, "'.", CHAR(10),
"Gambaran singkat ide kontennya adalah: '", J828, "'.", CHAR(10),
"Konten ini akan diunggah di platform '", E828, "' dengan format '", D828,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MAPPING'!C733, "'.** Sesuaikan dengan gaya komunikasi saya, dengan fokus pada nilai tambah '", F828,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MAPPING'!D746, ", khusus ", 'CONTENT PILLAR MAPPING'!D747, ") dan membantu mereka menyelesaikan masalah atau mencapai tujuan mereka.", CHAR(10),
"✔ Membantuku membangun personal branding yang kuat dan sustainable, sesuai dengan Positioning saya sebagai '", 'CONTENT PILLAR MAPPING'!C733, "' dan Brand Archetype '", 'CONTENT PILLAR MAPPING'!D738, "'.", CHAR(10),
"✔ Kemas dalam bentuk tabel agar rapi, mudah di baca dan dipahami, dengan kolom 'Judul Konten', 'Pilar', 'Format', 'Draft Script', 'CTA', 'Saran Visual', dan 'Full Caption'. (Kosongkan kolom Link Prompt jika ada)."
),
"")</f>
        <v/>
      </c>
      <c r="L828" s="199" t="n"/>
      <c r="M828" s="199" t="n"/>
      <c r="N828" s="102" t="n"/>
      <c r="O828" s="102" t="n"/>
      <c r="P828" s="102" t="n"/>
      <c r="Q828" s="102" t="n"/>
      <c r="R828" s="102" t="n"/>
      <c r="S828" s="102" t="n"/>
      <c r="T828" s="102" t="n"/>
      <c r="U828" s="102" t="n"/>
      <c r="V828" s="102" t="n"/>
      <c r="W828" s="102" t="n"/>
      <c r="X828" s="102" t="n"/>
      <c r="Y828" s="102" t="n"/>
      <c r="Z828" s="102" t="n"/>
      <c r="AA828" s="102" t="n"/>
      <c r="AB828" s="102" t="n"/>
      <c r="AC828" s="102" t="n"/>
      <c r="AD828" s="102" t="n"/>
    </row>
    <row r="829" ht="15.75" customHeight="1" s="205">
      <c r="A829" s="102" t="n"/>
      <c r="B829" s="142" t="n"/>
      <c r="C829" s="143" t="n"/>
      <c r="D829" s="143" t="n"/>
      <c r="E829" s="143" t="n"/>
      <c r="F829" s="143" t="n"/>
      <c r="G829" s="144" t="n"/>
      <c r="H829" s="145">
        <f>IF(K829&lt;&gt;"", HYPERLINK("https://chatgpt.com/?prompt=" &amp; SUBSTITUTE(SUBSTITUTE(K829, " ", "+"), "&amp;", "dan") &amp; "&amp;force-refresh=true&amp;timestamp=" &amp; TEXT(NOW(), "yyyymmddhhmmss"), "👉 Klik untuk Generate Script! 🔥"), "")</f>
        <v/>
      </c>
      <c r="I829" s="143" t="n"/>
      <c r="J829" s="146" t="n"/>
      <c r="K829" s="130">
        <f>IF(AND(B829&lt;&gt;"", C829&lt;&gt;"", D829&lt;&gt;"", E829&lt;&gt;"", F829&lt;&gt;"", G829&lt;&gt;"", J829&lt;&gt;"", 'CONTENT PILLAR MAPPING'!C732&lt;&gt;"", 'CONTENT PILLAR MAPPING'!E732&lt;&gt;"", 'CONTENT PILLAR MAPPING'!F732&lt;&gt;"", 'CONTENT PILLAR MAPPING'!C735&lt;&gt;"", 'CONTENT PILLAR MAPPING'!C740&lt;&gt;"", 'CONTENT PILLAR MAPPING'!D740&lt;&gt;"", 'CONTENT PILLAR MAPPING'!E740&lt;&gt;"", 'CONTENT PILLAR MAPPING'!D748&lt;&gt;"", 'CONTENT PILLAR MAPPING'!D749&lt;&gt;""),
CONCATENATE(
"Sebagai seorang top konten kreator dengan niche utama '", 'CONTENT PILLAR MAPPING'!C732, "', spesifik kategori '", 'CONTENT PILLAR MAPPING'!E732, "', dan super spesifik '", 'CONTENT PILLAR MAPPING'!F732, "', yang dikenal sebagai '", 'CONTENT PILLAR MAPPING'!C735, "'.", CHAR(10),
"Saya memiliki Tone of Voice: '", 'CONTENT PILLAR MAPPING'!C740, "', Brand Archetype: '", 'CONTENT PILLAR MAPPING'!D740, "', dan Deskripsi Gaya Komunikasi: '", 'CONTENT PILLAR MAPPING'!E740, "'.", CHAR(10),
"Target audiens saya adalah: '", 'CONTENT PILLAR MAPPING'!D748, "', dengan segmentasi audiens: '", 'CONTENT PILLAR MAPPING'!D749, "'.", CHAR(10), CHAR(10),
"Mohon buatkan script konten yang **sangat powerful, menarik, inovatif, dan siap pakai** dengan judul ide '", B829, "'.", CHAR(10),
"Konten ini memiliki pilar '", C829, "', nilai tambah utama '", F829, "', dan akan menggunakan storytelling framework '", G829, "'.", CHAR(10),
"Gambaran singkat ide kontennya adalah: '", J829, "'.", CHAR(10),
"Konten ini akan diunggah di platform '", E829, "' dengan format '", D829,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MAPPING'!C735, "'.** Sesuaikan dengan gaya komunikasi saya, dengan fokus pada nilai tambah '", F829,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MAPPING'!D748, ", khusus ", 'CONTENT PILLAR MAPPING'!D749, ") dan membantu mereka menyelesaikan masalah atau mencapai tujuan mereka.", CHAR(10),
"✔ Membantuku membangun personal branding yang kuat dan sustainable, sesuai dengan Positioning saya sebagai '", 'CONTENT PILLAR MAPPING'!C735, "' dan Brand Archetype '", 'CONTENT PILLAR MAPPING'!D740, "'.", CHAR(10),
"✔ Kemas dalam bentuk tabel agar rapi, mudah di baca dan dipahami, dengan kolom 'Judul Konten', 'Pilar', 'Format', 'Draft Script', 'CTA', 'Saran Visual', dan 'Full Caption'. (Kosongkan kolom Link Prompt jika ada)."
),
"")</f>
        <v/>
      </c>
      <c r="L829" s="91" t="n"/>
      <c r="M829" s="91" t="n"/>
      <c r="N829" s="102" t="n"/>
      <c r="O829" s="102" t="n"/>
      <c r="P829" s="102" t="n"/>
      <c r="Q829" s="102" t="n"/>
      <c r="R829" s="102" t="n"/>
      <c r="S829" s="102" t="n"/>
      <c r="T829" s="102" t="n"/>
      <c r="U829" s="102" t="n"/>
      <c r="V829" s="102" t="n"/>
      <c r="W829" s="102" t="n"/>
      <c r="X829" s="102" t="n"/>
      <c r="Y829" s="102" t="n"/>
      <c r="Z829" s="102" t="n"/>
      <c r="AA829" s="102" t="n"/>
      <c r="AB829" s="102" t="n"/>
      <c r="AC829" s="102" t="n"/>
      <c r="AD829" s="102" t="n"/>
    </row>
    <row r="830" ht="15.75" customHeight="1" s="205">
      <c r="A830" s="102" t="n"/>
      <c r="B830" s="147" t="n"/>
      <c r="C830" s="144" t="n"/>
      <c r="D830" s="144" t="n"/>
      <c r="E830" s="144" t="n"/>
      <c r="F830" s="144" t="n"/>
      <c r="G830" s="144" t="n"/>
      <c r="H830" s="141">
        <f>IF(K830&lt;&gt;"", HYPERLINK("https://chatgpt.com/?prompt=" &amp; SUBSTITUTE(SUBSTITUTE(K830, " ", "+"), "&amp;", "dan") &amp; "&amp;force-refresh=true&amp;timestamp=" &amp; TEXT(NOW(), "yyyymmddhhmmss"), "👉 Klik untuk Generate Script! 🔥"), "")</f>
        <v/>
      </c>
      <c r="I830" s="144" t="n"/>
      <c r="J830" s="148" t="n"/>
      <c r="K830" s="140">
        <f>IF(AND(B830&lt;&gt;"", C830&lt;&gt;"", D830&lt;&gt;"", E830&lt;&gt;"", F830&lt;&gt;"", G830&lt;&gt;"", J830&lt;&gt;"", 'CONTENT PILLAR MAPPING'!C732&lt;&gt;"", 'CONTENT PILLAR MAPPING'!E732&lt;&gt;"", 'CONTENT PILLAR MAPPING'!F732&lt;&gt;"", 'CONTENT PILLAR MAPPING'!C735&lt;&gt;"", 'CONTENT PILLAR MAPPING'!C740&lt;&gt;"", 'CONTENT PILLAR MAPPING'!D740&lt;&gt;"", 'CONTENT PILLAR MAPPING'!E740&lt;&gt;"", 'CONTENT PILLAR MAPPING'!D748&lt;&gt;"", 'CONTENT PILLAR MAPPING'!D749&lt;&gt;""),
CONCATENATE(
"Sebagai seorang top konten kreator dengan niche utama '", 'CONTENT PILLAR MAPPING'!C732, "', spesifik kategori '", 'CONTENT PILLAR MAPPING'!E732, "', dan super spesifik '", 'CONTENT PILLAR MAPPING'!F732, "', yang dikenal sebagai '", 'CONTENT PILLAR MAPPING'!C735, "'.", CHAR(10),
"Saya memiliki Tone of Voice: '", 'CONTENT PILLAR MAPPING'!C740, "', Brand Archetype: '", 'CONTENT PILLAR MAPPING'!D740, "', dan Deskripsi Gaya Komunikasi: '", 'CONTENT PILLAR MAPPING'!E740, "'.", CHAR(10),
"Target audiens saya adalah: '", 'CONTENT PILLAR MAPPING'!D748, "', dengan segmentasi audiens: '", 'CONTENT PILLAR MAPPING'!D749, "'.", CHAR(10), CHAR(10),
"Mohon buatkan script konten yang **sangat powerful, menarik, inovatif, dan siap pakai** dengan judul ide '", B830, "'.", CHAR(10),
"Konten ini memiliki pilar '", C830, "', nilai tambah utama '", F830, "', dan akan menggunakan storytelling framework '", G830, "'.", CHAR(10),
"Gambaran singkat ide kontennya adalah: '", J830, "'.", CHAR(10),
"Konten ini akan diunggah di platform '", E830, "' dengan format '", D830,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MAPPING'!C735, "'.** Sesuaikan dengan gaya komunikasi saya, dengan fokus pada nilai tambah '", F830,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MAPPING'!D748, ", khusus ", 'CONTENT PILLAR MAPPING'!D749, ") dan membantu mereka menyelesaikan masalah atau mencapai tujuan mereka.", CHAR(10),
"✔ Membantuku membangun personal branding yang kuat dan sustainable, sesuai dengan Positioning saya sebagai '", 'CONTENT PILLAR MAPPING'!C735, "' dan Brand Archetype '", 'CONTENT PILLAR MAPPING'!D740, "'.", CHAR(10),
"✔ Kemas dalam bentuk tabel agar rapi, mudah di baca dan dipahami, dengan kolom 'Judul Konten', 'Pilar', 'Format', 'Draft Script', 'CTA', 'Saran Visual', dan 'Full Caption'. (Kosongkan kolom Link Prompt jika ada)."
),
"")</f>
        <v/>
      </c>
      <c r="L830" s="199" t="n"/>
      <c r="M830" s="199" t="n"/>
      <c r="N830" s="102" t="n"/>
      <c r="O830" s="102" t="n"/>
      <c r="P830" s="102" t="n"/>
      <c r="Q830" s="102" t="n"/>
      <c r="R830" s="102" t="n"/>
      <c r="S830" s="102" t="n"/>
      <c r="T830" s="102" t="n"/>
      <c r="U830" s="102" t="n"/>
      <c r="V830" s="102" t="n"/>
      <c r="W830" s="102" t="n"/>
      <c r="X830" s="102" t="n"/>
      <c r="Y830" s="102" t="n"/>
      <c r="Z830" s="102" t="n"/>
      <c r="AA830" s="102" t="n"/>
      <c r="AB830" s="102" t="n"/>
      <c r="AC830" s="102" t="n"/>
      <c r="AD830" s="102" t="n"/>
    </row>
    <row r="831" ht="15.75" customHeight="1" s="205">
      <c r="A831" s="102" t="n"/>
      <c r="B831" s="142" t="n"/>
      <c r="C831" s="143" t="n"/>
      <c r="D831" s="143" t="n"/>
      <c r="E831" s="143" t="n"/>
      <c r="F831" s="143" t="n"/>
      <c r="G831" s="144" t="n"/>
      <c r="H831" s="145">
        <f>IF(K831&lt;&gt;"", HYPERLINK("https://chatgpt.com/?prompt=" &amp; SUBSTITUTE(SUBSTITUTE(K831, " ", "+"), "&amp;", "dan") &amp; "&amp;force-refresh=true&amp;timestamp=" &amp; TEXT(NOW(), "yyyymmddhhmmss"), "👉 Klik untuk Generate Script! 🔥"), "")</f>
        <v/>
      </c>
      <c r="I831" s="143" t="n"/>
      <c r="J831" s="146" t="n"/>
      <c r="K831" s="130">
        <f>IF(AND(B831&lt;&gt;"", C831&lt;&gt;"", D831&lt;&gt;"", E831&lt;&gt;"", F831&lt;&gt;"", G831&lt;&gt;"", J831&lt;&gt;"", 'CONTENT PILLAR MAPPING'!C734&lt;&gt;"", 'CONTENT PILLAR MAPPING'!E734&lt;&gt;"", 'CONTENT PILLAR MAPPING'!F734&lt;&gt;"", 'CONTENT PILLAR MAPPING'!C737&lt;&gt;"", 'CONTENT PILLAR MAPPING'!C742&lt;&gt;"", 'CONTENT PILLAR MAPPING'!D742&lt;&gt;"", 'CONTENT PILLAR MAPPING'!E742&lt;&gt;"", 'CONTENT PILLAR MAPPING'!D750&lt;&gt;"", 'CONTENT PILLAR MAPPING'!D751&lt;&gt;""),
CONCATENATE(
"Sebagai seorang top konten kreator dengan niche utama '", 'CONTENT PILLAR MAPPING'!C734, "', spesifik kategori '", 'CONTENT PILLAR MAPPING'!E734, "', dan super spesifik '", 'CONTENT PILLAR MAPPING'!F734, "', yang dikenal sebagai '", 'CONTENT PILLAR MAPPING'!C737, "'.", CHAR(10),
"Saya memiliki Tone of Voice: '", 'CONTENT PILLAR MAPPING'!C742, "', Brand Archetype: '", 'CONTENT PILLAR MAPPING'!D742, "', dan Deskripsi Gaya Komunikasi: '", 'CONTENT PILLAR MAPPING'!E742, "'.", CHAR(10),
"Target audiens saya adalah: '", 'CONTENT PILLAR MAPPING'!D750, "', dengan segmentasi audiens: '", 'CONTENT PILLAR MAPPING'!D751, "'.", CHAR(10), CHAR(10),
"Mohon buatkan script konten yang **sangat powerful, menarik, inovatif, dan siap pakai** dengan judul ide '", B831, "'.", CHAR(10),
"Konten ini memiliki pilar '", C831, "', nilai tambah utama '", F831, "', dan akan menggunakan storytelling framework '", G831, "'.", CHAR(10),
"Gambaran singkat ide kontennya adalah: '", J831, "'.", CHAR(10),
"Konten ini akan diunggah di platform '", E831, "' dengan format '", D831,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MAPPING'!C737, "'.** Sesuaikan dengan gaya komunikasi saya, dengan fokus pada nilai tambah '", F831,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MAPPING'!D750, ", khusus ", 'CONTENT PILLAR MAPPING'!D751, ") dan membantu mereka menyelesaikan masalah atau mencapai tujuan mereka.", CHAR(10),
"✔ Membantuku membangun personal branding yang kuat dan sustainable, sesuai dengan Positioning saya sebagai '", 'CONTENT PILLAR MAPPING'!C737, "' dan Brand Archetype '", 'CONTENT PILLAR MAPPING'!D742, "'.", CHAR(10),
"✔ Kemas dalam bentuk tabel agar rapi, mudah di baca dan dipahami, dengan kolom 'Judul Konten', 'Pilar', 'Format', 'Draft Script', 'CTA', 'Saran Visual', dan 'Full Caption'. (Kosongkan kolom Link Prompt jika ada)."
),
"")</f>
        <v/>
      </c>
      <c r="L831" s="91" t="n"/>
      <c r="M831" s="91" t="n"/>
      <c r="N831" s="102" t="n"/>
      <c r="O831" s="102" t="n"/>
      <c r="P831" s="102" t="n"/>
      <c r="Q831" s="102" t="n"/>
      <c r="R831" s="102" t="n"/>
      <c r="S831" s="102" t="n"/>
      <c r="T831" s="102" t="n"/>
      <c r="U831" s="102" t="n"/>
      <c r="V831" s="102" t="n"/>
      <c r="W831" s="102" t="n"/>
      <c r="X831" s="102" t="n"/>
      <c r="Y831" s="102" t="n"/>
      <c r="Z831" s="102" t="n"/>
      <c r="AA831" s="102" t="n"/>
      <c r="AB831" s="102" t="n"/>
      <c r="AC831" s="102" t="n"/>
      <c r="AD831" s="102" t="n"/>
    </row>
    <row r="832" ht="15.75" customHeight="1" s="205">
      <c r="A832" s="102" t="n"/>
      <c r="B832" s="147" t="n"/>
      <c r="C832" s="144" t="n"/>
      <c r="D832" s="144" t="n"/>
      <c r="E832" s="144" t="n"/>
      <c r="F832" s="144" t="n"/>
      <c r="G832" s="144" t="n"/>
      <c r="H832" s="141">
        <f>IF(K832&lt;&gt;"", HYPERLINK("https://chatgpt.com/?prompt=" &amp; SUBSTITUTE(SUBSTITUTE(K832, " ", "+"), "&amp;", "dan") &amp; "&amp;force-refresh=true&amp;timestamp=" &amp; TEXT(NOW(), "yyyymmddhhmmss"), "👉 Klik untuk Generate Script! 🔥"), "")</f>
        <v/>
      </c>
      <c r="I832" s="144" t="n"/>
      <c r="J832" s="148" t="n"/>
      <c r="K832" s="140">
        <f>IF(AND(B832&lt;&gt;"", C832&lt;&gt;"", D832&lt;&gt;"", E832&lt;&gt;"", F832&lt;&gt;"", G832&lt;&gt;"", J832&lt;&gt;"", 'CONTENT PILLAR MAPPING'!C734&lt;&gt;"", 'CONTENT PILLAR MAPPING'!E734&lt;&gt;"", 'CONTENT PILLAR MAPPING'!F734&lt;&gt;"", 'CONTENT PILLAR MAPPING'!C737&lt;&gt;"", 'CONTENT PILLAR MAPPING'!C742&lt;&gt;"", 'CONTENT PILLAR MAPPING'!D742&lt;&gt;"", 'CONTENT PILLAR MAPPING'!E742&lt;&gt;"", 'CONTENT PILLAR MAPPING'!D750&lt;&gt;"", 'CONTENT PILLAR MAPPING'!D751&lt;&gt;""),
CONCATENATE(
"Sebagai seorang top konten kreator dengan niche utama '", 'CONTENT PILLAR MAPPING'!C734, "', spesifik kategori '", 'CONTENT PILLAR MAPPING'!E734, "', dan super spesifik '", 'CONTENT PILLAR MAPPING'!F734, "', yang dikenal sebagai '", 'CONTENT PILLAR MAPPING'!C737, "'.", CHAR(10),
"Saya memiliki Tone of Voice: '", 'CONTENT PILLAR MAPPING'!C742, "', Brand Archetype: '", 'CONTENT PILLAR MAPPING'!D742, "', dan Deskripsi Gaya Komunikasi: '", 'CONTENT PILLAR MAPPING'!E742, "'.", CHAR(10),
"Target audiens saya adalah: '", 'CONTENT PILLAR MAPPING'!D750, "', dengan segmentasi audiens: '", 'CONTENT PILLAR MAPPING'!D751, "'.", CHAR(10), CHAR(10),
"Mohon buatkan script konten yang **sangat powerful, menarik, inovatif, dan siap pakai** dengan judul ide '", B832, "'.", CHAR(10),
"Konten ini memiliki pilar '", C832, "', nilai tambah utama '", F832, "', dan akan menggunakan storytelling framework '", G832, "'.", CHAR(10),
"Gambaran singkat ide kontennya adalah: '", J832, "'.", CHAR(10),
"Konten ini akan diunggah di platform '", E832, "' dengan format '", D832,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MAPPING'!C737, "'.** Sesuaikan dengan gaya komunikasi saya, dengan fokus pada nilai tambah '", F832,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MAPPING'!D750, ", khusus ", 'CONTENT PILLAR MAPPING'!D751, ") dan membantu mereka menyelesaikan masalah atau mencapai tujuan mereka.", CHAR(10),
"✔ Membantuku membangun personal branding yang kuat dan sustainable, sesuai dengan Positioning saya sebagai '", 'CONTENT PILLAR MAPPING'!C737, "' dan Brand Archetype '", 'CONTENT PILLAR MAPPING'!D742, "'.", CHAR(10),
"✔ Kemas dalam bentuk tabel agar rapi, mudah di baca dan dipahami, dengan kolom 'Judul Konten', 'Pilar', 'Format', 'Draft Script', 'CTA', 'Saran Visual', dan 'Full Caption'. (Kosongkan kolom Link Prompt jika ada)."
),
"")</f>
        <v/>
      </c>
      <c r="L832" s="199" t="n"/>
      <c r="M832" s="199" t="n"/>
      <c r="N832" s="102" t="n"/>
      <c r="O832" s="102" t="n"/>
      <c r="P832" s="102" t="n"/>
      <c r="Q832" s="102" t="n"/>
      <c r="R832" s="102" t="n"/>
      <c r="S832" s="102" t="n"/>
      <c r="T832" s="102" t="n"/>
      <c r="U832" s="102" t="n"/>
      <c r="V832" s="102" t="n"/>
      <c r="W832" s="102" t="n"/>
      <c r="X832" s="102" t="n"/>
      <c r="Y832" s="102" t="n"/>
      <c r="Z832" s="102" t="n"/>
      <c r="AA832" s="102" t="n"/>
      <c r="AB832" s="102" t="n"/>
      <c r="AC832" s="102" t="n"/>
      <c r="AD832" s="102" t="n"/>
    </row>
    <row r="833" ht="15.75" customHeight="1" s="205">
      <c r="A833" s="102" t="n"/>
      <c r="B833" s="142" t="n"/>
      <c r="C833" s="143" t="n"/>
      <c r="D833" s="143" t="n"/>
      <c r="E833" s="143" t="n"/>
      <c r="F833" s="143" t="n"/>
      <c r="G833" s="144" t="n"/>
      <c r="H833" s="145">
        <f>IF(K833&lt;&gt;"", HYPERLINK("https://chatgpt.com/?prompt=" &amp; SUBSTITUTE(SUBSTITUTE(K833, " ", "+"), "&amp;", "dan") &amp; "&amp;force-refresh=true&amp;timestamp=" &amp; TEXT(NOW(), "yyyymmddhhmmss"), "👉 Klik untuk Generate Script! 🔥"), "")</f>
        <v/>
      </c>
      <c r="I833" s="143" t="n"/>
      <c r="J833" s="146" t="n"/>
      <c r="K833" s="130">
        <f>IF(AND(B833&lt;&gt;"", C833&lt;&gt;"", D833&lt;&gt;"", E833&lt;&gt;"", F833&lt;&gt;"", G833&lt;&gt;"", J833&lt;&gt;"", 'CONTENT PILLAR MAPPING'!C736&lt;&gt;"", 'CONTENT PILLAR MAPPING'!E736&lt;&gt;"", 'CONTENT PILLAR MAPPING'!F736&lt;&gt;"", 'CONTENT PILLAR MAPPING'!C739&lt;&gt;"", 'CONTENT PILLAR MAPPING'!C744&lt;&gt;"", 'CONTENT PILLAR MAPPING'!D744&lt;&gt;"", 'CONTENT PILLAR MAPPING'!E744&lt;&gt;"", 'CONTENT PILLAR MAPPING'!D752&lt;&gt;"", 'CONTENT PILLAR MAPPING'!D753&lt;&gt;""),
CONCATENATE(
"Sebagai seorang top konten kreator dengan niche utama '", 'CONTENT PILLAR MAPPING'!C736, "', spesifik kategori '", 'CONTENT PILLAR MAPPING'!E736, "', dan super spesifik '", 'CONTENT PILLAR MAPPING'!F736, "', yang dikenal sebagai '", 'CONTENT PILLAR MAPPING'!C739, "'.", CHAR(10),
"Saya memiliki Tone of Voice: '", 'CONTENT PILLAR MAPPING'!C744, "', Brand Archetype: '", 'CONTENT PILLAR MAPPING'!D744, "', dan Deskripsi Gaya Komunikasi: '", 'CONTENT PILLAR MAPPING'!E744, "'.", CHAR(10),
"Target audiens saya adalah: '", 'CONTENT PILLAR MAPPING'!D752, "', dengan segmentasi audiens: '", 'CONTENT PILLAR MAPPING'!D753, "'.", CHAR(10), CHAR(10),
"Mohon buatkan script konten yang **sangat powerful, menarik, inovatif, dan siap pakai** dengan judul ide '", B833, "'.", CHAR(10),
"Konten ini memiliki pilar '", C833, "', nilai tambah utama '", F833, "', dan akan menggunakan storytelling framework '", G833, "'.", CHAR(10),
"Gambaran singkat ide kontennya adalah: '", J833, "'.", CHAR(10),
"Konten ini akan diunggah di platform '", E833, "' dengan format '", D833,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MAPPING'!C739, "'.** Sesuaikan dengan gaya komunikasi saya, dengan fokus pada nilai tambah '", F833,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MAPPING'!D752, ", khusus ", 'CONTENT PILLAR MAPPING'!D753, ") dan membantu mereka menyelesaikan masalah atau mencapai tujuan mereka.", CHAR(10),
"✔ Membantuku membangun personal branding yang kuat dan sustainable, sesuai dengan Positioning saya sebagai '", 'CONTENT PILLAR MAPPING'!C739, "' dan Brand Archetype '", 'CONTENT PILLAR MAPPING'!D744, "'.", CHAR(10),
"✔ Kemas dalam bentuk tabel agar rapi, mudah di baca dan dipahami, dengan kolom 'Judul Konten', 'Pilar', 'Format', 'Draft Script', 'CTA', 'Saran Visual', dan 'Full Caption'. (Kosongkan kolom Link Prompt jika ada)."
),
"")</f>
        <v/>
      </c>
      <c r="L833" s="91" t="n"/>
      <c r="M833" s="91" t="n"/>
      <c r="N833" s="102" t="n"/>
      <c r="O833" s="102" t="n"/>
      <c r="P833" s="102" t="n"/>
      <c r="Q833" s="102" t="n"/>
      <c r="R833" s="102" t="n"/>
      <c r="S833" s="102" t="n"/>
      <c r="T833" s="102" t="n"/>
      <c r="U833" s="102" t="n"/>
      <c r="V833" s="102" t="n"/>
      <c r="W833" s="102" t="n"/>
      <c r="X833" s="102" t="n"/>
      <c r="Y833" s="102" t="n"/>
      <c r="Z833" s="102" t="n"/>
      <c r="AA833" s="102" t="n"/>
      <c r="AB833" s="102" t="n"/>
      <c r="AC833" s="102" t="n"/>
      <c r="AD833" s="102" t="n"/>
    </row>
    <row r="834" ht="15.75" customHeight="1" s="205">
      <c r="A834" s="102" t="n"/>
      <c r="B834" s="147" t="n"/>
      <c r="C834" s="144" t="n"/>
      <c r="D834" s="144" t="n"/>
      <c r="E834" s="144" t="n"/>
      <c r="F834" s="144" t="n"/>
      <c r="G834" s="144" t="n"/>
      <c r="H834" s="141">
        <f>IF(K834&lt;&gt;"", HYPERLINK("https://chatgpt.com/?prompt=" &amp; SUBSTITUTE(SUBSTITUTE(K834, " ", "+"), "&amp;", "dan") &amp; "&amp;force-refresh=true&amp;timestamp=" &amp; TEXT(NOW(), "yyyymmddhhmmss"), "👉 Klik untuk Generate Script! 🔥"), "")</f>
        <v/>
      </c>
      <c r="I834" s="144" t="n"/>
      <c r="J834" s="148" t="n"/>
      <c r="K834" s="140">
        <f>IF(AND(B834&lt;&gt;"", C834&lt;&gt;"", D834&lt;&gt;"", E834&lt;&gt;"", F834&lt;&gt;"", G834&lt;&gt;"", J834&lt;&gt;"", 'CONTENT PILLAR MAPPING'!C736&lt;&gt;"", 'CONTENT PILLAR MAPPING'!E736&lt;&gt;"", 'CONTENT PILLAR MAPPING'!F736&lt;&gt;"", 'CONTENT PILLAR MAPPING'!C739&lt;&gt;"", 'CONTENT PILLAR MAPPING'!C744&lt;&gt;"", 'CONTENT PILLAR MAPPING'!D744&lt;&gt;"", 'CONTENT PILLAR MAPPING'!E744&lt;&gt;"", 'CONTENT PILLAR MAPPING'!D752&lt;&gt;"", 'CONTENT PILLAR MAPPING'!D753&lt;&gt;""),
CONCATENATE(
"Sebagai seorang top konten kreator dengan niche utama '", 'CONTENT PILLAR MAPPING'!C736, "', spesifik kategori '", 'CONTENT PILLAR MAPPING'!E736, "', dan super spesifik '", 'CONTENT PILLAR MAPPING'!F736, "', yang dikenal sebagai '", 'CONTENT PILLAR MAPPING'!C739, "'.", CHAR(10),
"Saya memiliki Tone of Voice: '", 'CONTENT PILLAR MAPPING'!C744, "', Brand Archetype: '", 'CONTENT PILLAR MAPPING'!D744, "', dan Deskripsi Gaya Komunikasi: '", 'CONTENT PILLAR MAPPING'!E744, "'.", CHAR(10),
"Target audiens saya adalah: '", 'CONTENT PILLAR MAPPING'!D752, "', dengan segmentasi audiens: '", 'CONTENT PILLAR MAPPING'!D753, "'.", CHAR(10), CHAR(10),
"Mohon buatkan script konten yang **sangat powerful, menarik, inovatif, dan siap pakai** dengan judul ide '", B834, "'.", CHAR(10),
"Konten ini memiliki pilar '", C834, "', nilai tambah utama '", F834, "', dan akan menggunakan storytelling framework '", G834, "'.", CHAR(10),
"Gambaran singkat ide kontennya adalah: '", J834, "'.", CHAR(10),
"Konten ini akan diunggah di platform '", E834, "' dengan format '", D834,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MAPPING'!C739, "'.** Sesuaikan dengan gaya komunikasi saya, dengan fokus pada nilai tambah '", F834,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MAPPING'!D752, ", khusus ", 'CONTENT PILLAR MAPPING'!D753, ") dan membantu mereka menyelesaikan masalah atau mencapai tujuan mereka.", CHAR(10),
"✔ Membantuku membangun personal branding yang kuat dan sustainable, sesuai dengan Positioning saya sebagai '", 'CONTENT PILLAR MAPPING'!C739, "' dan Brand Archetype '", 'CONTENT PILLAR MAPPING'!D744, "'.", CHAR(10),
"✔ Kemas dalam bentuk tabel agar rapi, mudah di baca dan dipahami, dengan kolom 'Judul Konten', 'Pilar', 'Format', 'Draft Script', 'CTA', 'Saran Visual', dan 'Full Caption'. (Kosongkan kolom Link Prompt jika ada)."
),
"")</f>
        <v/>
      </c>
      <c r="L834" s="199" t="n"/>
      <c r="M834" s="199" t="n"/>
      <c r="N834" s="102" t="n"/>
      <c r="O834" s="102" t="n"/>
      <c r="P834" s="102" t="n"/>
      <c r="Q834" s="102" t="n"/>
      <c r="R834" s="102" t="n"/>
      <c r="S834" s="102" t="n"/>
      <c r="T834" s="102" t="n"/>
      <c r="U834" s="102" t="n"/>
      <c r="V834" s="102" t="n"/>
      <c r="W834" s="102" t="n"/>
      <c r="X834" s="102" t="n"/>
      <c r="Y834" s="102" t="n"/>
      <c r="Z834" s="102" t="n"/>
      <c r="AA834" s="102" t="n"/>
      <c r="AB834" s="102" t="n"/>
      <c r="AC834" s="102" t="n"/>
      <c r="AD834" s="102" t="n"/>
    </row>
    <row r="835" ht="15.75" customHeight="1" s="205">
      <c r="A835" s="102" t="n"/>
      <c r="B835" s="142" t="n"/>
      <c r="C835" s="143" t="n"/>
      <c r="D835" s="143" t="n"/>
      <c r="E835" s="143" t="n"/>
      <c r="F835" s="143" t="n"/>
      <c r="G835" s="144" t="n"/>
      <c r="H835" s="145">
        <f>IF(K835&lt;&gt;"", HYPERLINK("https://chatgpt.com/?prompt=" &amp; SUBSTITUTE(SUBSTITUTE(K835, " ", "+"), "&amp;", "dan") &amp; "&amp;force-refresh=true&amp;timestamp=" &amp; TEXT(NOW(), "yyyymmddhhmmss"), "👉 Klik untuk Generate Script! 🔥"), "")</f>
        <v/>
      </c>
      <c r="I835" s="143" t="n"/>
      <c r="J835" s="146" t="n"/>
      <c r="K835" s="130">
        <f>IF(AND(B835&lt;&gt;"", C835&lt;&gt;"", D835&lt;&gt;"", E835&lt;&gt;"", F835&lt;&gt;"", G835&lt;&gt;"", J835&lt;&gt;"", 'CONTENT PILLAR MAPPING'!C738&lt;&gt;"", 'CONTENT PILLAR MAPPING'!E738&lt;&gt;"", 'CONTENT PILLAR MAPPING'!F738&lt;&gt;"", 'CONTENT PILLAR MAPPING'!C741&lt;&gt;"", 'CONTENT PILLAR MAPPING'!C746&lt;&gt;"", 'CONTENT PILLAR MAPPING'!D746&lt;&gt;"", 'CONTENT PILLAR MAPPING'!E746&lt;&gt;"", 'CONTENT PILLAR MAPPING'!D754&lt;&gt;"", 'CONTENT PILLAR MAPPING'!D755&lt;&gt;""),
CONCATENATE(
"Sebagai seorang top konten kreator dengan niche utama '", 'CONTENT PILLAR MAPPING'!C738, "', spesifik kategori '", 'CONTENT PILLAR MAPPING'!E738, "', dan super spesifik '", 'CONTENT PILLAR MAPPING'!F738, "', yang dikenal sebagai '", 'CONTENT PILLAR MAPPING'!C741, "'.", CHAR(10),
"Saya memiliki Tone of Voice: '", 'CONTENT PILLAR MAPPING'!C746, "', Brand Archetype: '", 'CONTENT PILLAR MAPPING'!D746, "', dan Deskripsi Gaya Komunikasi: '", 'CONTENT PILLAR MAPPING'!E746, "'.", CHAR(10),
"Target audiens saya adalah: '", 'CONTENT PILLAR MAPPING'!D754, "', dengan segmentasi audiens: '", 'CONTENT PILLAR MAPPING'!D755, "'.", CHAR(10), CHAR(10),
"Mohon buatkan script konten yang **sangat powerful, menarik, inovatif, dan siap pakai** dengan judul ide '", B835, "'.", CHAR(10),
"Konten ini memiliki pilar '", C835, "', nilai tambah utama '", F835, "', dan akan menggunakan storytelling framework '", G835, "'.", CHAR(10),
"Gambaran singkat ide kontennya adalah: '", J835, "'.", CHAR(10),
"Konten ini akan diunggah di platform '", E835, "' dengan format '", D835,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MAPPING'!C741, "'.** Sesuaikan dengan gaya komunikasi saya, dengan fokus pada nilai tambah '", F835,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MAPPING'!D754, ", khusus ", 'CONTENT PILLAR MAPPING'!D755, ") dan membantu mereka menyelesaikan masalah atau mencapai tujuan mereka.", CHAR(10),
"✔ Membantuku membangun personal branding yang kuat dan sustainable, sesuai dengan Positioning saya sebagai '", 'CONTENT PILLAR MAPPING'!C741, "' dan Brand Archetype '", 'CONTENT PILLAR MAPPING'!D746, "'.", CHAR(10),
"✔ Kemas dalam bentuk tabel agar rapi, mudah di baca dan dipahami, dengan kolom 'Judul Konten', 'Pilar', 'Format', 'Draft Script', 'CTA', 'Saran Visual', dan 'Full Caption'. (Kosongkan kolom Link Prompt jika ada)."
),
"")</f>
        <v/>
      </c>
      <c r="L835" s="91" t="n"/>
      <c r="M835" s="91" t="n"/>
      <c r="N835" s="102" t="n"/>
      <c r="O835" s="102" t="n"/>
      <c r="P835" s="102" t="n"/>
      <c r="Q835" s="102" t="n"/>
      <c r="R835" s="102" t="n"/>
      <c r="S835" s="102" t="n"/>
      <c r="T835" s="102" t="n"/>
      <c r="U835" s="102" t="n"/>
      <c r="V835" s="102" t="n"/>
      <c r="W835" s="102" t="n"/>
      <c r="X835" s="102" t="n"/>
      <c r="Y835" s="102" t="n"/>
      <c r="Z835" s="102" t="n"/>
      <c r="AA835" s="102" t="n"/>
      <c r="AB835" s="102" t="n"/>
      <c r="AC835" s="102" t="n"/>
      <c r="AD835" s="102" t="n"/>
    </row>
    <row r="836" ht="15.75" customHeight="1" s="205">
      <c r="A836" s="102" t="n"/>
      <c r="B836" s="147" t="n"/>
      <c r="C836" s="144" t="n"/>
      <c r="D836" s="144" t="n"/>
      <c r="E836" s="144" t="n"/>
      <c r="F836" s="144" t="n"/>
      <c r="G836" s="144" t="n"/>
      <c r="H836" s="141">
        <f>IF(K836&lt;&gt;"", HYPERLINK("https://chatgpt.com/?prompt=" &amp; SUBSTITUTE(SUBSTITUTE(K836, " ", "+"), "&amp;", "dan") &amp; "&amp;force-refresh=true&amp;timestamp=" &amp; TEXT(NOW(), "yyyymmddhhmmss"), "👉 Klik untuk Generate Script! 🔥"), "")</f>
        <v/>
      </c>
      <c r="I836" s="144" t="n"/>
      <c r="J836" s="148" t="n"/>
      <c r="K836" s="140">
        <f>IF(AND(B836&lt;&gt;"", C836&lt;&gt;"", D836&lt;&gt;"", E836&lt;&gt;"", F836&lt;&gt;"", G836&lt;&gt;"", J836&lt;&gt;"", 'CONTENT PILLAR MAPPING'!C738&lt;&gt;"", 'CONTENT PILLAR MAPPING'!E738&lt;&gt;"", 'CONTENT PILLAR MAPPING'!F738&lt;&gt;"", 'CONTENT PILLAR MAPPING'!C741&lt;&gt;"", 'CONTENT PILLAR MAPPING'!C746&lt;&gt;"", 'CONTENT PILLAR MAPPING'!D746&lt;&gt;"", 'CONTENT PILLAR MAPPING'!E746&lt;&gt;"", 'CONTENT PILLAR MAPPING'!D754&lt;&gt;"", 'CONTENT PILLAR MAPPING'!D755&lt;&gt;""),
CONCATENATE(
"Sebagai seorang top konten kreator dengan niche utama '", 'CONTENT PILLAR MAPPING'!C738, "', spesifik kategori '", 'CONTENT PILLAR MAPPING'!E738, "', dan super spesifik '", 'CONTENT PILLAR MAPPING'!F738, "', yang dikenal sebagai '", 'CONTENT PILLAR MAPPING'!C741, "'.", CHAR(10),
"Saya memiliki Tone of Voice: '", 'CONTENT PILLAR MAPPING'!C746, "', Brand Archetype: '", 'CONTENT PILLAR MAPPING'!D746, "', dan Deskripsi Gaya Komunikasi: '", 'CONTENT PILLAR MAPPING'!E746, "'.", CHAR(10),
"Target audiens saya adalah: '", 'CONTENT PILLAR MAPPING'!D754, "', dengan segmentasi audiens: '", 'CONTENT PILLAR MAPPING'!D755, "'.", CHAR(10), CHAR(10),
"Mohon buatkan script konten yang **sangat powerful, menarik, inovatif, dan siap pakai** dengan judul ide '", B836, "'.", CHAR(10),
"Konten ini memiliki pilar '", C836, "', nilai tambah utama '", F836, "', dan akan menggunakan storytelling framework '", G836, "'.", CHAR(10),
"Gambaran singkat ide kontennya adalah: '", J836, "'.", CHAR(10),
"Konten ini akan diunggah di platform '", E836, "' dengan format '", D836,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MAPPING'!C741, "'.** Sesuaikan dengan gaya komunikasi saya, dengan fokus pada nilai tambah '", F836,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MAPPING'!D754, ", khusus ", 'CONTENT PILLAR MAPPING'!D755, ") dan membantu mereka menyelesaikan masalah atau mencapai tujuan mereka.", CHAR(10),
"✔ Membantuku membangun personal branding yang kuat dan sustainable, sesuai dengan Positioning saya sebagai '", 'CONTENT PILLAR MAPPING'!C741, "' dan Brand Archetype '", 'CONTENT PILLAR MAPPING'!D746, "'.", CHAR(10),
"✔ Kemas dalam bentuk tabel agar rapi, mudah di baca dan dipahami, dengan kolom 'Judul Konten', 'Pilar', 'Format', 'Draft Script', 'CTA', 'Saran Visual', dan 'Full Caption'. (Kosongkan kolom Link Prompt jika ada)."
),
"")</f>
        <v/>
      </c>
      <c r="L836" s="199" t="n"/>
      <c r="M836" s="199" t="n"/>
      <c r="N836" s="102" t="n"/>
      <c r="O836" s="102" t="n"/>
      <c r="P836" s="102" t="n"/>
      <c r="Q836" s="102" t="n"/>
      <c r="R836" s="102" t="n"/>
      <c r="S836" s="102" t="n"/>
      <c r="T836" s="102" t="n"/>
      <c r="U836" s="102" t="n"/>
      <c r="V836" s="102" t="n"/>
      <c r="W836" s="102" t="n"/>
      <c r="X836" s="102" t="n"/>
      <c r="Y836" s="102" t="n"/>
      <c r="Z836" s="102" t="n"/>
      <c r="AA836" s="102" t="n"/>
      <c r="AB836" s="102" t="n"/>
      <c r="AC836" s="102" t="n"/>
      <c r="AD836" s="102" t="n"/>
    </row>
    <row r="837" ht="15.75" customHeight="1" s="205">
      <c r="A837" s="102" t="n"/>
      <c r="B837" s="142" t="n"/>
      <c r="C837" s="143" t="n"/>
      <c r="D837" s="143" t="n"/>
      <c r="E837" s="143" t="n"/>
      <c r="F837" s="143" t="n"/>
      <c r="G837" s="144" t="n"/>
      <c r="H837" s="145">
        <f>IF(K837&lt;&gt;"", HYPERLINK("https://chatgpt.com/?prompt=" &amp; SUBSTITUTE(SUBSTITUTE(K837, " ", "+"), "&amp;", "dan") &amp; "&amp;force-refresh=true&amp;timestamp=" &amp; TEXT(NOW(), "yyyymmddhhmmss"), "👉 Klik untuk Generate Script! 🔥"), "")</f>
        <v/>
      </c>
      <c r="I837" s="143" t="n"/>
      <c r="J837" s="146" t="n"/>
      <c r="K837" s="130">
        <f>IF(AND(B837&lt;&gt;"", C837&lt;&gt;"", D837&lt;&gt;"", E837&lt;&gt;"", F837&lt;&gt;"", G837&lt;&gt;"", J837&lt;&gt;"", 'CONTENT PILLAR MAPPING'!C740&lt;&gt;"", 'CONTENT PILLAR MAPPING'!E740&lt;&gt;"", 'CONTENT PILLAR MAPPING'!F740&lt;&gt;"", 'CONTENT PILLAR MAPPING'!C743&lt;&gt;"", 'CONTENT PILLAR MAPPING'!C748&lt;&gt;"", 'CONTENT PILLAR MAPPING'!D748&lt;&gt;"", 'CONTENT PILLAR MAPPING'!E748&lt;&gt;"", 'CONTENT PILLAR MAPPING'!D756&lt;&gt;"", 'CONTENT PILLAR MAPPING'!D757&lt;&gt;""),
CONCATENATE(
"Sebagai seorang top konten kreator dengan niche utama '", 'CONTENT PILLAR MAPPING'!C740, "', spesifik kategori '", 'CONTENT PILLAR MAPPING'!E740, "', dan super spesifik '", 'CONTENT PILLAR MAPPING'!F740, "', yang dikenal sebagai '", 'CONTENT PILLAR MAPPING'!C743, "'.", CHAR(10),
"Saya memiliki Tone of Voice: '", 'CONTENT PILLAR MAPPING'!C748, "', Brand Archetype: '", 'CONTENT PILLAR MAPPING'!D748, "', dan Deskripsi Gaya Komunikasi: '", 'CONTENT PILLAR MAPPING'!E748, "'.", CHAR(10),
"Target audiens saya adalah: '", 'CONTENT PILLAR MAPPING'!D756, "', dengan segmentasi audiens: '", 'CONTENT PILLAR MAPPING'!D757, "'.", CHAR(10), CHAR(10),
"Mohon buatkan script konten yang **sangat powerful, menarik, inovatif, dan siap pakai** dengan judul ide '", B837, "'.", CHAR(10),
"Konten ini memiliki pilar '", C837, "', nilai tambah utama '", F837, "', dan akan menggunakan storytelling framework '", G837, "'.", CHAR(10),
"Gambaran singkat ide kontennya adalah: '", J837, "'.", CHAR(10),
"Konten ini akan diunggah di platform '", E837, "' dengan format '", D837,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MAPPING'!C743, "'.** Sesuaikan dengan gaya komunikasi saya, dengan fokus pada nilai tambah '", F837,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MAPPING'!D756, ", khusus ", 'CONTENT PILLAR MAPPING'!D757, ") dan membantu mereka menyelesaikan masalah atau mencapai tujuan mereka.", CHAR(10),
"✔ Membantuku membangun personal branding yang kuat dan sustainable, sesuai dengan Positioning saya sebagai '", 'CONTENT PILLAR MAPPING'!C743, "' dan Brand Archetype '", 'CONTENT PILLAR MAPPING'!D748, "'.", CHAR(10),
"✔ Kemas dalam bentuk tabel agar rapi, mudah di baca dan dipahami, dengan kolom 'Judul Konten', 'Pilar', 'Format', 'Draft Script', 'CTA', 'Saran Visual', dan 'Full Caption'. (Kosongkan kolom Link Prompt jika ada)."
),
"")</f>
        <v/>
      </c>
      <c r="L837" s="91" t="n"/>
      <c r="M837" s="91" t="n"/>
      <c r="N837" s="102" t="n"/>
      <c r="O837" s="102" t="n"/>
      <c r="P837" s="102" t="n"/>
      <c r="Q837" s="102" t="n"/>
      <c r="R837" s="102" t="n"/>
      <c r="S837" s="102" t="n"/>
      <c r="T837" s="102" t="n"/>
      <c r="U837" s="102" t="n"/>
      <c r="V837" s="102" t="n"/>
      <c r="W837" s="102" t="n"/>
      <c r="X837" s="102" t="n"/>
      <c r="Y837" s="102" t="n"/>
      <c r="Z837" s="102" t="n"/>
      <c r="AA837" s="102" t="n"/>
      <c r="AB837" s="102" t="n"/>
      <c r="AC837" s="102" t="n"/>
      <c r="AD837" s="102" t="n"/>
    </row>
    <row r="838" ht="15.75" customHeight="1" s="205">
      <c r="A838" s="102" t="n"/>
      <c r="B838" s="147" t="n"/>
      <c r="C838" s="144" t="n"/>
      <c r="D838" s="144" t="n"/>
      <c r="E838" s="144" t="n"/>
      <c r="F838" s="144" t="n"/>
      <c r="G838" s="144" t="n"/>
      <c r="H838" s="141">
        <f>IF(K838&lt;&gt;"", HYPERLINK("https://chatgpt.com/?prompt=" &amp; SUBSTITUTE(SUBSTITUTE(K838, " ", "+"), "&amp;", "dan") &amp; "&amp;force-refresh=true&amp;timestamp=" &amp; TEXT(NOW(), "yyyymmddhhmmss"), "👉 Klik untuk Generate Script! 🔥"), "")</f>
        <v/>
      </c>
      <c r="I838" s="144" t="n"/>
      <c r="J838" s="148" t="n"/>
      <c r="K838" s="140">
        <f>IF(AND(B838&lt;&gt;"", C838&lt;&gt;"", D838&lt;&gt;"", E838&lt;&gt;"", F838&lt;&gt;"", G838&lt;&gt;"", J838&lt;&gt;"", 'CONTENT PILLAR MAPPING'!C740&lt;&gt;"", 'CONTENT PILLAR MAPPING'!E740&lt;&gt;"", 'CONTENT PILLAR MAPPING'!F740&lt;&gt;"", 'CONTENT PILLAR MAPPING'!C743&lt;&gt;"", 'CONTENT PILLAR MAPPING'!C748&lt;&gt;"", 'CONTENT PILLAR MAPPING'!D748&lt;&gt;"", 'CONTENT PILLAR MAPPING'!E748&lt;&gt;"", 'CONTENT PILLAR MAPPING'!D756&lt;&gt;"", 'CONTENT PILLAR MAPPING'!D757&lt;&gt;""),
CONCATENATE(
"Sebagai seorang top konten kreator dengan niche utama '", 'CONTENT PILLAR MAPPING'!C740, "', spesifik kategori '", 'CONTENT PILLAR MAPPING'!E740, "', dan super spesifik '", 'CONTENT PILLAR MAPPING'!F740, "', yang dikenal sebagai '", 'CONTENT PILLAR MAPPING'!C743, "'.", CHAR(10),
"Saya memiliki Tone of Voice: '", 'CONTENT PILLAR MAPPING'!C748, "', Brand Archetype: '", 'CONTENT PILLAR MAPPING'!D748, "', dan Deskripsi Gaya Komunikasi: '", 'CONTENT PILLAR MAPPING'!E748, "'.", CHAR(10),
"Target audiens saya adalah: '", 'CONTENT PILLAR MAPPING'!D756, "', dengan segmentasi audiens: '", 'CONTENT PILLAR MAPPING'!D757, "'.", CHAR(10), CHAR(10),
"Mohon buatkan script konten yang **sangat powerful, menarik, inovatif, dan siap pakai** dengan judul ide '", B838, "'.", CHAR(10),
"Konten ini memiliki pilar '", C838, "', nilai tambah utama '", F838, "', dan akan menggunakan storytelling framework '", G838, "'.", CHAR(10),
"Gambaran singkat ide kontennya adalah: '", J838, "'.", CHAR(10),
"Konten ini akan diunggah di platform '", E838, "' dengan format '", D838,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MAPPING'!C743, "'.** Sesuaikan dengan gaya komunikasi saya, dengan fokus pada nilai tambah '", F838,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MAPPING'!D756, ", khusus ", 'CONTENT PILLAR MAPPING'!D757, ") dan membantu mereka menyelesaikan masalah atau mencapai tujuan mereka.", CHAR(10),
"✔ Membantuku membangun personal branding yang kuat dan sustainable, sesuai dengan Positioning saya sebagai '", 'CONTENT PILLAR MAPPING'!C743, "' dan Brand Archetype '", 'CONTENT PILLAR MAPPING'!D748, "'.", CHAR(10),
"✔ Kemas dalam bentuk tabel agar rapi, mudah di baca dan dipahami, dengan kolom 'Judul Konten', 'Pilar', 'Format', 'Draft Script', 'CTA', 'Saran Visual', dan 'Full Caption'. (Kosongkan kolom Link Prompt jika ada)."
),
"")</f>
        <v/>
      </c>
      <c r="L838" s="199" t="n"/>
      <c r="M838" s="199" t="n"/>
      <c r="N838" s="102" t="n"/>
      <c r="O838" s="102" t="n"/>
      <c r="P838" s="102" t="n"/>
      <c r="Q838" s="102" t="n"/>
      <c r="R838" s="102" t="n"/>
      <c r="S838" s="102" t="n"/>
      <c r="T838" s="102" t="n"/>
      <c r="U838" s="102" t="n"/>
      <c r="V838" s="102" t="n"/>
      <c r="W838" s="102" t="n"/>
      <c r="X838" s="102" t="n"/>
      <c r="Y838" s="102" t="n"/>
      <c r="Z838" s="102" t="n"/>
      <c r="AA838" s="102" t="n"/>
      <c r="AB838" s="102" t="n"/>
      <c r="AC838" s="102" t="n"/>
      <c r="AD838" s="102" t="n"/>
    </row>
    <row r="839" ht="15.75" customHeight="1" s="205">
      <c r="A839" s="102" t="n"/>
      <c r="B839" s="142" t="n"/>
      <c r="C839" s="143" t="n"/>
      <c r="D839" s="143" t="n"/>
      <c r="E839" s="143" t="n"/>
      <c r="F839" s="143" t="n"/>
      <c r="G839" s="144" t="n"/>
      <c r="H839" s="145">
        <f>IF(K839&lt;&gt;"", HYPERLINK("https://chatgpt.com/?prompt=" &amp; SUBSTITUTE(SUBSTITUTE(K839, " ", "+"), "&amp;", "dan") &amp; "&amp;force-refresh=true&amp;timestamp=" &amp; TEXT(NOW(), "yyyymmddhhmmss"), "👉 Klik untuk Generate Script! 🔥"), "")</f>
        <v/>
      </c>
      <c r="I839" s="143" t="n"/>
      <c r="J839" s="146" t="n"/>
      <c r="K839" s="130">
        <f>IF(AND(B839&lt;&gt;"", C839&lt;&gt;"", D839&lt;&gt;"", E839&lt;&gt;"", F839&lt;&gt;"", G839&lt;&gt;"", J839&lt;&gt;"", 'CONTENT PILLAR MAPPING'!C742&lt;&gt;"", 'CONTENT PILLAR MAPPING'!E742&lt;&gt;"", 'CONTENT PILLAR MAPPING'!F742&lt;&gt;"", 'CONTENT PILLAR MAPPING'!C745&lt;&gt;"", 'CONTENT PILLAR MAPPING'!C750&lt;&gt;"", 'CONTENT PILLAR MAPPING'!D750&lt;&gt;"", 'CONTENT PILLAR MAPPING'!E750&lt;&gt;"", 'CONTENT PILLAR MAPPING'!D758&lt;&gt;"", 'CONTENT PILLAR MAPPING'!D759&lt;&gt;""),
CONCATENATE(
"Sebagai seorang top konten kreator dengan niche utama '", 'CONTENT PILLAR MAPPING'!C742, "', spesifik kategori '", 'CONTENT PILLAR MAPPING'!E742, "', dan super spesifik '", 'CONTENT PILLAR MAPPING'!F742, "', yang dikenal sebagai '", 'CONTENT PILLAR MAPPING'!C745, "'.", CHAR(10),
"Saya memiliki Tone of Voice: '", 'CONTENT PILLAR MAPPING'!C750, "', Brand Archetype: '", 'CONTENT PILLAR MAPPING'!D750, "', dan Deskripsi Gaya Komunikasi: '", 'CONTENT PILLAR MAPPING'!E750, "'.", CHAR(10),
"Target audiens saya adalah: '", 'CONTENT PILLAR MAPPING'!D758, "', dengan segmentasi audiens: '", 'CONTENT PILLAR MAPPING'!D759, "'.", CHAR(10), CHAR(10),
"Mohon buatkan script konten yang **sangat powerful, menarik, inovatif, dan siap pakai** dengan judul ide '", B839, "'.", CHAR(10),
"Konten ini memiliki pilar '", C839, "', nilai tambah utama '", F839, "', dan akan menggunakan storytelling framework '", G839, "'.", CHAR(10),
"Gambaran singkat ide kontennya adalah: '", J839, "'.", CHAR(10),
"Konten ini akan diunggah di platform '", E839, "' dengan format '", D839,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MAPPING'!C745, "'.** Sesuaikan dengan gaya komunikasi saya, dengan fokus pada nilai tambah '", F839,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MAPPING'!D758, ", khusus ", 'CONTENT PILLAR MAPPING'!D759, ") dan membantu mereka menyelesaikan masalah atau mencapai tujuan mereka.", CHAR(10),
"✔ Membantuku membangun personal branding yang kuat dan sustainable, sesuai dengan Positioning saya sebagai '", 'CONTENT PILLAR MAPPING'!C745, "' dan Brand Archetype '", 'CONTENT PILLAR MAPPING'!D750, "'.", CHAR(10),
"✔ Kemas dalam bentuk tabel agar rapi, mudah di baca dan dipahami, dengan kolom 'Judul Konten', 'Pilar', 'Format', 'Draft Script', 'CTA', 'Saran Visual', dan 'Full Caption'. (Kosongkan kolom Link Prompt jika ada)."
),
"")</f>
        <v/>
      </c>
      <c r="L839" s="91" t="n"/>
      <c r="M839" s="91" t="n"/>
      <c r="N839" s="102" t="n"/>
      <c r="O839" s="102" t="n"/>
      <c r="P839" s="102" t="n"/>
      <c r="Q839" s="102" t="n"/>
      <c r="R839" s="102" t="n"/>
      <c r="S839" s="102" t="n"/>
      <c r="T839" s="102" t="n"/>
      <c r="U839" s="102" t="n"/>
      <c r="V839" s="102" t="n"/>
      <c r="W839" s="102" t="n"/>
      <c r="X839" s="102" t="n"/>
      <c r="Y839" s="102" t="n"/>
      <c r="Z839" s="102" t="n"/>
      <c r="AA839" s="102" t="n"/>
      <c r="AB839" s="102" t="n"/>
      <c r="AC839" s="102" t="n"/>
      <c r="AD839" s="102" t="n"/>
    </row>
    <row r="840" ht="15.75" customHeight="1" s="205">
      <c r="A840" s="102" t="n"/>
      <c r="B840" s="147" t="n"/>
      <c r="C840" s="144" t="n"/>
      <c r="D840" s="144" t="n"/>
      <c r="E840" s="144" t="n"/>
      <c r="F840" s="144" t="n"/>
      <c r="G840" s="144" t="n"/>
      <c r="H840" s="141">
        <f>IF(K840&lt;&gt;"", HYPERLINK("https://chatgpt.com/?prompt=" &amp; SUBSTITUTE(SUBSTITUTE(K840, " ", "+"), "&amp;", "dan") &amp; "&amp;force-refresh=true&amp;timestamp=" &amp; TEXT(NOW(), "yyyymmddhhmmss"), "👉 Klik untuk Generate Script! 🔥"), "")</f>
        <v/>
      </c>
      <c r="I840" s="144" t="n"/>
      <c r="J840" s="148" t="n"/>
      <c r="K840" s="140">
        <f>IF(AND(B840&lt;&gt;"", C840&lt;&gt;"", D840&lt;&gt;"", E840&lt;&gt;"", F840&lt;&gt;"", G840&lt;&gt;"", J840&lt;&gt;"", 'CONTENT PILLAR MAPPING'!C742&lt;&gt;"", 'CONTENT PILLAR MAPPING'!E742&lt;&gt;"", 'CONTENT PILLAR MAPPING'!F742&lt;&gt;"", 'CONTENT PILLAR MAPPING'!C745&lt;&gt;"", 'CONTENT PILLAR MAPPING'!C750&lt;&gt;"", 'CONTENT PILLAR MAPPING'!D750&lt;&gt;"", 'CONTENT PILLAR MAPPING'!E750&lt;&gt;"", 'CONTENT PILLAR MAPPING'!D758&lt;&gt;"", 'CONTENT PILLAR MAPPING'!D759&lt;&gt;""),
CONCATENATE(
"Sebagai seorang top konten kreator dengan niche utama '", 'CONTENT PILLAR MAPPING'!C742, "', spesifik kategori '", 'CONTENT PILLAR MAPPING'!E742, "', dan super spesifik '", 'CONTENT PILLAR MAPPING'!F742, "', yang dikenal sebagai '", 'CONTENT PILLAR MAPPING'!C745, "'.", CHAR(10),
"Saya memiliki Tone of Voice: '", 'CONTENT PILLAR MAPPING'!C750, "', Brand Archetype: '", 'CONTENT PILLAR MAPPING'!D750, "', dan Deskripsi Gaya Komunikasi: '", 'CONTENT PILLAR MAPPING'!E750, "'.", CHAR(10),
"Target audiens saya adalah: '", 'CONTENT PILLAR MAPPING'!D758, "', dengan segmentasi audiens: '", 'CONTENT PILLAR MAPPING'!D759, "'.", CHAR(10), CHAR(10),
"Mohon buatkan script konten yang **sangat powerful, menarik, inovatif, dan siap pakai** dengan judul ide '", B840, "'.", CHAR(10),
"Konten ini memiliki pilar '", C840, "', nilai tambah utama '", F840, "', dan akan menggunakan storytelling framework '", G840, "'.", CHAR(10),
"Gambaran singkat ide kontennya adalah: '", J840, "'.", CHAR(10),
"Konten ini akan diunggah di platform '", E840, "' dengan format '", D840,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MAPPING'!C745, "'.** Sesuaikan dengan gaya komunikasi saya, dengan fokus pada nilai tambah '", F840,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MAPPING'!D758, ", khusus ", 'CONTENT PILLAR MAPPING'!D759, ") dan membantu mereka menyelesaikan masalah atau mencapai tujuan mereka.", CHAR(10),
"✔ Membantuku membangun personal branding yang kuat dan sustainable, sesuai dengan Positioning saya sebagai '", 'CONTENT PILLAR MAPPING'!C745, "' dan Brand Archetype '", 'CONTENT PILLAR MAPPING'!D750, "'.", CHAR(10),
"✔ Kemas dalam bentuk tabel agar rapi, mudah di baca dan dipahami, dengan kolom 'Judul Konten', 'Pilar', 'Format', 'Draft Script', 'CTA', 'Saran Visual', dan 'Full Caption'. (Kosongkan kolom Link Prompt jika ada)."
),
"")</f>
        <v/>
      </c>
      <c r="L840" s="199" t="n"/>
      <c r="M840" s="199" t="n"/>
      <c r="N840" s="102" t="n"/>
      <c r="O840" s="102" t="n"/>
      <c r="P840" s="102" t="n"/>
      <c r="Q840" s="102" t="n"/>
      <c r="R840" s="102" t="n"/>
      <c r="S840" s="102" t="n"/>
      <c r="T840" s="102" t="n"/>
      <c r="U840" s="102" t="n"/>
      <c r="V840" s="102" t="n"/>
      <c r="W840" s="102" t="n"/>
      <c r="X840" s="102" t="n"/>
      <c r="Y840" s="102" t="n"/>
      <c r="Z840" s="102" t="n"/>
      <c r="AA840" s="102" t="n"/>
      <c r="AB840" s="102" t="n"/>
      <c r="AC840" s="102" t="n"/>
      <c r="AD840" s="102" t="n"/>
    </row>
    <row r="841" ht="15.75" customHeight="1" s="205">
      <c r="A841" s="102" t="n"/>
      <c r="B841" s="142" t="n"/>
      <c r="C841" s="143" t="n"/>
      <c r="D841" s="143" t="n"/>
      <c r="E841" s="143" t="n"/>
      <c r="F841" s="143" t="n"/>
      <c r="G841" s="144" t="n"/>
      <c r="H841" s="145">
        <f>IF(K841&lt;&gt;"", HYPERLINK("https://chatgpt.com/?prompt=" &amp; SUBSTITUTE(SUBSTITUTE(K841, " ", "+"), "&amp;", "dan") &amp; "&amp;force-refresh=true&amp;timestamp=" &amp; TEXT(NOW(), "yyyymmddhhmmss"), "👉 Klik untuk Generate Script! 🔥"), "")</f>
        <v/>
      </c>
      <c r="I841" s="143" t="n"/>
      <c r="J841" s="146" t="n"/>
      <c r="K841" s="130">
        <f>IF(AND(B841&lt;&gt;"", C841&lt;&gt;"", D841&lt;&gt;"", E841&lt;&gt;"", F841&lt;&gt;"", G841&lt;&gt;"", J841&lt;&gt;"", 'CONTENT PILLAR MAPPING'!C744&lt;&gt;"", 'CONTENT PILLAR MAPPING'!E744&lt;&gt;"", 'CONTENT PILLAR MAPPING'!F744&lt;&gt;"", 'CONTENT PILLAR MAPPING'!C747&lt;&gt;"", 'CONTENT PILLAR MAPPING'!C752&lt;&gt;"", 'CONTENT PILLAR MAPPING'!D752&lt;&gt;"", 'CONTENT PILLAR MAPPING'!E752&lt;&gt;"", 'CONTENT PILLAR MAPPING'!D760&lt;&gt;"", 'CONTENT PILLAR MAPPING'!D761&lt;&gt;""),
CONCATENATE(
"Sebagai seorang top konten kreator dengan niche utama '", 'CONTENT PILLAR MAPPING'!C744, "', spesifik kategori '", 'CONTENT PILLAR MAPPING'!E744, "', dan super spesifik '", 'CONTENT PILLAR MAPPING'!F744, "', yang dikenal sebagai '", 'CONTENT PILLAR MAPPING'!C747, "'.", CHAR(10),
"Saya memiliki Tone of Voice: '", 'CONTENT PILLAR MAPPING'!C752, "', Brand Archetype: '", 'CONTENT PILLAR MAPPING'!D752, "', dan Deskripsi Gaya Komunikasi: '", 'CONTENT PILLAR MAPPING'!E752, "'.", CHAR(10),
"Target audiens saya adalah: '", 'CONTENT PILLAR MAPPING'!D760, "', dengan segmentasi audiens: '", 'CONTENT PILLAR MAPPING'!D761, "'.", CHAR(10), CHAR(10),
"Mohon buatkan script konten yang **sangat powerful, menarik, inovatif, dan siap pakai** dengan judul ide '", B841, "'.", CHAR(10),
"Konten ini memiliki pilar '", C841, "', nilai tambah utama '", F841, "', dan akan menggunakan storytelling framework '", G841, "'.", CHAR(10),
"Gambaran singkat ide kontennya adalah: '", J841, "'.", CHAR(10),
"Konten ini akan diunggah di platform '", E841, "' dengan format '", D841,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MAPPING'!C747, "'.** Sesuaikan dengan gaya komunikasi saya, dengan fokus pada nilai tambah '", F841,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MAPPING'!D760, ", khusus ", 'CONTENT PILLAR MAPPING'!D761, ") dan membantu mereka menyelesaikan masalah atau mencapai tujuan mereka.", CHAR(10),
"✔ Membantuku membangun personal branding yang kuat dan sustainable, sesuai dengan Positioning saya sebagai '", 'CONTENT PILLAR MAPPING'!C747, "' dan Brand Archetype '", 'CONTENT PILLAR MAPPING'!D752, "'.", CHAR(10),
"✔ Kemas dalam bentuk tabel agar rapi, mudah di baca dan dipahami, dengan kolom 'Judul Konten', 'Pilar', 'Format', 'Draft Script', 'CTA', 'Saran Visual', dan 'Full Caption'. (Kosongkan kolom Link Prompt jika ada)."
),
"")</f>
        <v/>
      </c>
      <c r="L841" s="91" t="n"/>
      <c r="M841" s="91" t="n"/>
      <c r="N841" s="102" t="n"/>
      <c r="O841" s="102" t="n"/>
      <c r="P841" s="102" t="n"/>
      <c r="Q841" s="102" t="n"/>
      <c r="R841" s="102" t="n"/>
      <c r="S841" s="102" t="n"/>
      <c r="T841" s="102" t="n"/>
      <c r="U841" s="102" t="n"/>
      <c r="V841" s="102" t="n"/>
      <c r="W841" s="102" t="n"/>
      <c r="X841" s="102" t="n"/>
      <c r="Y841" s="102" t="n"/>
      <c r="Z841" s="102" t="n"/>
      <c r="AA841" s="102" t="n"/>
      <c r="AB841" s="102" t="n"/>
      <c r="AC841" s="102" t="n"/>
      <c r="AD841" s="102" t="n"/>
    </row>
    <row r="842" ht="15.75" customHeight="1" s="205">
      <c r="A842" s="102" t="n"/>
      <c r="B842" s="147" t="n"/>
      <c r="C842" s="144" t="n"/>
      <c r="D842" s="144" t="n"/>
      <c r="E842" s="144" t="n"/>
      <c r="F842" s="144" t="n"/>
      <c r="G842" s="144" t="n"/>
      <c r="H842" s="141">
        <f>IF(K842&lt;&gt;"", HYPERLINK("https://chatgpt.com/?prompt=" &amp; SUBSTITUTE(SUBSTITUTE(K842, " ", "+"), "&amp;", "dan") &amp; "&amp;force-refresh=true&amp;timestamp=" &amp; TEXT(NOW(), "yyyymmddhhmmss"), "👉 Klik untuk Generate Script! 🔥"), "")</f>
        <v/>
      </c>
      <c r="I842" s="144" t="n"/>
      <c r="J842" s="148" t="n"/>
      <c r="K842" s="140">
        <f>IF(AND(B842&lt;&gt;"", C842&lt;&gt;"", D842&lt;&gt;"", E842&lt;&gt;"", F842&lt;&gt;"", G842&lt;&gt;"", J842&lt;&gt;"", 'CONTENT PILLAR MAPPING'!C744&lt;&gt;"", 'CONTENT PILLAR MAPPING'!E744&lt;&gt;"", 'CONTENT PILLAR MAPPING'!F744&lt;&gt;"", 'CONTENT PILLAR MAPPING'!C747&lt;&gt;"", 'CONTENT PILLAR MAPPING'!C752&lt;&gt;"", 'CONTENT PILLAR MAPPING'!D752&lt;&gt;"", 'CONTENT PILLAR MAPPING'!E752&lt;&gt;"", 'CONTENT PILLAR MAPPING'!D760&lt;&gt;"", 'CONTENT PILLAR MAPPING'!D761&lt;&gt;""),
CONCATENATE(
"Sebagai seorang top konten kreator dengan niche utama '", 'CONTENT PILLAR MAPPING'!C744, "', spesifik kategori '", 'CONTENT PILLAR MAPPING'!E744, "', dan super spesifik '", 'CONTENT PILLAR MAPPING'!F744, "', yang dikenal sebagai '", 'CONTENT PILLAR MAPPING'!C747, "'.", CHAR(10),
"Saya memiliki Tone of Voice: '", 'CONTENT PILLAR MAPPING'!C752, "', Brand Archetype: '", 'CONTENT PILLAR MAPPING'!D752, "', dan Deskripsi Gaya Komunikasi: '", 'CONTENT PILLAR MAPPING'!E752, "'.", CHAR(10),
"Target audiens saya adalah: '", 'CONTENT PILLAR MAPPING'!D760, "', dengan segmentasi audiens: '", 'CONTENT PILLAR MAPPING'!D761, "'.", CHAR(10), CHAR(10),
"Mohon buatkan script konten yang **sangat powerful, menarik, inovatif, dan siap pakai** dengan judul ide '", B842, "'.", CHAR(10),
"Konten ini memiliki pilar '", C842, "', nilai tambah utama '", F842, "', dan akan menggunakan storytelling framework '", G842, "'.", CHAR(10),
"Gambaran singkat ide kontennya adalah: '", J842, "'.", CHAR(10),
"Konten ini akan diunggah di platform '", E842, "' dengan format '", D842,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MAPPING'!C747, "'.** Sesuaikan dengan gaya komunikasi saya, dengan fokus pada nilai tambah '", F842,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MAPPING'!D760, ", khusus ", 'CONTENT PILLAR MAPPING'!D761, ") dan membantu mereka menyelesaikan masalah atau mencapai tujuan mereka.", CHAR(10),
"✔ Membantuku membangun personal branding yang kuat dan sustainable, sesuai dengan Positioning saya sebagai '", 'CONTENT PILLAR MAPPING'!C747, "' dan Brand Archetype '", 'CONTENT PILLAR MAPPING'!D752, "'.", CHAR(10),
"✔ Kemas dalam bentuk tabel agar rapi, mudah di baca dan dipahami, dengan kolom 'Judul Konten', 'Pilar', 'Format', 'Draft Script', 'CTA', 'Saran Visual', dan 'Full Caption'. (Kosongkan kolom Link Prompt jika ada)."
),
"")</f>
        <v/>
      </c>
      <c r="L842" s="199" t="n"/>
      <c r="M842" s="199" t="n"/>
      <c r="N842" s="102" t="n"/>
      <c r="O842" s="102" t="n"/>
      <c r="P842" s="102" t="n"/>
      <c r="Q842" s="102" t="n"/>
      <c r="R842" s="102" t="n"/>
      <c r="S842" s="102" t="n"/>
      <c r="T842" s="102" t="n"/>
      <c r="U842" s="102" t="n"/>
      <c r="V842" s="102" t="n"/>
      <c r="W842" s="102" t="n"/>
      <c r="X842" s="102" t="n"/>
      <c r="Y842" s="102" t="n"/>
      <c r="Z842" s="102" t="n"/>
      <c r="AA842" s="102" t="n"/>
      <c r="AB842" s="102" t="n"/>
      <c r="AC842" s="102" t="n"/>
      <c r="AD842" s="102" t="n"/>
    </row>
    <row r="843" ht="15.75" customHeight="1" s="205">
      <c r="A843" s="102" t="n"/>
      <c r="B843" s="142" t="n"/>
      <c r="C843" s="143" t="n"/>
      <c r="D843" s="143" t="n"/>
      <c r="E843" s="143" t="n"/>
      <c r="F843" s="143" t="n"/>
      <c r="G843" s="144" t="n"/>
      <c r="H843" s="145">
        <f>IF(K843&lt;&gt;"", HYPERLINK("https://chatgpt.com/?prompt=" &amp; SUBSTITUTE(SUBSTITUTE(K843, " ", "+"), "&amp;", "dan") &amp; "&amp;force-refresh=true&amp;timestamp=" &amp; TEXT(NOW(), "yyyymmddhhmmss"), "👉 Klik untuk Generate Script! 🔥"), "")</f>
        <v/>
      </c>
      <c r="I843" s="143" t="n"/>
      <c r="J843" s="146" t="n"/>
      <c r="K843" s="130">
        <f>IF(AND(B843&lt;&gt;"", C843&lt;&gt;"", D843&lt;&gt;"", E843&lt;&gt;"", F843&lt;&gt;"", G843&lt;&gt;"", J843&lt;&gt;"", 'CONTENT PILLAR MAPPING'!C746&lt;&gt;"", 'CONTENT PILLAR MAPPING'!E746&lt;&gt;"", 'CONTENT PILLAR MAPPING'!F746&lt;&gt;"", 'CONTENT PILLAR MAPPING'!C749&lt;&gt;"", 'CONTENT PILLAR MAPPING'!C754&lt;&gt;"", 'CONTENT PILLAR MAPPING'!D754&lt;&gt;"", 'CONTENT PILLAR MAPPING'!E754&lt;&gt;"", 'CONTENT PILLAR MAPPING'!D762&lt;&gt;"", 'CONTENT PILLAR MAPPING'!D763&lt;&gt;""),
CONCATENATE(
"Sebagai seorang top konten kreator dengan niche utama '", 'CONTENT PILLAR MAPPING'!C746, "', spesifik kategori '", 'CONTENT PILLAR MAPPING'!E746, "', dan super spesifik '", 'CONTENT PILLAR MAPPING'!F746, "', yang dikenal sebagai '", 'CONTENT PILLAR MAPPING'!C749, "'.", CHAR(10),
"Saya memiliki Tone of Voice: '", 'CONTENT PILLAR MAPPING'!C754, "', Brand Archetype: '", 'CONTENT PILLAR MAPPING'!D754, "', dan Deskripsi Gaya Komunikasi: '", 'CONTENT PILLAR MAPPING'!E754, "'.", CHAR(10),
"Target audiens saya adalah: '", 'CONTENT PILLAR MAPPING'!D762, "', dengan segmentasi audiens: '", 'CONTENT PILLAR MAPPING'!D763, "'.", CHAR(10), CHAR(10),
"Mohon buatkan script konten yang **sangat powerful, menarik, inovatif, dan siap pakai** dengan judul ide '", B843, "'.", CHAR(10),
"Konten ini memiliki pilar '", C843, "', nilai tambah utama '", F843, "', dan akan menggunakan storytelling framework '", G843, "'.", CHAR(10),
"Gambaran singkat ide kontennya adalah: '", J843, "'.", CHAR(10),
"Konten ini akan diunggah di platform '", E843, "' dengan format '", D843,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MAPPING'!C749, "'.** Sesuaikan dengan gaya komunikasi saya, dengan fokus pada nilai tambah '", F843,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MAPPING'!D762, ", khusus ", 'CONTENT PILLAR MAPPING'!D763, ") dan membantu mereka menyelesaikan masalah atau mencapai tujuan mereka.", CHAR(10),
"✔ Membantuku membangun personal branding yang kuat dan sustainable, sesuai dengan Positioning saya sebagai '", 'CONTENT PILLAR MAPPING'!C749, "' dan Brand Archetype '", 'CONTENT PILLAR MAPPING'!D754, "'.", CHAR(10),
"✔ Kemas dalam bentuk tabel agar rapi, mudah di baca dan dipahami, dengan kolom 'Judul Konten', 'Pilar', 'Format', 'Draft Script', 'CTA', 'Saran Visual', dan 'Full Caption'. (Kosongkan kolom Link Prompt jika ada)."
),
"")</f>
        <v/>
      </c>
      <c r="L843" s="91" t="n"/>
      <c r="M843" s="91" t="n"/>
      <c r="N843" s="102" t="n"/>
      <c r="O843" s="102" t="n"/>
      <c r="P843" s="102" t="n"/>
      <c r="Q843" s="102" t="n"/>
      <c r="R843" s="102" t="n"/>
      <c r="S843" s="102" t="n"/>
      <c r="T843" s="102" t="n"/>
      <c r="U843" s="102" t="n"/>
      <c r="V843" s="102" t="n"/>
      <c r="W843" s="102" t="n"/>
      <c r="X843" s="102" t="n"/>
      <c r="Y843" s="102" t="n"/>
      <c r="Z843" s="102" t="n"/>
      <c r="AA843" s="102" t="n"/>
      <c r="AB843" s="102" t="n"/>
      <c r="AC843" s="102" t="n"/>
      <c r="AD843" s="102" t="n"/>
    </row>
    <row r="844" ht="15.75" customHeight="1" s="205">
      <c r="A844" s="102" t="n"/>
      <c r="B844" s="147" t="n"/>
      <c r="C844" s="144" t="n"/>
      <c r="D844" s="144" t="n"/>
      <c r="E844" s="144" t="n"/>
      <c r="F844" s="144" t="n"/>
      <c r="G844" s="144" t="n"/>
      <c r="H844" s="141">
        <f>IF(K844&lt;&gt;"", HYPERLINK("https://chatgpt.com/?prompt=" &amp; SUBSTITUTE(SUBSTITUTE(K844, " ", "+"), "&amp;", "dan") &amp; "&amp;force-refresh=true&amp;timestamp=" &amp; TEXT(NOW(), "yyyymmddhhmmss"), "👉 Klik untuk Generate Script! 🔥"), "")</f>
        <v/>
      </c>
      <c r="I844" s="144" t="n"/>
      <c r="J844" s="148" t="n"/>
      <c r="K844" s="140">
        <f>IF(AND(B844&lt;&gt;"", C844&lt;&gt;"", D844&lt;&gt;"", E844&lt;&gt;"", F844&lt;&gt;"", G844&lt;&gt;"", J844&lt;&gt;"", 'CONTENT PILLAR MAPPING'!C746&lt;&gt;"", 'CONTENT PILLAR MAPPING'!E746&lt;&gt;"", 'CONTENT PILLAR MAPPING'!F746&lt;&gt;"", 'CONTENT PILLAR MAPPING'!C749&lt;&gt;"", 'CONTENT PILLAR MAPPING'!C754&lt;&gt;"", 'CONTENT PILLAR MAPPING'!D754&lt;&gt;"", 'CONTENT PILLAR MAPPING'!E754&lt;&gt;"", 'CONTENT PILLAR MAPPING'!D762&lt;&gt;"", 'CONTENT PILLAR MAPPING'!D763&lt;&gt;""),
CONCATENATE(
"Sebagai seorang top konten kreator dengan niche utama '", 'CONTENT PILLAR MAPPING'!C746, "', spesifik kategori '", 'CONTENT PILLAR MAPPING'!E746, "', dan super spesifik '", 'CONTENT PILLAR MAPPING'!F746, "', yang dikenal sebagai '", 'CONTENT PILLAR MAPPING'!C749, "'.", CHAR(10),
"Saya memiliki Tone of Voice: '", 'CONTENT PILLAR MAPPING'!C754, "', Brand Archetype: '", 'CONTENT PILLAR MAPPING'!D754, "', dan Deskripsi Gaya Komunikasi: '", 'CONTENT PILLAR MAPPING'!E754, "'.", CHAR(10),
"Target audiens saya adalah: '", 'CONTENT PILLAR MAPPING'!D762, "', dengan segmentasi audiens: '", 'CONTENT PILLAR MAPPING'!D763, "'.", CHAR(10), CHAR(10),
"Mohon buatkan script konten yang **sangat powerful, menarik, inovatif, dan siap pakai** dengan judul ide '", B844, "'.", CHAR(10),
"Konten ini memiliki pilar '", C844, "', nilai tambah utama '", F844, "', dan akan menggunakan storytelling framework '", G844, "'.", CHAR(10),
"Gambaran singkat ide kontennya adalah: '", J844, "'.", CHAR(10),
"Konten ini akan diunggah di platform '", E844, "' dengan format '", D844,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MAPPING'!C749, "'.** Sesuaikan dengan gaya komunikasi saya, dengan fokus pada nilai tambah '", F844,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MAPPING'!D762, ", khusus ", 'CONTENT PILLAR MAPPING'!D763, ") dan membantu mereka menyelesaikan masalah atau mencapai tujuan mereka.", CHAR(10),
"✔ Membantuku membangun personal branding yang kuat dan sustainable, sesuai dengan Positioning saya sebagai '", 'CONTENT PILLAR MAPPING'!C749, "' dan Brand Archetype '", 'CONTENT PILLAR MAPPING'!D754, "'.", CHAR(10),
"✔ Kemas dalam bentuk tabel agar rapi, mudah di baca dan dipahami, dengan kolom 'Judul Konten', 'Pilar', 'Format', 'Draft Script', 'CTA', 'Saran Visual', dan 'Full Caption'. (Kosongkan kolom Link Prompt jika ada)."
),
"")</f>
        <v/>
      </c>
      <c r="L844" s="199" t="n"/>
      <c r="M844" s="199" t="n"/>
      <c r="N844" s="102" t="n"/>
      <c r="O844" s="102" t="n"/>
      <c r="P844" s="102" t="n"/>
      <c r="Q844" s="102" t="n"/>
      <c r="R844" s="102" t="n"/>
      <c r="S844" s="102" t="n"/>
      <c r="T844" s="102" t="n"/>
      <c r="U844" s="102" t="n"/>
      <c r="V844" s="102" t="n"/>
      <c r="W844" s="102" t="n"/>
      <c r="X844" s="102" t="n"/>
      <c r="Y844" s="102" t="n"/>
      <c r="Z844" s="102" t="n"/>
      <c r="AA844" s="102" t="n"/>
      <c r="AB844" s="102" t="n"/>
      <c r="AC844" s="102" t="n"/>
      <c r="AD844" s="102" t="n"/>
    </row>
    <row r="845" ht="15.75" customHeight="1" s="205">
      <c r="A845" s="102" t="n"/>
      <c r="B845" s="142" t="n"/>
      <c r="C845" s="143" t="n"/>
      <c r="D845" s="143" t="n"/>
      <c r="E845" s="143" t="n"/>
      <c r="F845" s="143" t="n"/>
      <c r="G845" s="144" t="n"/>
      <c r="H845" s="145">
        <f>IF(K845&lt;&gt;"", HYPERLINK("https://chatgpt.com/?prompt=" &amp; SUBSTITUTE(SUBSTITUTE(K845, " ", "+"), "&amp;", "dan") &amp; "&amp;force-refresh=true&amp;timestamp=" &amp; TEXT(NOW(), "yyyymmddhhmmss"), "👉 Klik untuk Generate Script! 🔥"), "")</f>
        <v/>
      </c>
      <c r="I845" s="143" t="n"/>
      <c r="J845" s="146" t="n"/>
      <c r="K845" s="130">
        <f>IF(AND(B845&lt;&gt;"", C845&lt;&gt;"", D845&lt;&gt;"", E845&lt;&gt;"", F845&lt;&gt;"", G845&lt;&gt;"", J845&lt;&gt;"", 'CONTENT PILLAR MAPPING'!C748&lt;&gt;"", 'CONTENT PILLAR MAPPING'!E748&lt;&gt;"", 'CONTENT PILLAR MAPPING'!F748&lt;&gt;"", 'CONTENT PILLAR MAPPING'!C751&lt;&gt;"", 'CONTENT PILLAR MAPPING'!C756&lt;&gt;"", 'CONTENT PILLAR MAPPING'!D756&lt;&gt;"", 'CONTENT PILLAR MAPPING'!E756&lt;&gt;"", 'CONTENT PILLAR MAPPING'!D764&lt;&gt;"", 'CONTENT PILLAR MAPPING'!D765&lt;&gt;""),
CONCATENATE(
"Sebagai seorang top konten kreator dengan niche utama '", 'CONTENT PILLAR MAPPING'!C748, "', spesifik kategori '", 'CONTENT PILLAR MAPPING'!E748, "', dan super spesifik '", 'CONTENT PILLAR MAPPING'!F748, "', yang dikenal sebagai '", 'CONTENT PILLAR MAPPING'!C751, "'.", CHAR(10),
"Saya memiliki Tone of Voice: '", 'CONTENT PILLAR MAPPING'!C756, "', Brand Archetype: '", 'CONTENT PILLAR MAPPING'!D756, "', dan Deskripsi Gaya Komunikasi: '", 'CONTENT PILLAR MAPPING'!E756, "'.", CHAR(10),
"Target audiens saya adalah: '", 'CONTENT PILLAR MAPPING'!D764, "', dengan segmentasi audiens: '", 'CONTENT PILLAR MAPPING'!D765, "'.", CHAR(10), CHAR(10),
"Mohon buatkan script konten yang **sangat powerful, menarik, inovatif, dan siap pakai** dengan judul ide '", B845, "'.", CHAR(10),
"Konten ini memiliki pilar '", C845, "', nilai tambah utama '", F845, "', dan akan menggunakan storytelling framework '", G845, "'.", CHAR(10),
"Gambaran singkat ide kontennya adalah: '", J845, "'.", CHAR(10),
"Konten ini akan diunggah di platform '", E845, "' dengan format '", D845,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MAPPING'!C751, "'.** Sesuaikan dengan gaya komunikasi saya, dengan fokus pada nilai tambah '", F845,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MAPPING'!D764, ", khusus ", 'CONTENT PILLAR MAPPING'!D765, ") dan membantu mereka menyelesaikan masalah atau mencapai tujuan mereka.", CHAR(10),
"✔ Membantuku membangun personal branding yang kuat dan sustainable, sesuai dengan Positioning saya sebagai '", 'CONTENT PILLAR MAPPING'!C751, "' dan Brand Archetype '", 'CONTENT PILLAR MAPPING'!D756, "'.", CHAR(10),
"✔ Kemas dalam bentuk tabel agar rapi, mudah di baca dan dipahami, dengan kolom 'Judul Konten', 'Pilar', 'Format', 'Draft Script', 'CTA', 'Saran Visual', dan 'Full Caption'. (Kosongkan kolom Link Prompt jika ada)."
),
"")</f>
        <v/>
      </c>
      <c r="L845" s="91" t="n"/>
      <c r="M845" s="91" t="n"/>
      <c r="N845" s="102" t="n"/>
      <c r="O845" s="102" t="n"/>
      <c r="P845" s="102" t="n"/>
      <c r="Q845" s="102" t="n"/>
      <c r="R845" s="102" t="n"/>
      <c r="S845" s="102" t="n"/>
      <c r="T845" s="102" t="n"/>
      <c r="U845" s="102" t="n"/>
      <c r="V845" s="102" t="n"/>
      <c r="W845" s="102" t="n"/>
      <c r="X845" s="102" t="n"/>
      <c r="Y845" s="102" t="n"/>
      <c r="Z845" s="102" t="n"/>
      <c r="AA845" s="102" t="n"/>
      <c r="AB845" s="102" t="n"/>
      <c r="AC845" s="102" t="n"/>
      <c r="AD845" s="102" t="n"/>
    </row>
    <row r="846" ht="15.75" customHeight="1" s="205">
      <c r="A846" s="102" t="n"/>
      <c r="B846" s="147" t="n"/>
      <c r="C846" s="144" t="n"/>
      <c r="D846" s="144" t="n"/>
      <c r="E846" s="144" t="n"/>
      <c r="F846" s="144" t="n"/>
      <c r="G846" s="144" t="n"/>
      <c r="H846" s="141">
        <f>IF(K846&lt;&gt;"", HYPERLINK("https://chatgpt.com/?prompt=" &amp; SUBSTITUTE(SUBSTITUTE(K846, " ", "+"), "&amp;", "dan") &amp; "&amp;force-refresh=true&amp;timestamp=" &amp; TEXT(NOW(), "yyyymmddhhmmss"), "👉 Klik untuk Generate Script! 🔥"), "")</f>
        <v/>
      </c>
      <c r="I846" s="144" t="n"/>
      <c r="J846" s="148" t="n"/>
      <c r="K846" s="140">
        <f>IF(AND(B846&lt;&gt;"", C846&lt;&gt;"", D846&lt;&gt;"", E846&lt;&gt;"", F846&lt;&gt;"", G846&lt;&gt;"", J846&lt;&gt;"", 'CONTENT PILLAR MAPPING'!C748&lt;&gt;"", 'CONTENT PILLAR MAPPING'!E748&lt;&gt;"", 'CONTENT PILLAR MAPPING'!F748&lt;&gt;"", 'CONTENT PILLAR MAPPING'!C751&lt;&gt;"", 'CONTENT PILLAR MAPPING'!C756&lt;&gt;"", 'CONTENT PILLAR MAPPING'!D756&lt;&gt;"", 'CONTENT PILLAR MAPPING'!E756&lt;&gt;"", 'CONTENT PILLAR MAPPING'!D764&lt;&gt;"", 'CONTENT PILLAR MAPPING'!D765&lt;&gt;""),
CONCATENATE(
"Sebagai seorang top konten kreator dengan niche utama '", 'CONTENT PILLAR MAPPING'!C748, "', spesifik kategori '", 'CONTENT PILLAR MAPPING'!E748, "', dan super spesifik '", 'CONTENT PILLAR MAPPING'!F748, "', yang dikenal sebagai '", 'CONTENT PILLAR MAPPING'!C751, "'.", CHAR(10),
"Saya memiliki Tone of Voice: '", 'CONTENT PILLAR MAPPING'!C756, "', Brand Archetype: '", 'CONTENT PILLAR MAPPING'!D756, "', dan Deskripsi Gaya Komunikasi: '", 'CONTENT PILLAR MAPPING'!E756, "'.", CHAR(10),
"Target audiens saya adalah: '", 'CONTENT PILLAR MAPPING'!D764, "', dengan segmentasi audiens: '", 'CONTENT PILLAR MAPPING'!D765, "'.", CHAR(10), CHAR(10),
"Mohon buatkan script konten yang **sangat powerful, menarik, inovatif, dan siap pakai** dengan judul ide '", B846, "'.", CHAR(10),
"Konten ini memiliki pilar '", C846, "', nilai tambah utama '", F846, "', dan akan menggunakan storytelling framework '", G846, "'.", CHAR(10),
"Gambaran singkat ide kontennya adalah: '", J846, "'.", CHAR(10),
"Konten ini akan diunggah di platform '", E846, "' dengan format '", D846,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MAPPING'!C751, "'.** Sesuaikan dengan gaya komunikasi saya, dengan fokus pada nilai tambah '", F846,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MAPPING'!D764, ", khusus ", 'CONTENT PILLAR MAPPING'!D765, ") dan membantu mereka menyelesaikan masalah atau mencapai tujuan mereka.", CHAR(10),
"✔ Membantuku membangun personal branding yang kuat dan sustainable, sesuai dengan Positioning saya sebagai '", 'CONTENT PILLAR MAPPING'!C751, "' dan Brand Archetype '", 'CONTENT PILLAR MAPPING'!D756, "'.", CHAR(10),
"✔ Kemas dalam bentuk tabel agar rapi, mudah di baca dan dipahami, dengan kolom 'Judul Konten', 'Pilar', 'Format', 'Draft Script', 'CTA', 'Saran Visual', dan 'Full Caption'. (Kosongkan kolom Link Prompt jika ada)."
),
"")</f>
        <v/>
      </c>
      <c r="L846" s="199" t="n"/>
      <c r="M846" s="199" t="n"/>
      <c r="N846" s="102" t="n"/>
      <c r="O846" s="102" t="n"/>
      <c r="P846" s="102" t="n"/>
      <c r="Q846" s="102" t="n"/>
      <c r="R846" s="102" t="n"/>
      <c r="S846" s="102" t="n"/>
      <c r="T846" s="102" t="n"/>
      <c r="U846" s="102" t="n"/>
      <c r="V846" s="102" t="n"/>
      <c r="W846" s="102" t="n"/>
      <c r="X846" s="102" t="n"/>
      <c r="Y846" s="102" t="n"/>
      <c r="Z846" s="102" t="n"/>
      <c r="AA846" s="102" t="n"/>
      <c r="AB846" s="102" t="n"/>
      <c r="AC846" s="102" t="n"/>
      <c r="AD846" s="102" t="n"/>
    </row>
    <row r="847" ht="15.75" customHeight="1" s="205">
      <c r="A847" s="102" t="n"/>
      <c r="B847" s="142" t="n"/>
      <c r="C847" s="143" t="n"/>
      <c r="D847" s="143" t="n"/>
      <c r="E847" s="143" t="n"/>
      <c r="F847" s="143" t="n"/>
      <c r="G847" s="144" t="n"/>
      <c r="H847" s="145">
        <f>IF(K847&lt;&gt;"", HYPERLINK("https://chatgpt.com/?prompt=" &amp; SUBSTITUTE(SUBSTITUTE(K847, " ", "+"), "&amp;", "dan") &amp; "&amp;force-refresh=true&amp;timestamp=" &amp; TEXT(NOW(), "yyyymmddhhmmss"), "👉 Klik untuk Generate Script! 🔥"), "")</f>
        <v/>
      </c>
      <c r="I847" s="143" t="n"/>
      <c r="J847" s="146" t="n"/>
      <c r="K847" s="130">
        <f>IF(AND(B847&lt;&gt;"", C847&lt;&gt;"", D847&lt;&gt;"", E847&lt;&gt;"", F847&lt;&gt;"", G847&lt;&gt;"", J847&lt;&gt;"", 'CONTENT PILLAR MAPPING'!C750&lt;&gt;"", 'CONTENT PILLAR MAPPING'!E750&lt;&gt;"", 'CONTENT PILLAR MAPPING'!F750&lt;&gt;"", 'CONTENT PILLAR MAPPING'!C753&lt;&gt;"", 'CONTENT PILLAR MAPPING'!C758&lt;&gt;"", 'CONTENT PILLAR MAPPING'!D758&lt;&gt;"", 'CONTENT PILLAR MAPPING'!E758&lt;&gt;"", 'CONTENT PILLAR MAPPING'!D766&lt;&gt;"", 'CONTENT PILLAR MAPPING'!D767&lt;&gt;""),
CONCATENATE(
"Sebagai seorang top konten kreator dengan niche utama '", 'CONTENT PILLAR MAPPING'!C750, "', spesifik kategori '", 'CONTENT PILLAR MAPPING'!E750, "', dan super spesifik '", 'CONTENT PILLAR MAPPING'!F750, "', yang dikenal sebagai '", 'CONTENT PILLAR MAPPING'!C753, "'.", CHAR(10),
"Saya memiliki Tone of Voice: '", 'CONTENT PILLAR MAPPING'!C758, "', Brand Archetype: '", 'CONTENT PILLAR MAPPING'!D758, "', dan Deskripsi Gaya Komunikasi: '", 'CONTENT PILLAR MAPPING'!E758, "'.", CHAR(10),
"Target audiens saya adalah: '", 'CONTENT PILLAR MAPPING'!D766, "', dengan segmentasi audiens: '", 'CONTENT PILLAR MAPPING'!D767, "'.", CHAR(10), CHAR(10),
"Mohon buatkan script konten yang **sangat powerful, menarik, inovatif, dan siap pakai** dengan judul ide '", B847, "'.", CHAR(10),
"Konten ini memiliki pilar '", C847, "', nilai tambah utama '", F847, "', dan akan menggunakan storytelling framework '", G847, "'.", CHAR(10),
"Gambaran singkat ide kontennya adalah: '", J847, "'.", CHAR(10),
"Konten ini akan diunggah di platform '", E847, "' dengan format '", D847,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MAPPING'!C753, "'.** Sesuaikan dengan gaya komunikasi saya, dengan fokus pada nilai tambah '", F847,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MAPPING'!D766, ", khusus ", 'CONTENT PILLAR MAPPING'!D767, ") dan membantu mereka menyelesaikan masalah atau mencapai tujuan mereka.", CHAR(10),
"✔ Membantuku membangun personal branding yang kuat dan sustainable, sesuai dengan Positioning saya sebagai '", 'CONTENT PILLAR MAPPING'!C753, "' dan Brand Archetype '", 'CONTENT PILLAR MAPPING'!D758, "'.", CHAR(10),
"✔ Kemas dalam bentuk tabel agar rapi, mudah di baca dan dipahami, dengan kolom 'Judul Konten', 'Pilar', 'Format', 'Draft Script', 'CTA', 'Saran Visual', dan 'Full Caption'. (Kosongkan kolom Link Prompt jika ada)."
),
"")</f>
        <v/>
      </c>
      <c r="L847" s="91" t="n"/>
      <c r="M847" s="91" t="n"/>
      <c r="N847" s="102" t="n"/>
      <c r="O847" s="102" t="n"/>
      <c r="P847" s="102" t="n"/>
      <c r="Q847" s="102" t="n"/>
      <c r="R847" s="102" t="n"/>
      <c r="S847" s="102" t="n"/>
      <c r="T847" s="102" t="n"/>
      <c r="U847" s="102" t="n"/>
      <c r="V847" s="102" t="n"/>
      <c r="W847" s="102" t="n"/>
      <c r="X847" s="102" t="n"/>
      <c r="Y847" s="102" t="n"/>
      <c r="Z847" s="102" t="n"/>
      <c r="AA847" s="102" t="n"/>
      <c r="AB847" s="102" t="n"/>
      <c r="AC847" s="102" t="n"/>
      <c r="AD847" s="102" t="n"/>
    </row>
    <row r="848" ht="15.75" customHeight="1" s="205">
      <c r="A848" s="102" t="n"/>
      <c r="B848" s="147" t="n"/>
      <c r="C848" s="144" t="n"/>
      <c r="D848" s="144" t="n"/>
      <c r="E848" s="144" t="n"/>
      <c r="F848" s="144" t="n"/>
      <c r="G848" s="144" t="n"/>
      <c r="H848" s="141">
        <f>IF(K848&lt;&gt;"", HYPERLINK("https://chatgpt.com/?prompt=" &amp; SUBSTITUTE(SUBSTITUTE(K848, " ", "+"), "&amp;", "dan") &amp; "&amp;force-refresh=true&amp;timestamp=" &amp; TEXT(NOW(), "yyyymmddhhmmss"), "👉 Klik untuk Generate Script! 🔥"), "")</f>
        <v/>
      </c>
      <c r="I848" s="144" t="n"/>
      <c r="J848" s="148" t="n"/>
      <c r="K848" s="140">
        <f>IF(AND(B848&lt;&gt;"", C848&lt;&gt;"", D848&lt;&gt;"", E848&lt;&gt;"", F848&lt;&gt;"", G848&lt;&gt;"", J848&lt;&gt;"", 'CONTENT PILLAR MAPPING'!C750&lt;&gt;"", 'CONTENT PILLAR MAPPING'!E750&lt;&gt;"", 'CONTENT PILLAR MAPPING'!F750&lt;&gt;"", 'CONTENT PILLAR MAPPING'!C753&lt;&gt;"", 'CONTENT PILLAR MAPPING'!C758&lt;&gt;"", 'CONTENT PILLAR MAPPING'!D758&lt;&gt;"", 'CONTENT PILLAR MAPPING'!E758&lt;&gt;"", 'CONTENT PILLAR MAPPING'!D766&lt;&gt;"", 'CONTENT PILLAR MAPPING'!D767&lt;&gt;""),
CONCATENATE(
"Sebagai seorang top konten kreator dengan niche utama '", 'CONTENT PILLAR MAPPING'!C750, "', spesifik kategori '", 'CONTENT PILLAR MAPPING'!E750, "', dan super spesifik '", 'CONTENT PILLAR MAPPING'!F750, "', yang dikenal sebagai '", 'CONTENT PILLAR MAPPING'!C753, "'.", CHAR(10),
"Saya memiliki Tone of Voice: '", 'CONTENT PILLAR MAPPING'!C758, "', Brand Archetype: '", 'CONTENT PILLAR MAPPING'!D758, "', dan Deskripsi Gaya Komunikasi: '", 'CONTENT PILLAR MAPPING'!E758, "'.", CHAR(10),
"Target audiens saya adalah: '", 'CONTENT PILLAR MAPPING'!D766, "', dengan segmentasi audiens: '", 'CONTENT PILLAR MAPPING'!D767, "'.", CHAR(10), CHAR(10),
"Mohon buatkan script konten yang **sangat powerful, menarik, inovatif, dan siap pakai** dengan judul ide '", B848, "'.", CHAR(10),
"Konten ini memiliki pilar '", C848, "', nilai tambah utama '", F848, "', dan akan menggunakan storytelling framework '", G848, "'.", CHAR(10),
"Gambaran singkat ide kontennya adalah: '", J848, "'.", CHAR(10),
"Konten ini akan diunggah di platform '", E848, "' dengan format '", D848,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MAPPING'!C753, "'.** Sesuaikan dengan gaya komunikasi saya, dengan fokus pada nilai tambah '", F848,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MAPPING'!D766, ", khusus ", 'CONTENT PILLAR MAPPING'!D767, ") dan membantu mereka menyelesaikan masalah atau mencapai tujuan mereka.", CHAR(10),
"✔ Membantuku membangun personal branding yang kuat dan sustainable, sesuai dengan Positioning saya sebagai '", 'CONTENT PILLAR MAPPING'!C753, "' dan Brand Archetype '", 'CONTENT PILLAR MAPPING'!D758, "'.", CHAR(10),
"✔ Kemas dalam bentuk tabel agar rapi, mudah di baca dan dipahami, dengan kolom 'Judul Konten', 'Pilar', 'Format', 'Draft Script', 'CTA', 'Saran Visual', dan 'Full Caption'. (Kosongkan kolom Link Prompt jika ada)."
),
"")</f>
        <v/>
      </c>
      <c r="L848" s="199" t="n"/>
      <c r="M848" s="199" t="n"/>
      <c r="N848" s="102" t="n"/>
      <c r="O848" s="102" t="n"/>
      <c r="P848" s="102" t="n"/>
      <c r="Q848" s="102" t="n"/>
      <c r="R848" s="102" t="n"/>
      <c r="S848" s="102" t="n"/>
      <c r="T848" s="102" t="n"/>
      <c r="U848" s="102" t="n"/>
      <c r="V848" s="102" t="n"/>
      <c r="W848" s="102" t="n"/>
      <c r="X848" s="102" t="n"/>
      <c r="Y848" s="102" t="n"/>
      <c r="Z848" s="102" t="n"/>
      <c r="AA848" s="102" t="n"/>
      <c r="AB848" s="102" t="n"/>
      <c r="AC848" s="102" t="n"/>
      <c r="AD848" s="102" t="n"/>
    </row>
    <row r="849" ht="15.75" customHeight="1" s="205">
      <c r="A849" s="102" t="n"/>
      <c r="B849" s="142" t="n"/>
      <c r="C849" s="143" t="n"/>
      <c r="D849" s="143" t="n"/>
      <c r="E849" s="143" t="n"/>
      <c r="F849" s="143" t="n"/>
      <c r="G849" s="144" t="n"/>
      <c r="H849" s="145">
        <f>IF(K849&lt;&gt;"", HYPERLINK("https://chatgpt.com/?prompt=" &amp; SUBSTITUTE(SUBSTITUTE(K849, " ", "+"), "&amp;", "dan") &amp; "&amp;force-refresh=true&amp;timestamp=" &amp; TEXT(NOW(), "yyyymmddhhmmss"), "👉 Klik untuk Generate Script! 🔥"), "")</f>
        <v/>
      </c>
      <c r="I849" s="143" t="n"/>
      <c r="J849" s="146" t="n"/>
      <c r="K849" s="130">
        <f>IF(AND(B849&lt;&gt;"", C849&lt;&gt;"", D849&lt;&gt;"", E849&lt;&gt;"", F849&lt;&gt;"", G849&lt;&gt;"", J849&lt;&gt;"", 'CONTENT PILLAR MAPPING'!C752&lt;&gt;"", 'CONTENT PILLAR MAPPING'!E752&lt;&gt;"", 'CONTENT PILLAR MAPPING'!F752&lt;&gt;"", 'CONTENT PILLAR MAPPING'!C755&lt;&gt;"", 'CONTENT PILLAR MAPPING'!C760&lt;&gt;"", 'CONTENT PILLAR MAPPING'!D760&lt;&gt;"", 'CONTENT PILLAR MAPPING'!E760&lt;&gt;"", 'CONTENT PILLAR MAPPING'!D768&lt;&gt;"", 'CONTENT PILLAR MAPPING'!D769&lt;&gt;""),
CONCATENATE(
"Sebagai seorang top konten kreator dengan niche utama '", 'CONTENT PILLAR MAPPING'!C752, "', spesifik kategori '", 'CONTENT PILLAR MAPPING'!E752, "', dan super spesifik '", 'CONTENT PILLAR MAPPING'!F752, "', yang dikenal sebagai '", 'CONTENT PILLAR MAPPING'!C755, "'.", CHAR(10),
"Saya memiliki Tone of Voice: '", 'CONTENT PILLAR MAPPING'!C760, "', Brand Archetype: '", 'CONTENT PILLAR MAPPING'!D760, "', dan Deskripsi Gaya Komunikasi: '", 'CONTENT PILLAR MAPPING'!E760, "'.", CHAR(10),
"Target audiens saya adalah: '", 'CONTENT PILLAR MAPPING'!D768, "', dengan segmentasi audiens: '", 'CONTENT PILLAR MAPPING'!D769, "'.", CHAR(10), CHAR(10),
"Mohon buatkan script konten yang **sangat powerful, menarik, inovatif, dan siap pakai** dengan judul ide '", B849, "'.", CHAR(10),
"Konten ini memiliki pilar '", C849, "', nilai tambah utama '", F849, "', dan akan menggunakan storytelling framework '", G849, "'.", CHAR(10),
"Gambaran singkat ide kontennya adalah: '", J849, "'.", CHAR(10),
"Konten ini akan diunggah di platform '", E849, "' dengan format '", D849,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MAPPING'!C755, "'.** Sesuaikan dengan gaya komunikasi saya, dengan fokus pada nilai tambah '", F849,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MAPPING'!D768, ", khusus ", 'CONTENT PILLAR MAPPING'!D769, ") dan membantu mereka menyelesaikan masalah atau mencapai tujuan mereka.", CHAR(10),
"✔ Membantuku membangun personal branding yang kuat dan sustainable, sesuai dengan Positioning saya sebagai '", 'CONTENT PILLAR MAPPING'!C755, "' dan Brand Archetype '", 'CONTENT PILLAR MAPPING'!D760, "'.", CHAR(10),
"✔ Kemas dalam bentuk tabel agar rapi, mudah di baca dan dipahami, dengan kolom 'Judul Konten', 'Pilar', 'Format', 'Draft Script', 'CTA', 'Saran Visual', dan 'Full Caption'. (Kosongkan kolom Link Prompt jika ada)."
),
"")</f>
        <v/>
      </c>
      <c r="L849" s="91" t="n"/>
      <c r="M849" s="91" t="n"/>
      <c r="N849" s="102" t="n"/>
      <c r="O849" s="102" t="n"/>
      <c r="P849" s="102" t="n"/>
      <c r="Q849" s="102" t="n"/>
      <c r="R849" s="102" t="n"/>
      <c r="S849" s="102" t="n"/>
      <c r="T849" s="102" t="n"/>
      <c r="U849" s="102" t="n"/>
      <c r="V849" s="102" t="n"/>
      <c r="W849" s="102" t="n"/>
      <c r="X849" s="102" t="n"/>
      <c r="Y849" s="102" t="n"/>
      <c r="Z849" s="102" t="n"/>
      <c r="AA849" s="102" t="n"/>
      <c r="AB849" s="102" t="n"/>
      <c r="AC849" s="102" t="n"/>
      <c r="AD849" s="102" t="n"/>
    </row>
    <row r="850" ht="15.75" customHeight="1" s="205">
      <c r="A850" s="102" t="n"/>
      <c r="B850" s="147" t="n"/>
      <c r="C850" s="144" t="n"/>
      <c r="D850" s="144" t="n"/>
      <c r="E850" s="144" t="n"/>
      <c r="F850" s="144" t="n"/>
      <c r="G850" s="144" t="n"/>
      <c r="H850" s="141">
        <f>IF(K850&lt;&gt;"", HYPERLINK("https://chatgpt.com/?prompt=" &amp; SUBSTITUTE(SUBSTITUTE(K850, " ", "+"), "&amp;", "dan") &amp; "&amp;force-refresh=true&amp;timestamp=" &amp; TEXT(NOW(), "yyyymmddhhmmss"), "👉 Klik untuk Generate Script! 🔥"), "")</f>
        <v/>
      </c>
      <c r="I850" s="144" t="n"/>
      <c r="J850" s="148" t="n"/>
      <c r="K850" s="140">
        <f>IF(AND(B850&lt;&gt;"", C850&lt;&gt;"", D850&lt;&gt;"", E850&lt;&gt;"", F850&lt;&gt;"", G850&lt;&gt;"", J850&lt;&gt;"", 'CONTENT PILLAR MAPPING'!C752&lt;&gt;"", 'CONTENT PILLAR MAPPING'!E752&lt;&gt;"", 'CONTENT PILLAR MAPPING'!F752&lt;&gt;"", 'CONTENT PILLAR MAPPING'!C755&lt;&gt;"", 'CONTENT PILLAR MAPPING'!C760&lt;&gt;"", 'CONTENT PILLAR MAPPING'!D760&lt;&gt;"", 'CONTENT PILLAR MAPPING'!E760&lt;&gt;"", 'CONTENT PILLAR MAPPING'!D768&lt;&gt;"", 'CONTENT PILLAR MAPPING'!D769&lt;&gt;""),
CONCATENATE(
"Sebagai seorang top konten kreator dengan niche utama '", 'CONTENT PILLAR MAPPING'!C752, "', spesifik kategori '", 'CONTENT PILLAR MAPPING'!E752, "', dan super spesifik '", 'CONTENT PILLAR MAPPING'!F752, "', yang dikenal sebagai '", 'CONTENT PILLAR MAPPING'!C755, "'.", CHAR(10),
"Saya memiliki Tone of Voice: '", 'CONTENT PILLAR MAPPING'!C760, "', Brand Archetype: '", 'CONTENT PILLAR MAPPING'!D760, "', dan Deskripsi Gaya Komunikasi: '", 'CONTENT PILLAR MAPPING'!E760, "'.", CHAR(10),
"Target audiens saya adalah: '", 'CONTENT PILLAR MAPPING'!D768, "', dengan segmentasi audiens: '", 'CONTENT PILLAR MAPPING'!D769, "'.", CHAR(10), CHAR(10),
"Mohon buatkan script konten yang **sangat powerful, menarik, inovatif, dan siap pakai** dengan judul ide '", B850, "'.", CHAR(10),
"Konten ini memiliki pilar '", C850, "', nilai tambah utama '", F850, "', dan akan menggunakan storytelling framework '", G850, "'.", CHAR(10),
"Gambaran singkat ide kontennya adalah: '", J850, "'.", CHAR(10),
"Konten ini akan diunggah di platform '", E850, "' dengan format '", D850,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MAPPING'!C755, "'.** Sesuaikan dengan gaya komunikasi saya, dengan fokus pada nilai tambah '", F850,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MAPPING'!D768, ", khusus ", 'CONTENT PILLAR MAPPING'!D769, ") dan membantu mereka menyelesaikan masalah atau mencapai tujuan mereka.", CHAR(10),
"✔ Membantuku membangun personal branding yang kuat dan sustainable, sesuai dengan Positioning saya sebagai '", 'CONTENT PILLAR MAPPING'!C755, "' dan Brand Archetype '", 'CONTENT PILLAR MAPPING'!D760, "'.", CHAR(10),
"✔ Kemas dalam bentuk tabel agar rapi, mudah di baca dan dipahami, dengan kolom 'Judul Konten', 'Pilar', 'Format', 'Draft Script', 'CTA', 'Saran Visual', dan 'Full Caption'. (Kosongkan kolom Link Prompt jika ada)."
),
"")</f>
        <v/>
      </c>
      <c r="L850" s="199" t="n"/>
      <c r="M850" s="199" t="n"/>
      <c r="N850" s="102" t="n"/>
      <c r="O850" s="102" t="n"/>
      <c r="P850" s="102" t="n"/>
      <c r="Q850" s="102" t="n"/>
      <c r="R850" s="102" t="n"/>
      <c r="S850" s="102" t="n"/>
      <c r="T850" s="102" t="n"/>
      <c r="U850" s="102" t="n"/>
      <c r="V850" s="102" t="n"/>
      <c r="W850" s="102" t="n"/>
      <c r="X850" s="102" t="n"/>
      <c r="Y850" s="102" t="n"/>
      <c r="Z850" s="102" t="n"/>
      <c r="AA850" s="102" t="n"/>
      <c r="AB850" s="102" t="n"/>
      <c r="AC850" s="102" t="n"/>
      <c r="AD850" s="102" t="n"/>
    </row>
    <row r="851" ht="15.75" customHeight="1" s="205">
      <c r="A851" s="102" t="n"/>
      <c r="B851" s="142" t="n"/>
      <c r="C851" s="143" t="n"/>
      <c r="D851" s="143" t="n"/>
      <c r="E851" s="143" t="n"/>
      <c r="F851" s="143" t="n"/>
      <c r="G851" s="144" t="n"/>
      <c r="H851" s="145">
        <f>IF(K851&lt;&gt;"", HYPERLINK("https://chatgpt.com/?prompt=" &amp; SUBSTITUTE(SUBSTITUTE(K851, " ", "+"), "&amp;", "dan") &amp; "&amp;force-refresh=true&amp;timestamp=" &amp; TEXT(NOW(), "yyyymmddhhmmss"), "👉 Klik untuk Generate Script! 🔥"), "")</f>
        <v/>
      </c>
      <c r="I851" s="143" t="n"/>
      <c r="J851" s="146" t="n"/>
      <c r="K851" s="130">
        <f>IF(AND(B851&lt;&gt;"", C851&lt;&gt;"", D851&lt;&gt;"", E851&lt;&gt;"", F851&lt;&gt;"", G851&lt;&gt;"", J851&lt;&gt;"", 'CONTENT PILLAR MAPPING'!C754&lt;&gt;"", 'CONTENT PILLAR MAPPING'!E754&lt;&gt;"", 'CONTENT PILLAR MAPPING'!F754&lt;&gt;"", 'CONTENT PILLAR MAPPING'!C757&lt;&gt;"", 'CONTENT PILLAR MAPPING'!C762&lt;&gt;"", 'CONTENT PILLAR MAPPING'!D762&lt;&gt;"", 'CONTENT PILLAR MAPPING'!E762&lt;&gt;"", 'CONTENT PILLAR MAPPING'!D770&lt;&gt;"", 'CONTENT PILLAR MAPPING'!D771&lt;&gt;""),
CONCATENATE(
"Sebagai seorang top konten kreator dengan niche utama '", 'CONTENT PILLAR MAPPING'!C754, "', spesifik kategori '", 'CONTENT PILLAR MAPPING'!E754, "', dan super spesifik '", 'CONTENT PILLAR MAPPING'!F754, "', yang dikenal sebagai '", 'CONTENT PILLAR MAPPING'!C757, "'.", CHAR(10),
"Saya memiliki Tone of Voice: '", 'CONTENT PILLAR MAPPING'!C762, "', Brand Archetype: '", 'CONTENT PILLAR MAPPING'!D762, "', dan Deskripsi Gaya Komunikasi: '", 'CONTENT PILLAR MAPPING'!E762, "'.", CHAR(10),
"Target audiens saya adalah: '", 'CONTENT PILLAR MAPPING'!D770, "', dengan segmentasi audiens: '", 'CONTENT PILLAR MAPPING'!D771, "'.", CHAR(10), CHAR(10),
"Mohon buatkan script konten yang **sangat powerful, menarik, inovatif, dan siap pakai** dengan judul ide '", B851, "'.", CHAR(10),
"Konten ini memiliki pilar '", C851, "', nilai tambah utama '", F851, "', dan akan menggunakan storytelling framework '", G851, "'.", CHAR(10),
"Gambaran singkat ide kontennya adalah: '", J851, "'.", CHAR(10),
"Konten ini akan diunggah di platform '", E851, "' dengan format '", D851,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MAPPING'!C757, "'.** Sesuaikan dengan gaya komunikasi saya, dengan fokus pada nilai tambah '", F851,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MAPPING'!D770, ", khusus ", 'CONTENT PILLAR MAPPING'!D771, ") dan membantu mereka menyelesaikan masalah atau mencapai tujuan mereka.", CHAR(10),
"✔ Membantuku membangun personal branding yang kuat dan sustainable, sesuai dengan Positioning saya sebagai '", 'CONTENT PILLAR MAPPING'!C757, "' dan Brand Archetype '", 'CONTENT PILLAR MAPPING'!D762, "'.", CHAR(10),
"✔ Kemas dalam bentuk tabel agar rapi, mudah di baca dan dipahami, dengan kolom 'Judul Konten', 'Pilar', 'Format', 'Draft Script', 'CTA', 'Saran Visual', dan 'Full Caption'. (Kosongkan kolom Link Prompt jika ada)."
),
"")</f>
        <v/>
      </c>
      <c r="L851" s="91" t="n"/>
      <c r="M851" s="91" t="n"/>
      <c r="N851" s="102" t="n"/>
      <c r="O851" s="102" t="n"/>
      <c r="P851" s="102" t="n"/>
      <c r="Q851" s="102" t="n"/>
      <c r="R851" s="102" t="n"/>
      <c r="S851" s="102" t="n"/>
      <c r="T851" s="102" t="n"/>
      <c r="U851" s="102" t="n"/>
      <c r="V851" s="102" t="n"/>
      <c r="W851" s="102" t="n"/>
      <c r="X851" s="102" t="n"/>
      <c r="Y851" s="102" t="n"/>
      <c r="Z851" s="102" t="n"/>
      <c r="AA851" s="102" t="n"/>
      <c r="AB851" s="102" t="n"/>
      <c r="AC851" s="102" t="n"/>
      <c r="AD851" s="102" t="n"/>
    </row>
    <row r="852" ht="15.75" customHeight="1" s="205">
      <c r="A852" s="102" t="n"/>
      <c r="B852" s="147" t="n"/>
      <c r="C852" s="144" t="n"/>
      <c r="D852" s="144" t="n"/>
      <c r="E852" s="144" t="n"/>
      <c r="F852" s="144" t="n"/>
      <c r="G852" s="144" t="n"/>
      <c r="H852" s="141">
        <f>IF(K852&lt;&gt;"", HYPERLINK("https://chatgpt.com/?prompt=" &amp; SUBSTITUTE(SUBSTITUTE(K852, " ", "+"), "&amp;", "dan") &amp; "&amp;force-refresh=true&amp;timestamp=" &amp; TEXT(NOW(), "yyyymmddhhmmss"), "👉 Klik untuk Generate Script! 🔥"), "")</f>
        <v/>
      </c>
      <c r="I852" s="144" t="n"/>
      <c r="J852" s="148" t="n"/>
      <c r="K852" s="140">
        <f>IF(AND(B852&lt;&gt;"", C852&lt;&gt;"", D852&lt;&gt;"", E852&lt;&gt;"", F852&lt;&gt;"", G852&lt;&gt;"", J852&lt;&gt;"", 'CONTENT PILLAR MAPPING'!C754&lt;&gt;"", 'CONTENT PILLAR MAPPING'!E754&lt;&gt;"", 'CONTENT PILLAR MAPPING'!F754&lt;&gt;"", 'CONTENT PILLAR MAPPING'!C757&lt;&gt;"", 'CONTENT PILLAR MAPPING'!C762&lt;&gt;"", 'CONTENT PILLAR MAPPING'!D762&lt;&gt;"", 'CONTENT PILLAR MAPPING'!E762&lt;&gt;"", 'CONTENT PILLAR MAPPING'!D770&lt;&gt;"", 'CONTENT PILLAR MAPPING'!D771&lt;&gt;""),
CONCATENATE(
"Sebagai seorang top konten kreator dengan niche utama '", 'CONTENT PILLAR MAPPING'!C754, "', spesifik kategori '", 'CONTENT PILLAR MAPPING'!E754, "', dan super spesifik '", 'CONTENT PILLAR MAPPING'!F754, "', yang dikenal sebagai '", 'CONTENT PILLAR MAPPING'!C757, "'.", CHAR(10),
"Saya memiliki Tone of Voice: '", 'CONTENT PILLAR MAPPING'!C762, "', Brand Archetype: '", 'CONTENT PILLAR MAPPING'!D762, "', dan Deskripsi Gaya Komunikasi: '", 'CONTENT PILLAR MAPPING'!E762, "'.", CHAR(10),
"Target audiens saya adalah: '", 'CONTENT PILLAR MAPPING'!D770, "', dengan segmentasi audiens: '", 'CONTENT PILLAR MAPPING'!D771, "'.", CHAR(10), CHAR(10),
"Mohon buatkan script konten yang **sangat powerful, menarik, inovatif, dan siap pakai** dengan judul ide '", B852, "'.", CHAR(10),
"Konten ini memiliki pilar '", C852, "', nilai tambah utama '", F852, "', dan akan menggunakan storytelling framework '", G852, "'.", CHAR(10),
"Gambaran singkat ide kontennya adalah: '", J852, "'.", CHAR(10),
"Konten ini akan diunggah di platform '", E852, "' dengan format '", D852,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MAPPING'!C757, "'.** Sesuaikan dengan gaya komunikasi saya, dengan fokus pada nilai tambah '", F852,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MAPPING'!D770, ", khusus ", 'CONTENT PILLAR MAPPING'!D771, ") dan membantu mereka menyelesaikan masalah atau mencapai tujuan mereka.", CHAR(10),
"✔ Membantuku membangun personal branding yang kuat dan sustainable, sesuai dengan Positioning saya sebagai '", 'CONTENT PILLAR MAPPING'!C757, "' dan Brand Archetype '", 'CONTENT PILLAR MAPPING'!D762, "'.", CHAR(10),
"✔ Kemas dalam bentuk tabel agar rapi, mudah di baca dan dipahami, dengan kolom 'Judul Konten', 'Pilar', 'Format', 'Draft Script', 'CTA', 'Saran Visual', dan 'Full Caption'. (Kosongkan kolom Link Prompt jika ada)."
),
"")</f>
        <v/>
      </c>
      <c r="L852" s="199" t="n"/>
      <c r="M852" s="199" t="n"/>
      <c r="N852" s="102" t="n"/>
      <c r="O852" s="102" t="n"/>
      <c r="P852" s="102" t="n"/>
      <c r="Q852" s="102" t="n"/>
      <c r="R852" s="102" t="n"/>
      <c r="S852" s="102" t="n"/>
      <c r="T852" s="102" t="n"/>
      <c r="U852" s="102" t="n"/>
      <c r="V852" s="102" t="n"/>
      <c r="W852" s="102" t="n"/>
      <c r="X852" s="102" t="n"/>
      <c r="Y852" s="102" t="n"/>
      <c r="Z852" s="102" t="n"/>
      <c r="AA852" s="102" t="n"/>
      <c r="AB852" s="102" t="n"/>
      <c r="AC852" s="102" t="n"/>
      <c r="AD852" s="102" t="n"/>
    </row>
    <row r="853" ht="15.75" customHeight="1" s="205">
      <c r="A853" s="102" t="n"/>
      <c r="B853" s="142" t="n"/>
      <c r="C853" s="143" t="n"/>
      <c r="D853" s="143" t="n"/>
      <c r="E853" s="143" t="n"/>
      <c r="F853" s="143" t="n"/>
      <c r="G853" s="144" t="n"/>
      <c r="H853" s="145">
        <f>IF(K853&lt;&gt;"", HYPERLINK("https://chatgpt.com/?prompt=" &amp; SUBSTITUTE(SUBSTITUTE(K853, " ", "+"), "&amp;", "dan") &amp; "&amp;force-refresh=true&amp;timestamp=" &amp; TEXT(NOW(), "yyyymmddhhmmss"), "👉 Klik untuk Generate Script! 🔥"), "")</f>
        <v/>
      </c>
      <c r="I853" s="143" t="n"/>
      <c r="J853" s="146" t="n"/>
      <c r="K853" s="130">
        <f>IF(AND(B853&lt;&gt;"", C853&lt;&gt;"", D853&lt;&gt;"", E853&lt;&gt;"", F853&lt;&gt;"", G853&lt;&gt;"", J853&lt;&gt;"", 'CONTENT PILLAR MAPPING'!C756&lt;&gt;"", 'CONTENT PILLAR MAPPING'!E756&lt;&gt;"", 'CONTENT PILLAR MAPPING'!F756&lt;&gt;"", 'CONTENT PILLAR MAPPING'!C759&lt;&gt;"", 'CONTENT PILLAR MAPPING'!C764&lt;&gt;"", 'CONTENT PILLAR MAPPING'!D764&lt;&gt;"", 'CONTENT PILLAR MAPPING'!E764&lt;&gt;"", 'CONTENT PILLAR MAPPING'!D772&lt;&gt;"", 'CONTENT PILLAR MAPPING'!D773&lt;&gt;""),
CONCATENATE(
"Sebagai seorang top konten kreator dengan niche utama '", 'CONTENT PILLAR MAPPING'!C756, "', spesifik kategori '", 'CONTENT PILLAR MAPPING'!E756, "', dan super spesifik '", 'CONTENT PILLAR MAPPING'!F756, "', yang dikenal sebagai '", 'CONTENT PILLAR MAPPING'!C759, "'.", CHAR(10),
"Saya memiliki Tone of Voice: '", 'CONTENT PILLAR MAPPING'!C764, "', Brand Archetype: '", 'CONTENT PILLAR MAPPING'!D764, "', dan Deskripsi Gaya Komunikasi: '", 'CONTENT PILLAR MAPPING'!E764, "'.", CHAR(10),
"Target audiens saya adalah: '", 'CONTENT PILLAR MAPPING'!D772, "', dengan segmentasi audiens: '", 'CONTENT PILLAR MAPPING'!D773, "'.", CHAR(10), CHAR(10),
"Mohon buatkan script konten yang **sangat powerful, menarik, inovatif, dan siap pakai** dengan judul ide '", B853, "'.", CHAR(10),
"Konten ini memiliki pilar '", C853, "', nilai tambah utama '", F853, "', dan akan menggunakan storytelling framework '", G853, "'.", CHAR(10),
"Gambaran singkat ide kontennya adalah: '", J853, "'.", CHAR(10),
"Konten ini akan diunggah di platform '", E853, "' dengan format '", D853,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MAPPING'!C759, "'.** Sesuaikan dengan gaya komunikasi saya, dengan fokus pada nilai tambah '", F853,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MAPPING'!D772, ", khusus ", 'CONTENT PILLAR MAPPING'!D773, ") dan membantu mereka menyelesaikan masalah atau mencapai tujuan mereka.", CHAR(10),
"✔ Membantuku membangun personal branding yang kuat dan sustainable, sesuai dengan Positioning saya sebagai '", 'CONTENT PILLAR MAPPING'!C759, "' dan Brand Archetype '", 'CONTENT PILLAR MAPPING'!D764, "'.", CHAR(10),
"✔ Kemas dalam bentuk tabel agar rapi, mudah di baca dan dipahami, dengan kolom 'Judul Konten', 'Pilar', 'Format', 'Draft Script', 'CTA', 'Saran Visual', dan 'Full Caption'. (Kosongkan kolom Link Prompt jika ada)."
),
"")</f>
        <v/>
      </c>
      <c r="L853" s="91" t="n"/>
      <c r="M853" s="91" t="n"/>
      <c r="N853" s="102" t="n"/>
      <c r="O853" s="102" t="n"/>
      <c r="P853" s="102" t="n"/>
      <c r="Q853" s="102" t="n"/>
      <c r="R853" s="102" t="n"/>
      <c r="S853" s="102" t="n"/>
      <c r="T853" s="102" t="n"/>
      <c r="U853" s="102" t="n"/>
      <c r="V853" s="102" t="n"/>
      <c r="W853" s="102" t="n"/>
      <c r="X853" s="102" t="n"/>
      <c r="Y853" s="102" t="n"/>
      <c r="Z853" s="102" t="n"/>
      <c r="AA853" s="102" t="n"/>
      <c r="AB853" s="102" t="n"/>
      <c r="AC853" s="102" t="n"/>
      <c r="AD853" s="102" t="n"/>
    </row>
    <row r="854" ht="15.75" customHeight="1" s="205">
      <c r="A854" s="102" t="n"/>
      <c r="B854" s="147" t="n"/>
      <c r="C854" s="144" t="n"/>
      <c r="D854" s="144" t="n"/>
      <c r="E854" s="144" t="n"/>
      <c r="F854" s="144" t="n"/>
      <c r="G854" s="144" t="n"/>
      <c r="H854" s="141">
        <f>IF(K854&lt;&gt;"", HYPERLINK("https://chatgpt.com/?prompt=" &amp; SUBSTITUTE(SUBSTITUTE(K854, " ", "+"), "&amp;", "dan") &amp; "&amp;force-refresh=true&amp;timestamp=" &amp; TEXT(NOW(), "yyyymmddhhmmss"), "👉 Klik untuk Generate Script! 🔥"), "")</f>
        <v/>
      </c>
      <c r="I854" s="144" t="n"/>
      <c r="J854" s="148" t="n"/>
      <c r="K854" s="140">
        <f>IF(AND(B854&lt;&gt;"", C854&lt;&gt;"", D854&lt;&gt;"", E854&lt;&gt;"", F854&lt;&gt;"", G854&lt;&gt;"", J854&lt;&gt;"", 'CONTENT PILLAR MAPPING'!C756&lt;&gt;"", 'CONTENT PILLAR MAPPING'!E756&lt;&gt;"", 'CONTENT PILLAR MAPPING'!F756&lt;&gt;"", 'CONTENT PILLAR MAPPING'!C759&lt;&gt;"", 'CONTENT PILLAR MAPPING'!C764&lt;&gt;"", 'CONTENT PILLAR MAPPING'!D764&lt;&gt;"", 'CONTENT PILLAR MAPPING'!E764&lt;&gt;"", 'CONTENT PILLAR MAPPING'!D772&lt;&gt;"", 'CONTENT PILLAR MAPPING'!D773&lt;&gt;""),
CONCATENATE(
"Sebagai seorang top konten kreator dengan niche utama '", 'CONTENT PILLAR MAPPING'!C756, "', spesifik kategori '", 'CONTENT PILLAR MAPPING'!E756, "', dan super spesifik '", 'CONTENT PILLAR MAPPING'!F756, "', yang dikenal sebagai '", 'CONTENT PILLAR MAPPING'!C759, "'.", CHAR(10),
"Saya memiliki Tone of Voice: '", 'CONTENT PILLAR MAPPING'!C764, "', Brand Archetype: '", 'CONTENT PILLAR MAPPING'!D764, "', dan Deskripsi Gaya Komunikasi: '", 'CONTENT PILLAR MAPPING'!E764, "'.", CHAR(10),
"Target audiens saya adalah: '", 'CONTENT PILLAR MAPPING'!D772, "', dengan segmentasi audiens: '", 'CONTENT PILLAR MAPPING'!D773, "'.", CHAR(10), CHAR(10),
"Mohon buatkan script konten yang **sangat powerful, menarik, inovatif, dan siap pakai** dengan judul ide '", B854, "'.", CHAR(10),
"Konten ini memiliki pilar '", C854, "', nilai tambah utama '", F854, "', dan akan menggunakan storytelling framework '", G854, "'.", CHAR(10),
"Gambaran singkat ide kontennya adalah: '", J854, "'.", CHAR(10),
"Konten ini akan diunggah di platform '", E854, "' dengan format '", D854,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MAPPING'!C759, "'.** Sesuaikan dengan gaya komunikasi saya, dengan fokus pada nilai tambah '", F854,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MAPPING'!D772, ", khusus ", 'CONTENT PILLAR MAPPING'!D773, ") dan membantu mereka menyelesaikan masalah atau mencapai tujuan mereka.", CHAR(10),
"✔ Membantuku membangun personal branding yang kuat dan sustainable, sesuai dengan Positioning saya sebagai '", 'CONTENT PILLAR MAPPING'!C759, "' dan Brand Archetype '", 'CONTENT PILLAR MAPPING'!D764, "'.", CHAR(10),
"✔ Kemas dalam bentuk tabel agar rapi, mudah di baca dan dipahami, dengan kolom 'Judul Konten', 'Pilar', 'Format', 'Draft Script', 'CTA', 'Saran Visual', dan 'Full Caption'. (Kosongkan kolom Link Prompt jika ada)."
),
"")</f>
        <v/>
      </c>
      <c r="L854" s="199" t="n"/>
      <c r="M854" s="199" t="n"/>
      <c r="N854" s="102" t="n"/>
      <c r="O854" s="102" t="n"/>
      <c r="P854" s="102" t="n"/>
      <c r="Q854" s="102" t="n"/>
      <c r="R854" s="102" t="n"/>
      <c r="S854" s="102" t="n"/>
      <c r="T854" s="102" t="n"/>
      <c r="U854" s="102" t="n"/>
      <c r="V854" s="102" t="n"/>
      <c r="W854" s="102" t="n"/>
      <c r="X854" s="102" t="n"/>
      <c r="Y854" s="102" t="n"/>
      <c r="Z854" s="102" t="n"/>
      <c r="AA854" s="102" t="n"/>
      <c r="AB854" s="102" t="n"/>
      <c r="AC854" s="102" t="n"/>
      <c r="AD854" s="102" t="n"/>
    </row>
    <row r="855" ht="15.75" customHeight="1" s="205">
      <c r="A855" s="102" t="n"/>
      <c r="B855" s="142" t="n"/>
      <c r="C855" s="143" t="n"/>
      <c r="D855" s="143" t="n"/>
      <c r="E855" s="143" t="n"/>
      <c r="F855" s="143" t="n"/>
      <c r="G855" s="144" t="n"/>
      <c r="H855" s="145">
        <f>IF(K855&lt;&gt;"", HYPERLINK("https://chatgpt.com/?prompt=" &amp; SUBSTITUTE(SUBSTITUTE(K855, " ", "+"), "&amp;", "dan") &amp; "&amp;force-refresh=true&amp;timestamp=" &amp; TEXT(NOW(), "yyyymmddhhmmss"), "👉 Klik untuk Generate Script! 🔥"), "")</f>
        <v/>
      </c>
      <c r="I855" s="143" t="n"/>
      <c r="J855" s="146" t="n"/>
      <c r="K855" s="130">
        <f>IF(AND(B855&lt;&gt;"", C855&lt;&gt;"", D855&lt;&gt;"", E855&lt;&gt;"", F855&lt;&gt;"", G855&lt;&gt;"", J855&lt;&gt;"", 'CONTENT PILLAR MAPPING'!C758&lt;&gt;"", 'CONTENT PILLAR MAPPING'!E758&lt;&gt;"", 'CONTENT PILLAR MAPPING'!F758&lt;&gt;"", 'CONTENT PILLAR MAPPING'!C761&lt;&gt;"", 'CONTENT PILLAR MAPPING'!C766&lt;&gt;"", 'CONTENT PILLAR MAPPING'!D766&lt;&gt;"", 'CONTENT PILLAR MAPPING'!E766&lt;&gt;"", 'CONTENT PILLAR MAPPING'!D774&lt;&gt;"", 'CONTENT PILLAR MAPPING'!D775&lt;&gt;""),
CONCATENATE(
"Sebagai seorang top konten kreator dengan niche utama '", 'CONTENT PILLAR MAPPING'!C758, "', spesifik kategori '", 'CONTENT PILLAR MAPPING'!E758, "', dan super spesifik '", 'CONTENT PILLAR MAPPING'!F758, "', yang dikenal sebagai '", 'CONTENT PILLAR MAPPING'!C761, "'.", CHAR(10),
"Saya memiliki Tone of Voice: '", 'CONTENT PILLAR MAPPING'!C766, "', Brand Archetype: '", 'CONTENT PILLAR MAPPING'!D766, "', dan Deskripsi Gaya Komunikasi: '", 'CONTENT PILLAR MAPPING'!E766, "'.", CHAR(10),
"Target audiens saya adalah: '", 'CONTENT PILLAR MAPPING'!D774, "', dengan segmentasi audiens: '", 'CONTENT PILLAR MAPPING'!D775, "'.", CHAR(10), CHAR(10),
"Mohon buatkan script konten yang **sangat powerful, menarik, inovatif, dan siap pakai** dengan judul ide '", B855, "'.", CHAR(10),
"Konten ini memiliki pilar '", C855, "', nilai tambah utama '", F855, "', dan akan menggunakan storytelling framework '", G855, "'.", CHAR(10),
"Gambaran singkat ide kontennya adalah: '", J855, "'.", CHAR(10),
"Konten ini akan diunggah di platform '", E855, "' dengan format '", D855,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MAPPING'!C761, "'.** Sesuaikan dengan gaya komunikasi saya, dengan fokus pada nilai tambah '", F855,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MAPPING'!D774, ", khusus ", 'CONTENT PILLAR MAPPING'!D775, ") dan membantu mereka menyelesaikan masalah atau mencapai tujuan mereka.", CHAR(10),
"✔ Membantuku membangun personal branding yang kuat dan sustainable, sesuai dengan Positioning saya sebagai '", 'CONTENT PILLAR MAPPING'!C761, "' dan Brand Archetype '", 'CONTENT PILLAR MAPPING'!D766, "'.", CHAR(10),
"✔ Kemas dalam bentuk tabel agar rapi, mudah di baca dan dipahami, dengan kolom 'Judul Konten', 'Pilar', 'Format', 'Draft Script', 'CTA', 'Saran Visual', dan 'Full Caption'. (Kosongkan kolom Link Prompt jika ada)."
),
"")</f>
        <v/>
      </c>
      <c r="L855" s="91" t="n"/>
      <c r="M855" s="91" t="n"/>
      <c r="N855" s="102" t="n"/>
      <c r="O855" s="102" t="n"/>
      <c r="P855" s="102" t="n"/>
      <c r="Q855" s="102" t="n"/>
      <c r="R855" s="102" t="n"/>
      <c r="S855" s="102" t="n"/>
      <c r="T855" s="102" t="n"/>
      <c r="U855" s="102" t="n"/>
      <c r="V855" s="102" t="n"/>
      <c r="W855" s="102" t="n"/>
      <c r="X855" s="102" t="n"/>
      <c r="Y855" s="102" t="n"/>
      <c r="Z855" s="102" t="n"/>
      <c r="AA855" s="102" t="n"/>
      <c r="AB855" s="102" t="n"/>
      <c r="AC855" s="102" t="n"/>
      <c r="AD855" s="102" t="n"/>
    </row>
    <row r="856" ht="15.75" customHeight="1" s="205">
      <c r="A856" s="102" t="n"/>
      <c r="B856" s="147" t="n"/>
      <c r="C856" s="144" t="n"/>
      <c r="D856" s="144" t="n"/>
      <c r="E856" s="144" t="n"/>
      <c r="F856" s="144" t="n"/>
      <c r="G856" s="144" t="n"/>
      <c r="H856" s="141">
        <f>IF(K856&lt;&gt;"", HYPERLINK("https://chatgpt.com/?prompt=" &amp; SUBSTITUTE(SUBSTITUTE(K856, " ", "+"), "&amp;", "dan") &amp; "&amp;force-refresh=true&amp;timestamp=" &amp; TEXT(NOW(), "yyyymmddhhmmss"), "👉 Klik untuk Generate Script! 🔥"), "")</f>
        <v/>
      </c>
      <c r="I856" s="144" t="n"/>
      <c r="J856" s="148" t="n"/>
      <c r="K856" s="140">
        <f>IF(AND(B856&lt;&gt;"", C856&lt;&gt;"", D856&lt;&gt;"", E856&lt;&gt;"", F856&lt;&gt;"", G856&lt;&gt;"", J856&lt;&gt;"", 'CONTENT PILLAR MAPPING'!C758&lt;&gt;"", 'CONTENT PILLAR MAPPING'!E758&lt;&gt;"", 'CONTENT PILLAR MAPPING'!F758&lt;&gt;"", 'CONTENT PILLAR MAPPING'!C761&lt;&gt;"", 'CONTENT PILLAR MAPPING'!C766&lt;&gt;"", 'CONTENT PILLAR MAPPING'!D766&lt;&gt;"", 'CONTENT PILLAR MAPPING'!E766&lt;&gt;"", 'CONTENT PILLAR MAPPING'!D774&lt;&gt;"", 'CONTENT PILLAR MAPPING'!D775&lt;&gt;""),
CONCATENATE(
"Sebagai seorang top konten kreator dengan niche utama '", 'CONTENT PILLAR MAPPING'!C758, "', spesifik kategori '", 'CONTENT PILLAR MAPPING'!E758, "', dan super spesifik '", 'CONTENT PILLAR MAPPING'!F758, "', yang dikenal sebagai '", 'CONTENT PILLAR MAPPING'!C761, "'.", CHAR(10),
"Saya memiliki Tone of Voice: '", 'CONTENT PILLAR MAPPING'!C766, "', Brand Archetype: '", 'CONTENT PILLAR MAPPING'!D766, "', dan Deskripsi Gaya Komunikasi: '", 'CONTENT PILLAR MAPPING'!E766, "'.", CHAR(10),
"Target audiens saya adalah: '", 'CONTENT PILLAR MAPPING'!D774, "', dengan segmentasi audiens: '", 'CONTENT PILLAR MAPPING'!D775, "'.", CHAR(10), CHAR(10),
"Mohon buatkan script konten yang **sangat powerful, menarik, inovatif, dan siap pakai** dengan judul ide '", B856, "'.", CHAR(10),
"Konten ini memiliki pilar '", C856, "', nilai tambah utama '", F856, "', dan akan menggunakan storytelling framework '", G856, "'.", CHAR(10),
"Gambaran singkat ide kontennya adalah: '", J856, "'.", CHAR(10),
"Konten ini akan diunggah di platform '", E856, "' dengan format '", D856,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MAPPING'!C761, "'.** Sesuaikan dengan gaya komunikasi saya, dengan fokus pada nilai tambah '", F856,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MAPPING'!D774, ", khusus ", 'CONTENT PILLAR MAPPING'!D775, ") dan membantu mereka menyelesaikan masalah atau mencapai tujuan mereka.", CHAR(10),
"✔ Membantuku membangun personal branding yang kuat dan sustainable, sesuai dengan Positioning saya sebagai '", 'CONTENT PILLAR MAPPING'!C761, "' dan Brand Archetype '", 'CONTENT PILLAR MAPPING'!D766, "'.", CHAR(10),
"✔ Kemas dalam bentuk tabel agar rapi, mudah di baca dan dipahami, dengan kolom 'Judul Konten', 'Pilar', 'Format', 'Draft Script', 'CTA', 'Saran Visual', dan 'Full Caption'. (Kosongkan kolom Link Prompt jika ada)."
),
"")</f>
        <v/>
      </c>
      <c r="L856" s="199" t="n"/>
      <c r="M856" s="199" t="n"/>
      <c r="N856" s="102" t="n"/>
      <c r="O856" s="102" t="n"/>
      <c r="P856" s="102" t="n"/>
      <c r="Q856" s="102" t="n"/>
      <c r="R856" s="102" t="n"/>
      <c r="S856" s="102" t="n"/>
      <c r="T856" s="102" t="n"/>
      <c r="U856" s="102" t="n"/>
      <c r="V856" s="102" t="n"/>
      <c r="W856" s="102" t="n"/>
      <c r="X856" s="102" t="n"/>
      <c r="Y856" s="102" t="n"/>
      <c r="Z856" s="102" t="n"/>
      <c r="AA856" s="102" t="n"/>
      <c r="AB856" s="102" t="n"/>
      <c r="AC856" s="102" t="n"/>
      <c r="AD856" s="102" t="n"/>
    </row>
    <row r="857" ht="15.75" customHeight="1" s="205">
      <c r="A857" s="102" t="n"/>
      <c r="B857" s="142" t="n"/>
      <c r="C857" s="143" t="n"/>
      <c r="D857" s="143" t="n"/>
      <c r="E857" s="143" t="n"/>
      <c r="F857" s="143" t="n"/>
      <c r="G857" s="144" t="n"/>
      <c r="H857" s="145">
        <f>IF(K857&lt;&gt;"", HYPERLINK("https://chatgpt.com/?prompt=" &amp; SUBSTITUTE(SUBSTITUTE(K857, " ", "+"), "&amp;", "dan") &amp; "&amp;force-refresh=true&amp;timestamp=" &amp; TEXT(NOW(), "yyyymmddhhmmss"), "👉 Klik untuk Generate Script! 🔥"), "")</f>
        <v/>
      </c>
      <c r="I857" s="143" t="n"/>
      <c r="J857" s="146" t="n"/>
      <c r="K857" s="130">
        <f>IF(AND(B857&lt;&gt;"", C857&lt;&gt;"", D857&lt;&gt;"", E857&lt;&gt;"", F857&lt;&gt;"", G857&lt;&gt;"", J857&lt;&gt;"", 'CONTENT PILLAR MAPPING'!C760&lt;&gt;"", 'CONTENT PILLAR MAPPING'!E760&lt;&gt;"", 'CONTENT PILLAR MAPPING'!F760&lt;&gt;"", 'CONTENT PILLAR MAPPING'!C763&lt;&gt;"", 'CONTENT PILLAR MAPPING'!C768&lt;&gt;"", 'CONTENT PILLAR MAPPING'!D768&lt;&gt;"", 'CONTENT PILLAR MAPPING'!E768&lt;&gt;"", 'CONTENT PILLAR MAPPING'!D776&lt;&gt;"", 'CONTENT PILLAR MAPPING'!D777&lt;&gt;""),
CONCATENATE(
"Sebagai seorang top konten kreator dengan niche utama '", 'CONTENT PILLAR MAPPING'!C760, "', spesifik kategori '", 'CONTENT PILLAR MAPPING'!E760, "', dan super spesifik '", 'CONTENT PILLAR MAPPING'!F760, "', yang dikenal sebagai '", 'CONTENT PILLAR MAPPING'!C763, "'.", CHAR(10),
"Saya memiliki Tone of Voice: '", 'CONTENT PILLAR MAPPING'!C768, "', Brand Archetype: '", 'CONTENT PILLAR MAPPING'!D768, "', dan Deskripsi Gaya Komunikasi: '", 'CONTENT PILLAR MAPPING'!E768, "'.", CHAR(10),
"Target audiens saya adalah: '", 'CONTENT PILLAR MAPPING'!D776, "', dengan segmentasi audiens: '", 'CONTENT PILLAR MAPPING'!D777, "'.", CHAR(10), CHAR(10),
"Mohon buatkan script konten yang **sangat powerful, menarik, inovatif, dan siap pakai** dengan judul ide '", B857, "'.", CHAR(10),
"Konten ini memiliki pilar '", C857, "', nilai tambah utama '", F857, "', dan akan menggunakan storytelling framework '", G857, "'.", CHAR(10),
"Gambaran singkat ide kontennya adalah: '", J857, "'.", CHAR(10),
"Konten ini akan diunggah di platform '", E857, "' dengan format '", D857,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MAPPING'!C763, "'.** Sesuaikan dengan gaya komunikasi saya, dengan fokus pada nilai tambah '", F857,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MAPPING'!D776, ", khusus ", 'CONTENT PILLAR MAPPING'!D777, ") dan membantu mereka menyelesaikan masalah atau mencapai tujuan mereka.", CHAR(10),
"✔ Membantuku membangun personal branding yang kuat dan sustainable, sesuai dengan Positioning saya sebagai '", 'CONTENT PILLAR MAPPING'!C763, "' dan Brand Archetype '", 'CONTENT PILLAR MAPPING'!D768, "'.", CHAR(10),
"✔ Kemas dalam bentuk tabel agar rapi, mudah di baca dan dipahami, dengan kolom 'Judul Konten', 'Pilar', 'Format', 'Draft Script', 'CTA', 'Saran Visual', dan 'Full Caption'. (Kosongkan kolom Link Prompt jika ada)."
),
"")</f>
        <v/>
      </c>
      <c r="L857" s="91" t="n"/>
      <c r="M857" s="91" t="n"/>
      <c r="N857" s="102" t="n"/>
      <c r="O857" s="102" t="n"/>
      <c r="P857" s="102" t="n"/>
      <c r="Q857" s="102" t="n"/>
      <c r="R857" s="102" t="n"/>
      <c r="S857" s="102" t="n"/>
      <c r="T857" s="102" t="n"/>
      <c r="U857" s="102" t="n"/>
      <c r="V857" s="102" t="n"/>
      <c r="W857" s="102" t="n"/>
      <c r="X857" s="102" t="n"/>
      <c r="Y857" s="102" t="n"/>
      <c r="Z857" s="102" t="n"/>
      <c r="AA857" s="102" t="n"/>
      <c r="AB857" s="102" t="n"/>
      <c r="AC857" s="102" t="n"/>
      <c r="AD857" s="102" t="n"/>
    </row>
    <row r="858" ht="15.75" customHeight="1" s="205">
      <c r="A858" s="102" t="n"/>
      <c r="B858" s="147" t="n"/>
      <c r="C858" s="144" t="n"/>
      <c r="D858" s="144" t="n"/>
      <c r="E858" s="144" t="n"/>
      <c r="F858" s="144" t="n"/>
      <c r="G858" s="144" t="n"/>
      <c r="H858" s="141">
        <f>IF(K858&lt;&gt;"", HYPERLINK("https://chatgpt.com/?prompt=" &amp; SUBSTITUTE(SUBSTITUTE(K858, " ", "+"), "&amp;", "dan") &amp; "&amp;force-refresh=true&amp;timestamp=" &amp; TEXT(NOW(), "yyyymmddhhmmss"), "👉 Klik untuk Generate Script! 🔥"), "")</f>
        <v/>
      </c>
      <c r="I858" s="144" t="n"/>
      <c r="J858" s="148" t="n"/>
      <c r="K858" s="140">
        <f>IF(AND(B858&lt;&gt;"", C858&lt;&gt;"", D858&lt;&gt;"", E858&lt;&gt;"", F858&lt;&gt;"", G858&lt;&gt;"", J858&lt;&gt;"", 'CONTENT PILLAR MAPPING'!C760&lt;&gt;"", 'CONTENT PILLAR MAPPING'!E760&lt;&gt;"", 'CONTENT PILLAR MAPPING'!F760&lt;&gt;"", 'CONTENT PILLAR MAPPING'!C763&lt;&gt;"", 'CONTENT PILLAR MAPPING'!C768&lt;&gt;"", 'CONTENT PILLAR MAPPING'!D768&lt;&gt;"", 'CONTENT PILLAR MAPPING'!E768&lt;&gt;"", 'CONTENT PILLAR MAPPING'!D776&lt;&gt;"", 'CONTENT PILLAR MAPPING'!D777&lt;&gt;""),
CONCATENATE(
"Sebagai seorang top konten kreator dengan niche utama '", 'CONTENT PILLAR MAPPING'!C760, "', spesifik kategori '", 'CONTENT PILLAR MAPPING'!E760, "', dan super spesifik '", 'CONTENT PILLAR MAPPING'!F760, "', yang dikenal sebagai '", 'CONTENT PILLAR MAPPING'!C763, "'.", CHAR(10),
"Saya memiliki Tone of Voice: '", 'CONTENT PILLAR MAPPING'!C768, "', Brand Archetype: '", 'CONTENT PILLAR MAPPING'!D768, "', dan Deskripsi Gaya Komunikasi: '", 'CONTENT PILLAR MAPPING'!E768, "'.", CHAR(10),
"Target audiens saya adalah: '", 'CONTENT PILLAR MAPPING'!D776, "', dengan segmentasi audiens: '", 'CONTENT PILLAR MAPPING'!D777, "'.", CHAR(10), CHAR(10),
"Mohon buatkan script konten yang **sangat powerful, menarik, inovatif, dan siap pakai** dengan judul ide '", B858, "'.", CHAR(10),
"Konten ini memiliki pilar '", C858, "', nilai tambah utama '", F858, "', dan akan menggunakan storytelling framework '", G858, "'.", CHAR(10),
"Gambaran singkat ide kontennya adalah: '", J858, "'.", CHAR(10),
"Konten ini akan diunggah di platform '", E858, "' dengan format '", D858,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MAPPING'!C763, "'.** Sesuaikan dengan gaya komunikasi saya, dengan fokus pada nilai tambah '", F858,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MAPPING'!D776, ", khusus ", 'CONTENT PILLAR MAPPING'!D777, ") dan membantu mereka menyelesaikan masalah atau mencapai tujuan mereka.", CHAR(10),
"✔ Membantuku membangun personal branding yang kuat dan sustainable, sesuai dengan Positioning saya sebagai '", 'CONTENT PILLAR MAPPING'!C763, "' dan Brand Archetype '", 'CONTENT PILLAR MAPPING'!D768, "'.", CHAR(10),
"✔ Kemas dalam bentuk tabel agar rapi, mudah di baca dan dipahami, dengan kolom 'Judul Konten', 'Pilar', 'Format', 'Draft Script', 'CTA', 'Saran Visual', dan 'Full Caption'. (Kosongkan kolom Link Prompt jika ada)."
),
"")</f>
        <v/>
      </c>
      <c r="L858" s="199" t="n"/>
      <c r="M858" s="199" t="n"/>
      <c r="N858" s="102" t="n"/>
      <c r="O858" s="102" t="n"/>
      <c r="P858" s="102" t="n"/>
      <c r="Q858" s="102" t="n"/>
      <c r="R858" s="102" t="n"/>
      <c r="S858" s="102" t="n"/>
      <c r="T858" s="102" t="n"/>
      <c r="U858" s="102" t="n"/>
      <c r="V858" s="102" t="n"/>
      <c r="W858" s="102" t="n"/>
      <c r="X858" s="102" t="n"/>
      <c r="Y858" s="102" t="n"/>
      <c r="Z858" s="102" t="n"/>
      <c r="AA858" s="102" t="n"/>
      <c r="AB858" s="102" t="n"/>
      <c r="AC858" s="102" t="n"/>
      <c r="AD858" s="102" t="n"/>
    </row>
    <row r="859" ht="15.75" customHeight="1" s="205">
      <c r="A859" s="102" t="n"/>
      <c r="B859" s="142" t="n"/>
      <c r="C859" s="143" t="n"/>
      <c r="D859" s="143" t="n"/>
      <c r="E859" s="143" t="n"/>
      <c r="F859" s="143" t="n"/>
      <c r="G859" s="144" t="n"/>
      <c r="H859" s="145">
        <f>IF(K859&lt;&gt;"", HYPERLINK("https://chatgpt.com/?prompt=" &amp; SUBSTITUTE(SUBSTITUTE(K859, " ", "+"), "&amp;", "dan") &amp; "&amp;force-refresh=true&amp;timestamp=" &amp; TEXT(NOW(), "yyyymmddhhmmss"), "👉 Klik untuk Generate Script! 🔥"), "")</f>
        <v/>
      </c>
      <c r="I859" s="143" t="n"/>
      <c r="J859" s="146" t="n"/>
      <c r="K859" s="130">
        <f>IF(AND(B859&lt;&gt;"", C859&lt;&gt;"", D859&lt;&gt;"", E859&lt;&gt;"", F859&lt;&gt;"", G859&lt;&gt;"", J859&lt;&gt;"", 'CONTENT PILLAR MAPPING'!C762&lt;&gt;"", 'CONTENT PILLAR MAPPING'!E762&lt;&gt;"", 'CONTENT PILLAR MAPPING'!F762&lt;&gt;"", 'CONTENT PILLAR MAPPING'!C765&lt;&gt;"", 'CONTENT PILLAR MAPPING'!C770&lt;&gt;"", 'CONTENT PILLAR MAPPING'!D770&lt;&gt;"", 'CONTENT PILLAR MAPPING'!E770&lt;&gt;"", 'CONTENT PILLAR MAPPING'!D778&lt;&gt;"", 'CONTENT PILLAR MAPPING'!D779&lt;&gt;""),
CONCATENATE(
"Sebagai seorang top konten kreator dengan niche utama '", 'CONTENT PILLAR MAPPING'!C762, "', spesifik kategori '", 'CONTENT PILLAR MAPPING'!E762, "', dan super spesifik '", 'CONTENT PILLAR MAPPING'!F762, "', yang dikenal sebagai '", 'CONTENT PILLAR MAPPING'!C765, "'.", CHAR(10),
"Saya memiliki Tone of Voice: '", 'CONTENT PILLAR MAPPING'!C770, "', Brand Archetype: '", 'CONTENT PILLAR MAPPING'!D770, "', dan Deskripsi Gaya Komunikasi: '", 'CONTENT PILLAR MAPPING'!E770, "'.", CHAR(10),
"Target audiens saya adalah: '", 'CONTENT PILLAR MAPPING'!D778, "', dengan segmentasi audiens: '", 'CONTENT PILLAR MAPPING'!D779, "'.", CHAR(10), CHAR(10),
"Mohon buatkan script konten yang **sangat powerful, menarik, inovatif, dan siap pakai** dengan judul ide '", B859, "'.", CHAR(10),
"Konten ini memiliki pilar '", C859, "', nilai tambah utama '", F859, "', dan akan menggunakan storytelling framework '", G859, "'.", CHAR(10),
"Gambaran singkat ide kontennya adalah: '", J859, "'.", CHAR(10),
"Konten ini akan diunggah di platform '", E859, "' dengan format '", D859,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MAPPING'!C765, "'.** Sesuaikan dengan gaya komunikasi saya, dengan fokus pada nilai tambah '", F859,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MAPPING'!D778, ", khusus ", 'CONTENT PILLAR MAPPING'!D779, ") dan membantu mereka menyelesaikan masalah atau mencapai tujuan mereka.", CHAR(10),
"✔ Membantuku membangun personal branding yang kuat dan sustainable, sesuai dengan Positioning saya sebagai '", 'CONTENT PILLAR MAPPING'!C765, "' dan Brand Archetype '", 'CONTENT PILLAR MAPPING'!D770, "'.", CHAR(10),
"✔ Kemas dalam bentuk tabel agar rapi, mudah di baca dan dipahami, dengan kolom 'Judul Konten', 'Pilar', 'Format', 'Draft Script', 'CTA', 'Saran Visual', dan 'Full Caption'. (Kosongkan kolom Link Prompt jika ada)."
),
"")</f>
        <v/>
      </c>
      <c r="L859" s="91" t="n"/>
      <c r="M859" s="91" t="n"/>
      <c r="N859" s="102" t="n"/>
      <c r="O859" s="102" t="n"/>
      <c r="P859" s="102" t="n"/>
      <c r="Q859" s="102" t="n"/>
      <c r="R859" s="102" t="n"/>
      <c r="S859" s="102" t="n"/>
      <c r="T859" s="102" t="n"/>
      <c r="U859" s="102" t="n"/>
      <c r="V859" s="102" t="n"/>
      <c r="W859" s="102" t="n"/>
      <c r="X859" s="102" t="n"/>
      <c r="Y859" s="102" t="n"/>
      <c r="Z859" s="102" t="n"/>
      <c r="AA859" s="102" t="n"/>
      <c r="AB859" s="102" t="n"/>
      <c r="AC859" s="102" t="n"/>
      <c r="AD859" s="102" t="n"/>
    </row>
    <row r="860" ht="15.75" customHeight="1" s="205">
      <c r="A860" s="102" t="n"/>
      <c r="B860" s="147" t="n"/>
      <c r="C860" s="144" t="n"/>
      <c r="D860" s="144" t="n"/>
      <c r="E860" s="144" t="n"/>
      <c r="F860" s="144" t="n"/>
      <c r="G860" s="144" t="n"/>
      <c r="H860" s="141">
        <f>IF(K860&lt;&gt;"", HYPERLINK("https://chatgpt.com/?prompt=" &amp; SUBSTITUTE(SUBSTITUTE(K860, " ", "+"), "&amp;", "dan") &amp; "&amp;force-refresh=true&amp;timestamp=" &amp; TEXT(NOW(), "yyyymmddhhmmss"), "👉 Klik untuk Generate Script! 🔥"), "")</f>
        <v/>
      </c>
      <c r="I860" s="144" t="n"/>
      <c r="J860" s="148" t="n"/>
      <c r="K860" s="140">
        <f>IF(AND(B860&lt;&gt;"", C860&lt;&gt;"", D860&lt;&gt;"", E860&lt;&gt;"", F860&lt;&gt;"", G860&lt;&gt;"", J860&lt;&gt;"", 'CONTENT PILLAR MAPPING'!C762&lt;&gt;"", 'CONTENT PILLAR MAPPING'!E762&lt;&gt;"", 'CONTENT PILLAR MAPPING'!F762&lt;&gt;"", 'CONTENT PILLAR MAPPING'!C765&lt;&gt;"", 'CONTENT PILLAR MAPPING'!C770&lt;&gt;"", 'CONTENT PILLAR MAPPING'!D770&lt;&gt;"", 'CONTENT PILLAR MAPPING'!E770&lt;&gt;"", 'CONTENT PILLAR MAPPING'!D778&lt;&gt;"", 'CONTENT PILLAR MAPPING'!D779&lt;&gt;""),
CONCATENATE(
"Sebagai seorang top konten kreator dengan niche utama '", 'CONTENT PILLAR MAPPING'!C762, "', spesifik kategori '", 'CONTENT PILLAR MAPPING'!E762, "', dan super spesifik '", 'CONTENT PILLAR MAPPING'!F762, "', yang dikenal sebagai '", 'CONTENT PILLAR MAPPING'!C765, "'.", CHAR(10),
"Saya memiliki Tone of Voice: '", 'CONTENT PILLAR MAPPING'!C770, "', Brand Archetype: '", 'CONTENT PILLAR MAPPING'!D770, "', dan Deskripsi Gaya Komunikasi: '", 'CONTENT PILLAR MAPPING'!E770, "'.", CHAR(10),
"Target audiens saya adalah: '", 'CONTENT PILLAR MAPPING'!D778, "', dengan segmentasi audiens: '", 'CONTENT PILLAR MAPPING'!D779, "'.", CHAR(10), CHAR(10),
"Mohon buatkan script konten yang **sangat powerful, menarik, inovatif, dan siap pakai** dengan judul ide '", B860, "'.", CHAR(10),
"Konten ini memiliki pilar '", C860, "', nilai tambah utama '", F860, "', dan akan menggunakan storytelling framework '", G860, "'.", CHAR(10),
"Gambaran singkat ide kontennya adalah: '", J860, "'.", CHAR(10),
"Konten ini akan diunggah di platform '", E860, "' dengan format '", D860,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MAPPING'!C765, "'.** Sesuaikan dengan gaya komunikasi saya, dengan fokus pada nilai tambah '", F860,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MAPPING'!D778, ", khusus ", 'CONTENT PILLAR MAPPING'!D779, ") dan membantu mereka menyelesaikan masalah atau mencapai tujuan mereka.", CHAR(10),
"✔ Membantuku membangun personal branding yang kuat dan sustainable, sesuai dengan Positioning saya sebagai '", 'CONTENT PILLAR MAPPING'!C765, "' dan Brand Archetype '", 'CONTENT PILLAR MAPPING'!D770, "'.", CHAR(10),
"✔ Kemas dalam bentuk tabel agar rapi, mudah di baca dan dipahami, dengan kolom 'Judul Konten', 'Pilar', 'Format', 'Draft Script', 'CTA', 'Saran Visual', dan 'Full Caption'. (Kosongkan kolom Link Prompt jika ada)."
),
"")</f>
        <v/>
      </c>
      <c r="L860" s="199" t="n"/>
      <c r="M860" s="199" t="n"/>
      <c r="N860" s="102" t="n"/>
      <c r="O860" s="102" t="n"/>
      <c r="P860" s="102" t="n"/>
      <c r="Q860" s="102" t="n"/>
      <c r="R860" s="102" t="n"/>
      <c r="S860" s="102" t="n"/>
      <c r="T860" s="102" t="n"/>
      <c r="U860" s="102" t="n"/>
      <c r="V860" s="102" t="n"/>
      <c r="W860" s="102" t="n"/>
      <c r="X860" s="102" t="n"/>
      <c r="Y860" s="102" t="n"/>
      <c r="Z860" s="102" t="n"/>
      <c r="AA860" s="102" t="n"/>
      <c r="AB860" s="102" t="n"/>
      <c r="AC860" s="102" t="n"/>
      <c r="AD860" s="102" t="n"/>
    </row>
    <row r="861" ht="15.75" customHeight="1" s="205">
      <c r="A861" s="102" t="n"/>
      <c r="B861" s="142" t="n"/>
      <c r="C861" s="143" t="n"/>
      <c r="D861" s="143" t="n"/>
      <c r="E861" s="143" t="n"/>
      <c r="F861" s="143" t="n"/>
      <c r="G861" s="144" t="n"/>
      <c r="H861" s="145">
        <f>IF(K861&lt;&gt;"", HYPERLINK("https://chatgpt.com/?prompt=" &amp; SUBSTITUTE(SUBSTITUTE(K861, " ", "+"), "&amp;", "dan") &amp; "&amp;force-refresh=true&amp;timestamp=" &amp; TEXT(NOW(), "yyyymmddhhmmss"), "👉 Klik untuk Generate Script! 🔥"), "")</f>
        <v/>
      </c>
      <c r="I861" s="143" t="n"/>
      <c r="J861" s="146" t="n"/>
      <c r="K861" s="130">
        <f>IF(AND(B861&lt;&gt;"", C861&lt;&gt;"", D861&lt;&gt;"", E861&lt;&gt;"", F861&lt;&gt;"", G861&lt;&gt;"", J861&lt;&gt;"", 'CONTENT PILLAR MAPPING'!C764&lt;&gt;"", 'CONTENT PILLAR MAPPING'!E764&lt;&gt;"", 'CONTENT PILLAR MAPPING'!F764&lt;&gt;"", 'CONTENT PILLAR MAPPING'!C767&lt;&gt;"", 'CONTENT PILLAR MAPPING'!C772&lt;&gt;"", 'CONTENT PILLAR MAPPING'!D772&lt;&gt;"", 'CONTENT PILLAR MAPPING'!E772&lt;&gt;"", 'CONTENT PILLAR MAPPING'!D780&lt;&gt;"", 'CONTENT PILLAR MAPPING'!D781&lt;&gt;""),
CONCATENATE(
"Sebagai seorang top konten kreator dengan niche utama '", 'CONTENT PILLAR MAPPING'!C764, "', spesifik kategori '", 'CONTENT PILLAR MAPPING'!E764, "', dan super spesifik '", 'CONTENT PILLAR MAPPING'!F764, "', yang dikenal sebagai '", 'CONTENT PILLAR MAPPING'!C767, "'.", CHAR(10),
"Saya memiliki Tone of Voice: '", 'CONTENT PILLAR MAPPING'!C772, "', Brand Archetype: '", 'CONTENT PILLAR MAPPING'!D772, "', dan Deskripsi Gaya Komunikasi: '", 'CONTENT PILLAR MAPPING'!E772, "'.", CHAR(10),
"Target audiens saya adalah: '", 'CONTENT PILLAR MAPPING'!D780, "', dengan segmentasi audiens: '", 'CONTENT PILLAR MAPPING'!D781, "'.", CHAR(10), CHAR(10),
"Mohon buatkan script konten yang **sangat powerful, menarik, inovatif, dan siap pakai** dengan judul ide '", B861, "'.", CHAR(10),
"Konten ini memiliki pilar '", C861, "', nilai tambah utama '", F861, "', dan akan menggunakan storytelling framework '", G861, "'.", CHAR(10),
"Gambaran singkat ide kontennya adalah: '", J861, "'.", CHAR(10),
"Konten ini akan diunggah di platform '", E861, "' dengan format '", D861,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MAPPING'!C767, "'.** Sesuaikan dengan gaya komunikasi saya, dengan fokus pada nilai tambah '", F861,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MAPPING'!D780, ", khusus ", 'CONTENT PILLAR MAPPING'!D781, ") dan membantu mereka menyelesaikan masalah atau mencapai tujuan mereka.", CHAR(10),
"✔ Membantuku membangun personal branding yang kuat dan sustainable, sesuai dengan Positioning saya sebagai '", 'CONTENT PILLAR MAPPING'!C767, "' dan Brand Archetype '", 'CONTENT PILLAR MAPPING'!D772, "'.", CHAR(10),
"✔ Kemas dalam bentuk tabel agar rapi, mudah di baca dan dipahami, dengan kolom 'Judul Konten', 'Pilar', 'Format', 'Draft Script', 'CTA', 'Saran Visual', dan 'Full Caption'. (Kosongkan kolom Link Prompt jika ada)."
),
"")</f>
        <v/>
      </c>
      <c r="L861" s="91" t="n"/>
      <c r="M861" s="91" t="n"/>
      <c r="N861" s="102" t="n"/>
      <c r="O861" s="102" t="n"/>
      <c r="P861" s="102" t="n"/>
      <c r="Q861" s="102" t="n"/>
      <c r="R861" s="102" t="n"/>
      <c r="S861" s="102" t="n"/>
      <c r="T861" s="102" t="n"/>
      <c r="U861" s="102" t="n"/>
      <c r="V861" s="102" t="n"/>
      <c r="W861" s="102" t="n"/>
      <c r="X861" s="102" t="n"/>
      <c r="Y861" s="102" t="n"/>
      <c r="Z861" s="102" t="n"/>
      <c r="AA861" s="102" t="n"/>
      <c r="AB861" s="102" t="n"/>
      <c r="AC861" s="102" t="n"/>
      <c r="AD861" s="102" t="n"/>
    </row>
    <row r="862" ht="15.75" customHeight="1" s="205">
      <c r="A862" s="102" t="n"/>
      <c r="B862" s="147" t="n"/>
      <c r="C862" s="144" t="n"/>
      <c r="D862" s="144" t="n"/>
      <c r="E862" s="144" t="n"/>
      <c r="F862" s="144" t="n"/>
      <c r="G862" s="144" t="n"/>
      <c r="H862" s="141">
        <f>IF(K862&lt;&gt;"", HYPERLINK("https://chatgpt.com/?prompt=" &amp; SUBSTITUTE(SUBSTITUTE(K862, " ", "+"), "&amp;", "dan") &amp; "&amp;force-refresh=true&amp;timestamp=" &amp; TEXT(NOW(), "yyyymmddhhmmss"), "👉 Klik untuk Generate Script! 🔥"), "")</f>
        <v/>
      </c>
      <c r="I862" s="144" t="n"/>
      <c r="J862" s="148" t="n"/>
      <c r="K862" s="140">
        <f>IF(AND(B862&lt;&gt;"", C862&lt;&gt;"", D862&lt;&gt;"", E862&lt;&gt;"", F862&lt;&gt;"", G862&lt;&gt;"", J862&lt;&gt;"", 'CONTENT PILLAR MAPPING'!C764&lt;&gt;"", 'CONTENT PILLAR MAPPING'!E764&lt;&gt;"", 'CONTENT PILLAR MAPPING'!F764&lt;&gt;"", 'CONTENT PILLAR MAPPING'!C767&lt;&gt;"", 'CONTENT PILLAR MAPPING'!C772&lt;&gt;"", 'CONTENT PILLAR MAPPING'!D772&lt;&gt;"", 'CONTENT PILLAR MAPPING'!E772&lt;&gt;"", 'CONTENT PILLAR MAPPING'!D780&lt;&gt;"", 'CONTENT PILLAR MAPPING'!D781&lt;&gt;""),
CONCATENATE(
"Sebagai seorang top konten kreator dengan niche utama '", 'CONTENT PILLAR MAPPING'!C764, "', spesifik kategori '", 'CONTENT PILLAR MAPPING'!E764, "', dan super spesifik '", 'CONTENT PILLAR MAPPING'!F764, "', yang dikenal sebagai '", 'CONTENT PILLAR MAPPING'!C767, "'.", CHAR(10),
"Saya memiliki Tone of Voice: '", 'CONTENT PILLAR MAPPING'!C772, "', Brand Archetype: '", 'CONTENT PILLAR MAPPING'!D772, "', dan Deskripsi Gaya Komunikasi: '", 'CONTENT PILLAR MAPPING'!E772, "'.", CHAR(10),
"Target audiens saya adalah: '", 'CONTENT PILLAR MAPPING'!D780, "', dengan segmentasi audiens: '", 'CONTENT PILLAR MAPPING'!D781, "'.", CHAR(10), CHAR(10),
"Mohon buatkan script konten yang **sangat powerful, menarik, inovatif, dan siap pakai** dengan judul ide '", B862, "'.", CHAR(10),
"Konten ini memiliki pilar '", C862, "', nilai tambah utama '", F862, "', dan akan menggunakan storytelling framework '", G862, "'.", CHAR(10),
"Gambaran singkat ide kontennya adalah: '", J862, "'.", CHAR(10),
"Konten ini akan diunggah di platform '", E862, "' dengan format '", D862,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MAPPING'!C767, "'.** Sesuaikan dengan gaya komunikasi saya, dengan fokus pada nilai tambah '", F862,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MAPPING'!D780, ", khusus ", 'CONTENT PILLAR MAPPING'!D781, ") dan membantu mereka menyelesaikan masalah atau mencapai tujuan mereka.", CHAR(10),
"✔ Membantuku membangun personal branding yang kuat dan sustainable, sesuai dengan Positioning saya sebagai '", 'CONTENT PILLAR MAPPING'!C767, "' dan Brand Archetype '", 'CONTENT PILLAR MAPPING'!D772, "'.", CHAR(10),
"✔ Kemas dalam bentuk tabel agar rapi, mudah di baca dan dipahami, dengan kolom 'Judul Konten', 'Pilar', 'Format', 'Draft Script', 'CTA', 'Saran Visual', dan 'Full Caption'. (Kosongkan kolom Link Prompt jika ada)."
),
"")</f>
        <v/>
      </c>
      <c r="L862" s="199" t="n"/>
      <c r="M862" s="199" t="n"/>
      <c r="N862" s="102" t="n"/>
      <c r="O862" s="102" t="n"/>
      <c r="P862" s="102" t="n"/>
      <c r="Q862" s="102" t="n"/>
      <c r="R862" s="102" t="n"/>
      <c r="S862" s="102" t="n"/>
      <c r="T862" s="102" t="n"/>
      <c r="U862" s="102" t="n"/>
      <c r="V862" s="102" t="n"/>
      <c r="W862" s="102" t="n"/>
      <c r="X862" s="102" t="n"/>
      <c r="Y862" s="102" t="n"/>
      <c r="Z862" s="102" t="n"/>
      <c r="AA862" s="102" t="n"/>
      <c r="AB862" s="102" t="n"/>
      <c r="AC862" s="102" t="n"/>
      <c r="AD862" s="102" t="n"/>
    </row>
    <row r="863" ht="15.75" customHeight="1" s="205">
      <c r="A863" s="102" t="n"/>
      <c r="B863" s="142" t="n"/>
      <c r="C863" s="143" t="n"/>
      <c r="D863" s="143" t="n"/>
      <c r="E863" s="143" t="n"/>
      <c r="F863" s="143" t="n"/>
      <c r="G863" s="144" t="n"/>
      <c r="H863" s="145">
        <f>IF(K863&lt;&gt;"", HYPERLINK("https://chatgpt.com/?prompt=" &amp; SUBSTITUTE(SUBSTITUTE(K863, " ", "+"), "&amp;", "dan") &amp; "&amp;force-refresh=true&amp;timestamp=" &amp; TEXT(NOW(), "yyyymmddhhmmss"), "👉 Klik untuk Generate Script! 🔥"), "")</f>
        <v/>
      </c>
      <c r="I863" s="143" t="n"/>
      <c r="J863" s="146" t="n"/>
      <c r="K863" s="130">
        <f>IF(AND(B863&lt;&gt;"", C863&lt;&gt;"", D863&lt;&gt;"", E863&lt;&gt;"", F863&lt;&gt;"", G863&lt;&gt;"", J863&lt;&gt;"", 'CONTENT PILLAR MAPPING'!C766&lt;&gt;"", 'CONTENT PILLAR MAPPING'!E766&lt;&gt;"", 'CONTENT PILLAR MAPPING'!F766&lt;&gt;"", 'CONTENT PILLAR MAPPING'!C769&lt;&gt;"", 'CONTENT PILLAR MAPPING'!C774&lt;&gt;"", 'CONTENT PILLAR MAPPING'!D774&lt;&gt;"", 'CONTENT PILLAR MAPPING'!E774&lt;&gt;"", 'CONTENT PILLAR MAPPING'!D782&lt;&gt;"", 'CONTENT PILLAR MAPPING'!D783&lt;&gt;""),
CONCATENATE(
"Sebagai seorang top konten kreator dengan niche utama '", 'CONTENT PILLAR MAPPING'!C766, "', spesifik kategori '", 'CONTENT PILLAR MAPPING'!E766, "', dan super spesifik '", 'CONTENT PILLAR MAPPING'!F766, "', yang dikenal sebagai '", 'CONTENT PILLAR MAPPING'!C769, "'.", CHAR(10),
"Saya memiliki Tone of Voice: '", 'CONTENT PILLAR MAPPING'!C774, "', Brand Archetype: '", 'CONTENT PILLAR MAPPING'!D774, "', dan Deskripsi Gaya Komunikasi: '", 'CONTENT PILLAR MAPPING'!E774, "'.", CHAR(10),
"Target audiens saya adalah: '", 'CONTENT PILLAR MAPPING'!D782, "', dengan segmentasi audiens: '", 'CONTENT PILLAR MAPPING'!D783, "'.", CHAR(10), CHAR(10),
"Mohon buatkan script konten yang **sangat powerful, menarik, inovatif, dan siap pakai** dengan judul ide '", B863, "'.", CHAR(10),
"Konten ini memiliki pilar '", C863, "', nilai tambah utama '", F863, "', dan akan menggunakan storytelling framework '", G863, "'.", CHAR(10),
"Gambaran singkat ide kontennya adalah: '", J863, "'.", CHAR(10),
"Konten ini akan diunggah di platform '", E863, "' dengan format '", D863,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MAPPING'!C769, "'.** Sesuaikan dengan gaya komunikasi saya, dengan fokus pada nilai tambah '", F863,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MAPPING'!D782, ", khusus ", 'CONTENT PILLAR MAPPING'!D783, ") dan membantu mereka menyelesaikan masalah atau mencapai tujuan mereka.", CHAR(10),
"✔ Membantuku membangun personal branding yang kuat dan sustainable, sesuai dengan Positioning saya sebagai '", 'CONTENT PILLAR MAPPING'!C769, "' dan Brand Archetype '", 'CONTENT PILLAR MAPPING'!D774, "'.", CHAR(10),
"✔ Kemas dalam bentuk tabel agar rapi, mudah di baca dan dipahami, dengan kolom 'Judul Konten', 'Pilar', 'Format', 'Draft Script', 'CTA', 'Saran Visual', dan 'Full Caption'. (Kosongkan kolom Link Prompt jika ada)."
),
"")</f>
        <v/>
      </c>
      <c r="L863" s="91" t="n"/>
      <c r="M863" s="91" t="n"/>
      <c r="N863" s="102" t="n"/>
      <c r="O863" s="102" t="n"/>
      <c r="P863" s="102" t="n"/>
      <c r="Q863" s="102" t="n"/>
      <c r="R863" s="102" t="n"/>
      <c r="S863" s="102" t="n"/>
      <c r="T863" s="102" t="n"/>
      <c r="U863" s="102" t="n"/>
      <c r="V863" s="102" t="n"/>
      <c r="W863" s="102" t="n"/>
      <c r="X863" s="102" t="n"/>
      <c r="Y863" s="102" t="n"/>
      <c r="Z863" s="102" t="n"/>
      <c r="AA863" s="102" t="n"/>
      <c r="AB863" s="102" t="n"/>
      <c r="AC863" s="102" t="n"/>
      <c r="AD863" s="102" t="n"/>
    </row>
    <row r="864" ht="15.75" customHeight="1" s="205">
      <c r="A864" s="102" t="n"/>
      <c r="B864" s="147" t="n"/>
      <c r="C864" s="144" t="n"/>
      <c r="D864" s="144" t="n"/>
      <c r="E864" s="144" t="n"/>
      <c r="F864" s="144" t="n"/>
      <c r="G864" s="144" t="n"/>
      <c r="H864" s="141">
        <f>IF(K864&lt;&gt;"", HYPERLINK("https://chatgpt.com/?prompt=" &amp; SUBSTITUTE(SUBSTITUTE(K864, " ", "+"), "&amp;", "dan") &amp; "&amp;force-refresh=true&amp;timestamp=" &amp; TEXT(NOW(), "yyyymmddhhmmss"), "👉 Klik untuk Generate Script! 🔥"), "")</f>
        <v/>
      </c>
      <c r="I864" s="144" t="n"/>
      <c r="J864" s="148" t="n"/>
      <c r="K864" s="140">
        <f>IF(AND(B864&lt;&gt;"", C864&lt;&gt;"", D864&lt;&gt;"", E864&lt;&gt;"", F864&lt;&gt;"", G864&lt;&gt;"", J864&lt;&gt;"", 'CONTENT PILLAR MAPPING'!C766&lt;&gt;"", 'CONTENT PILLAR MAPPING'!E766&lt;&gt;"", 'CONTENT PILLAR MAPPING'!F766&lt;&gt;"", 'CONTENT PILLAR MAPPING'!C769&lt;&gt;"", 'CONTENT PILLAR MAPPING'!C774&lt;&gt;"", 'CONTENT PILLAR MAPPING'!D774&lt;&gt;"", 'CONTENT PILLAR MAPPING'!E774&lt;&gt;"", 'CONTENT PILLAR MAPPING'!D782&lt;&gt;"", 'CONTENT PILLAR MAPPING'!D783&lt;&gt;""),
CONCATENATE(
"Sebagai seorang top konten kreator dengan niche utama '", 'CONTENT PILLAR MAPPING'!C766, "', spesifik kategori '", 'CONTENT PILLAR MAPPING'!E766, "', dan super spesifik '", 'CONTENT PILLAR MAPPING'!F766, "', yang dikenal sebagai '", 'CONTENT PILLAR MAPPING'!C769, "'.", CHAR(10),
"Saya memiliki Tone of Voice: '", 'CONTENT PILLAR MAPPING'!C774, "', Brand Archetype: '", 'CONTENT PILLAR MAPPING'!D774, "', dan Deskripsi Gaya Komunikasi: '", 'CONTENT PILLAR MAPPING'!E774, "'.", CHAR(10),
"Target audiens saya adalah: '", 'CONTENT PILLAR MAPPING'!D782, "', dengan segmentasi audiens: '", 'CONTENT PILLAR MAPPING'!D783, "'.", CHAR(10), CHAR(10),
"Mohon buatkan script konten yang **sangat powerful, menarik, inovatif, dan siap pakai** dengan judul ide '", B864, "'.", CHAR(10),
"Konten ini memiliki pilar '", C864, "', nilai tambah utama '", F864, "', dan akan menggunakan storytelling framework '", G864, "'.", CHAR(10),
"Gambaran singkat ide kontennya adalah: '", J864, "'.", CHAR(10),
"Konten ini akan diunggah di platform '", E864, "' dengan format '", D864,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MAPPING'!C769, "'.** Sesuaikan dengan gaya komunikasi saya, dengan fokus pada nilai tambah '", F864,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MAPPING'!D782, ", khusus ", 'CONTENT PILLAR MAPPING'!D783, ") dan membantu mereka menyelesaikan masalah atau mencapai tujuan mereka.", CHAR(10),
"✔ Membantuku membangun personal branding yang kuat dan sustainable, sesuai dengan Positioning saya sebagai '", 'CONTENT PILLAR MAPPING'!C769, "' dan Brand Archetype '", 'CONTENT PILLAR MAPPING'!D774, "'.", CHAR(10),
"✔ Kemas dalam bentuk tabel agar rapi, mudah di baca dan dipahami, dengan kolom 'Judul Konten', 'Pilar', 'Format', 'Draft Script', 'CTA', 'Saran Visual', dan 'Full Caption'. (Kosongkan kolom Link Prompt jika ada)."
),
"")</f>
        <v/>
      </c>
      <c r="L864" s="199" t="n"/>
      <c r="M864" s="199" t="n"/>
      <c r="N864" s="102" t="n"/>
      <c r="O864" s="102" t="n"/>
      <c r="P864" s="102" t="n"/>
      <c r="Q864" s="102" t="n"/>
      <c r="R864" s="102" t="n"/>
      <c r="S864" s="102" t="n"/>
      <c r="T864" s="102" t="n"/>
      <c r="U864" s="102" t="n"/>
      <c r="V864" s="102" t="n"/>
      <c r="W864" s="102" t="n"/>
      <c r="X864" s="102" t="n"/>
      <c r="Y864" s="102" t="n"/>
      <c r="Z864" s="102" t="n"/>
      <c r="AA864" s="102" t="n"/>
      <c r="AB864" s="102" t="n"/>
      <c r="AC864" s="102" t="n"/>
      <c r="AD864" s="102" t="n"/>
    </row>
    <row r="865" ht="15.75" customHeight="1" s="205">
      <c r="A865" s="102" t="n"/>
      <c r="B865" s="142" t="n"/>
      <c r="C865" s="143" t="n"/>
      <c r="D865" s="143" t="n"/>
      <c r="E865" s="143" t="n"/>
      <c r="F865" s="143" t="n"/>
      <c r="G865" s="144" t="n"/>
      <c r="H865" s="145">
        <f>IF(K865&lt;&gt;"", HYPERLINK("https://chatgpt.com/?prompt=" &amp; SUBSTITUTE(SUBSTITUTE(K865, " ", "+"), "&amp;", "dan") &amp; "&amp;force-refresh=true&amp;timestamp=" &amp; TEXT(NOW(), "yyyymmddhhmmss"), "👉 Klik untuk Generate Script! 🔥"), "")</f>
        <v/>
      </c>
      <c r="I865" s="143" t="n"/>
      <c r="J865" s="146" t="n"/>
      <c r="K865" s="130">
        <f>IF(AND(B865&lt;&gt;"", C865&lt;&gt;"", D865&lt;&gt;"", E865&lt;&gt;"", F865&lt;&gt;"", G865&lt;&gt;"", J865&lt;&gt;"", 'CONTENT PILLAR MAPPING'!C768&lt;&gt;"", 'CONTENT PILLAR MAPPING'!E768&lt;&gt;"", 'CONTENT PILLAR MAPPING'!F768&lt;&gt;"", 'CONTENT PILLAR MAPPING'!C771&lt;&gt;"", 'CONTENT PILLAR MAPPING'!C776&lt;&gt;"", 'CONTENT PILLAR MAPPING'!D776&lt;&gt;"", 'CONTENT PILLAR MAPPING'!E776&lt;&gt;"", 'CONTENT PILLAR MAPPING'!D784&lt;&gt;"", 'CONTENT PILLAR MAPPING'!D785&lt;&gt;""),
CONCATENATE(
"Sebagai seorang top konten kreator dengan niche utama '", 'CONTENT PILLAR MAPPING'!C768, "', spesifik kategori '", 'CONTENT PILLAR MAPPING'!E768, "', dan super spesifik '", 'CONTENT PILLAR MAPPING'!F768, "', yang dikenal sebagai '", 'CONTENT PILLAR MAPPING'!C771, "'.", CHAR(10),
"Saya memiliki Tone of Voice: '", 'CONTENT PILLAR MAPPING'!C776, "', Brand Archetype: '", 'CONTENT PILLAR MAPPING'!D776, "', dan Deskripsi Gaya Komunikasi: '", 'CONTENT PILLAR MAPPING'!E776, "'.", CHAR(10),
"Target audiens saya adalah: '", 'CONTENT PILLAR MAPPING'!D784, "', dengan segmentasi audiens: '", 'CONTENT PILLAR MAPPING'!D785, "'.", CHAR(10), CHAR(10),
"Mohon buatkan script konten yang **sangat powerful, menarik, inovatif, dan siap pakai** dengan judul ide '", B865, "'.", CHAR(10),
"Konten ini memiliki pilar '", C865, "', nilai tambah utama '", F865, "', dan akan menggunakan storytelling framework '", G865, "'.", CHAR(10),
"Gambaran singkat ide kontennya adalah: '", J865, "'.", CHAR(10),
"Konten ini akan diunggah di platform '", E865, "' dengan format '", D865,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MAPPING'!C771, "'.** Sesuaikan dengan gaya komunikasi saya, dengan fokus pada nilai tambah '", F865,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MAPPING'!D784, ", khusus ", 'CONTENT PILLAR MAPPING'!D785, ") dan membantu mereka menyelesaikan masalah atau mencapai tujuan mereka.", CHAR(10),
"✔ Membantuku membangun personal branding yang kuat dan sustainable, sesuai dengan Positioning saya sebagai '", 'CONTENT PILLAR MAPPING'!C771, "' dan Brand Archetype '", 'CONTENT PILLAR MAPPING'!D776, "'.", CHAR(10),
"✔ Kemas dalam bentuk tabel agar rapi, mudah di baca dan dipahami, dengan kolom 'Judul Konten', 'Pilar', 'Format', 'Draft Script', 'CTA', 'Saran Visual', dan 'Full Caption'. (Kosongkan kolom Link Prompt jika ada)."
),
"")</f>
        <v/>
      </c>
      <c r="L865" s="91" t="n"/>
      <c r="M865" s="91" t="n"/>
      <c r="N865" s="102" t="n"/>
      <c r="O865" s="102" t="n"/>
      <c r="P865" s="102" t="n"/>
      <c r="Q865" s="102" t="n"/>
      <c r="R865" s="102" t="n"/>
      <c r="S865" s="102" t="n"/>
      <c r="T865" s="102" t="n"/>
      <c r="U865" s="102" t="n"/>
      <c r="V865" s="102" t="n"/>
      <c r="W865" s="102" t="n"/>
      <c r="X865" s="102" t="n"/>
      <c r="Y865" s="102" t="n"/>
      <c r="Z865" s="102" t="n"/>
      <c r="AA865" s="102" t="n"/>
      <c r="AB865" s="102" t="n"/>
      <c r="AC865" s="102" t="n"/>
      <c r="AD865" s="102" t="n"/>
    </row>
    <row r="866" ht="15.75" customHeight="1" s="205">
      <c r="A866" s="102" t="n"/>
      <c r="B866" s="147" t="n"/>
      <c r="C866" s="144" t="n"/>
      <c r="D866" s="144" t="n"/>
      <c r="E866" s="144" t="n"/>
      <c r="F866" s="144" t="n"/>
      <c r="G866" s="144" t="n"/>
      <c r="H866" s="141">
        <f>IF(K866&lt;&gt;"", HYPERLINK("https://chatgpt.com/?prompt=" &amp; SUBSTITUTE(SUBSTITUTE(K866, " ", "+"), "&amp;", "dan") &amp; "&amp;force-refresh=true&amp;timestamp=" &amp; TEXT(NOW(), "yyyymmddhhmmss"), "👉 Klik untuk Generate Script! 🔥"), "")</f>
        <v/>
      </c>
      <c r="I866" s="144" t="n"/>
      <c r="J866" s="148" t="n"/>
      <c r="K866" s="140">
        <f>IF(AND(B866&lt;&gt;"", C866&lt;&gt;"", D866&lt;&gt;"", E866&lt;&gt;"", F866&lt;&gt;"", G866&lt;&gt;"", J866&lt;&gt;"", 'CONTENT PILLAR MAPPING'!C768&lt;&gt;"", 'CONTENT PILLAR MAPPING'!E768&lt;&gt;"", 'CONTENT PILLAR MAPPING'!F768&lt;&gt;"", 'CONTENT PILLAR MAPPING'!C771&lt;&gt;"", 'CONTENT PILLAR MAPPING'!C776&lt;&gt;"", 'CONTENT PILLAR MAPPING'!D776&lt;&gt;"", 'CONTENT PILLAR MAPPING'!E776&lt;&gt;"", 'CONTENT PILLAR MAPPING'!D784&lt;&gt;"", 'CONTENT PILLAR MAPPING'!D785&lt;&gt;""),
CONCATENATE(
"Sebagai seorang top konten kreator dengan niche utama '", 'CONTENT PILLAR MAPPING'!C768, "', spesifik kategori '", 'CONTENT PILLAR MAPPING'!E768, "', dan super spesifik '", 'CONTENT PILLAR MAPPING'!F768, "', yang dikenal sebagai '", 'CONTENT PILLAR MAPPING'!C771, "'.", CHAR(10),
"Saya memiliki Tone of Voice: '", 'CONTENT PILLAR MAPPING'!C776, "', Brand Archetype: '", 'CONTENT PILLAR MAPPING'!D776, "', dan Deskripsi Gaya Komunikasi: '", 'CONTENT PILLAR MAPPING'!E776, "'.", CHAR(10),
"Target audiens saya adalah: '", 'CONTENT PILLAR MAPPING'!D784, "', dengan segmentasi audiens: '", 'CONTENT PILLAR MAPPING'!D785, "'.", CHAR(10), CHAR(10),
"Mohon buatkan script konten yang **sangat powerful, menarik, inovatif, dan siap pakai** dengan judul ide '", B866, "'.", CHAR(10),
"Konten ini memiliki pilar '", C866, "', nilai tambah utama '", F866, "', dan akan menggunakan storytelling framework '", G866, "'.", CHAR(10),
"Gambaran singkat ide kontennya adalah: '", J866, "'.", CHAR(10),
"Konten ini akan diunggah di platform '", E866, "' dengan format '", D866,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MAPPING'!C771, "'.** Sesuaikan dengan gaya komunikasi saya, dengan fokus pada nilai tambah '", F866,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MAPPING'!D784, ", khusus ", 'CONTENT PILLAR MAPPING'!D785, ") dan membantu mereka menyelesaikan masalah atau mencapai tujuan mereka.", CHAR(10),
"✔ Membantuku membangun personal branding yang kuat dan sustainable, sesuai dengan Positioning saya sebagai '", 'CONTENT PILLAR MAPPING'!C771, "' dan Brand Archetype '", 'CONTENT PILLAR MAPPING'!D776, "'.", CHAR(10),
"✔ Kemas dalam bentuk tabel agar rapi, mudah di baca dan dipahami, dengan kolom 'Judul Konten', 'Pilar', 'Format', 'Draft Script', 'CTA', 'Saran Visual', dan 'Full Caption'. (Kosongkan kolom Link Prompt jika ada)."
),
"")</f>
        <v/>
      </c>
      <c r="L866" s="199" t="n"/>
      <c r="M866" s="199" t="n"/>
      <c r="N866" s="102" t="n"/>
      <c r="O866" s="102" t="n"/>
      <c r="P866" s="102" t="n"/>
      <c r="Q866" s="102" t="n"/>
      <c r="R866" s="102" t="n"/>
      <c r="S866" s="102" t="n"/>
      <c r="T866" s="102" t="n"/>
      <c r="U866" s="102" t="n"/>
      <c r="V866" s="102" t="n"/>
      <c r="W866" s="102" t="n"/>
      <c r="X866" s="102" t="n"/>
      <c r="Y866" s="102" t="n"/>
      <c r="Z866" s="102" t="n"/>
      <c r="AA866" s="102" t="n"/>
      <c r="AB866" s="102" t="n"/>
      <c r="AC866" s="102" t="n"/>
      <c r="AD866" s="102" t="n"/>
    </row>
    <row r="867" ht="15.75" customHeight="1" s="205">
      <c r="A867" s="102" t="n"/>
      <c r="B867" s="142" t="n"/>
      <c r="C867" s="143" t="n"/>
      <c r="D867" s="143" t="n"/>
      <c r="E867" s="143" t="n"/>
      <c r="F867" s="143" t="n"/>
      <c r="G867" s="144" t="n"/>
      <c r="H867" s="145">
        <f>IF(K867&lt;&gt;"", HYPERLINK("https://chatgpt.com/?prompt=" &amp; SUBSTITUTE(SUBSTITUTE(K867, " ", "+"), "&amp;", "dan") &amp; "&amp;force-refresh=true&amp;timestamp=" &amp; TEXT(NOW(), "yyyymmddhhmmss"), "👉 Klik untuk Generate Script! 🔥"), "")</f>
        <v/>
      </c>
      <c r="I867" s="143" t="n"/>
      <c r="J867" s="146" t="n"/>
      <c r="K867" s="130">
        <f>IF(AND(B867&lt;&gt;"", C867&lt;&gt;"", D867&lt;&gt;"", E867&lt;&gt;"", F867&lt;&gt;"", G867&lt;&gt;"", J867&lt;&gt;"", 'CONTENT PILLAR MAPPING'!C770&lt;&gt;"", 'CONTENT PILLAR MAPPING'!E770&lt;&gt;"", 'CONTENT PILLAR MAPPING'!F770&lt;&gt;"", 'CONTENT PILLAR MAPPING'!C773&lt;&gt;"", 'CONTENT PILLAR MAPPING'!C778&lt;&gt;"", 'CONTENT PILLAR MAPPING'!D778&lt;&gt;"", 'CONTENT PILLAR MAPPING'!E778&lt;&gt;"", 'CONTENT PILLAR MAPPING'!D786&lt;&gt;"", 'CONTENT PILLAR MAPPING'!D787&lt;&gt;""),
CONCATENATE(
"Sebagai seorang top konten kreator dengan niche utama '", 'CONTENT PILLAR MAPPING'!C770, "', spesifik kategori '", 'CONTENT PILLAR MAPPING'!E770, "', dan super spesifik '", 'CONTENT PILLAR MAPPING'!F770, "', yang dikenal sebagai '", 'CONTENT PILLAR MAPPING'!C773, "'.", CHAR(10),
"Saya memiliki Tone of Voice: '", 'CONTENT PILLAR MAPPING'!C778, "', Brand Archetype: '", 'CONTENT PILLAR MAPPING'!D778, "', dan Deskripsi Gaya Komunikasi: '", 'CONTENT PILLAR MAPPING'!E778, "'.", CHAR(10),
"Target audiens saya adalah: '", 'CONTENT PILLAR MAPPING'!D786, "', dengan segmentasi audiens: '", 'CONTENT PILLAR MAPPING'!D787, "'.", CHAR(10), CHAR(10),
"Mohon buatkan script konten yang **sangat powerful, menarik, inovatif, dan siap pakai** dengan judul ide '", B867, "'.", CHAR(10),
"Konten ini memiliki pilar '", C867, "', nilai tambah utama '", F867, "', dan akan menggunakan storytelling framework '", G867, "'.", CHAR(10),
"Gambaran singkat ide kontennya adalah: '", J867, "'.", CHAR(10),
"Konten ini akan diunggah di platform '", E867, "' dengan format '", D867,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MAPPING'!C773, "'.** Sesuaikan dengan gaya komunikasi saya, dengan fokus pada nilai tambah '", F867,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MAPPING'!D786, ", khusus ", 'CONTENT PILLAR MAPPING'!D787, ") dan membantu mereka menyelesaikan masalah atau mencapai tujuan mereka.", CHAR(10),
"✔ Membantuku membangun personal branding yang kuat dan sustainable, sesuai dengan Positioning saya sebagai '", 'CONTENT PILLAR MAPPING'!C773, "' dan Brand Archetype '", 'CONTENT PILLAR MAPPING'!D778, "'.", CHAR(10),
"✔ Kemas dalam bentuk tabel agar rapi, mudah di baca dan dipahami, dengan kolom 'Judul Konten', 'Pilar', 'Format', 'Draft Script', 'CTA', 'Saran Visual', dan 'Full Caption'. (Kosongkan kolom Link Prompt jika ada)."
),
"")</f>
        <v/>
      </c>
      <c r="L867" s="91" t="n"/>
      <c r="M867" s="91" t="n"/>
      <c r="N867" s="102" t="n"/>
      <c r="O867" s="102" t="n"/>
      <c r="P867" s="102" t="n"/>
      <c r="Q867" s="102" t="n"/>
      <c r="R867" s="102" t="n"/>
      <c r="S867" s="102" t="n"/>
      <c r="T867" s="102" t="n"/>
      <c r="U867" s="102" t="n"/>
      <c r="V867" s="102" t="n"/>
      <c r="W867" s="102" t="n"/>
      <c r="X867" s="102" t="n"/>
      <c r="Y867" s="102" t="n"/>
      <c r="Z867" s="102" t="n"/>
      <c r="AA867" s="102" t="n"/>
      <c r="AB867" s="102" t="n"/>
      <c r="AC867" s="102" t="n"/>
      <c r="AD867" s="102" t="n"/>
    </row>
    <row r="868" ht="15.75" customHeight="1" s="205">
      <c r="A868" s="102" t="n"/>
      <c r="B868" s="147" t="n"/>
      <c r="C868" s="144" t="n"/>
      <c r="D868" s="144" t="n"/>
      <c r="E868" s="144" t="n"/>
      <c r="F868" s="144" t="n"/>
      <c r="G868" s="144" t="n"/>
      <c r="H868" s="141">
        <f>IF(K868&lt;&gt;"", HYPERLINK("https://chatgpt.com/?prompt=" &amp; SUBSTITUTE(SUBSTITUTE(K868, " ", "+"), "&amp;", "dan") &amp; "&amp;force-refresh=true&amp;timestamp=" &amp; TEXT(NOW(), "yyyymmddhhmmss"), "👉 Klik untuk Generate Script! 🔥"), "")</f>
        <v/>
      </c>
      <c r="I868" s="144" t="n"/>
      <c r="J868" s="148" t="n"/>
      <c r="K868" s="140">
        <f>IF(AND(B868&lt;&gt;"", C868&lt;&gt;"", D868&lt;&gt;"", E868&lt;&gt;"", F868&lt;&gt;"", G868&lt;&gt;"", J868&lt;&gt;"", 'CONTENT PILLAR MAPPING'!C770&lt;&gt;"", 'CONTENT PILLAR MAPPING'!E770&lt;&gt;"", 'CONTENT PILLAR MAPPING'!F770&lt;&gt;"", 'CONTENT PILLAR MAPPING'!C773&lt;&gt;"", 'CONTENT PILLAR MAPPING'!C778&lt;&gt;"", 'CONTENT PILLAR MAPPING'!D778&lt;&gt;"", 'CONTENT PILLAR MAPPING'!E778&lt;&gt;"", 'CONTENT PILLAR MAPPING'!D786&lt;&gt;"", 'CONTENT PILLAR MAPPING'!D787&lt;&gt;""),
CONCATENATE(
"Sebagai seorang top konten kreator dengan niche utama '", 'CONTENT PILLAR MAPPING'!C770, "', spesifik kategori '", 'CONTENT PILLAR MAPPING'!E770, "', dan super spesifik '", 'CONTENT PILLAR MAPPING'!F770, "', yang dikenal sebagai '", 'CONTENT PILLAR MAPPING'!C773, "'.", CHAR(10),
"Saya memiliki Tone of Voice: '", 'CONTENT PILLAR MAPPING'!C778, "', Brand Archetype: '", 'CONTENT PILLAR MAPPING'!D778, "', dan Deskripsi Gaya Komunikasi: '", 'CONTENT PILLAR MAPPING'!E778, "'.", CHAR(10),
"Target audiens saya adalah: '", 'CONTENT PILLAR MAPPING'!D786, "', dengan segmentasi audiens: '", 'CONTENT PILLAR MAPPING'!D787, "'.", CHAR(10), CHAR(10),
"Mohon buatkan script konten yang **sangat powerful, menarik, inovatif, dan siap pakai** dengan judul ide '", B868, "'.", CHAR(10),
"Konten ini memiliki pilar '", C868, "', nilai tambah utama '", F868, "', dan akan menggunakan storytelling framework '", G868, "'.", CHAR(10),
"Gambaran singkat ide kontennya adalah: '", J868, "'.", CHAR(10),
"Konten ini akan diunggah di platform '", E868, "' dengan format '", D868,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MAPPING'!C773, "'.** Sesuaikan dengan gaya komunikasi saya, dengan fokus pada nilai tambah '", F868,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MAPPING'!D786, ", khusus ", 'CONTENT PILLAR MAPPING'!D787, ") dan membantu mereka menyelesaikan masalah atau mencapai tujuan mereka.", CHAR(10),
"✔ Membantuku membangun personal branding yang kuat dan sustainable, sesuai dengan Positioning saya sebagai '", 'CONTENT PILLAR MAPPING'!C773, "' dan Brand Archetype '", 'CONTENT PILLAR MAPPING'!D778, "'.", CHAR(10),
"✔ Kemas dalam bentuk tabel agar rapi, mudah di baca dan dipahami, dengan kolom 'Judul Konten', 'Pilar', 'Format', 'Draft Script', 'CTA', 'Saran Visual', dan 'Full Caption'. (Kosongkan kolom Link Prompt jika ada)."
),
"")</f>
        <v/>
      </c>
      <c r="L868" s="199" t="n"/>
      <c r="M868" s="199" t="n"/>
      <c r="N868" s="102" t="n"/>
      <c r="O868" s="102" t="n"/>
      <c r="P868" s="102" t="n"/>
      <c r="Q868" s="102" t="n"/>
      <c r="R868" s="102" t="n"/>
      <c r="S868" s="102" t="n"/>
      <c r="T868" s="102" t="n"/>
      <c r="U868" s="102" t="n"/>
      <c r="V868" s="102" t="n"/>
      <c r="W868" s="102" t="n"/>
      <c r="X868" s="102" t="n"/>
      <c r="Y868" s="102" t="n"/>
      <c r="Z868" s="102" t="n"/>
      <c r="AA868" s="102" t="n"/>
      <c r="AB868" s="102" t="n"/>
      <c r="AC868" s="102" t="n"/>
      <c r="AD868" s="102" t="n"/>
    </row>
    <row r="869" ht="15.75" customHeight="1" s="205">
      <c r="A869" s="102" t="n"/>
      <c r="B869" s="142" t="n"/>
      <c r="C869" s="143" t="n"/>
      <c r="D869" s="143" t="n"/>
      <c r="E869" s="143" t="n"/>
      <c r="F869" s="143" t="n"/>
      <c r="G869" s="144" t="n"/>
      <c r="H869" s="145">
        <f>IF(K869&lt;&gt;"", HYPERLINK("https://chatgpt.com/?prompt=" &amp; SUBSTITUTE(SUBSTITUTE(K869, " ", "+"), "&amp;", "dan") &amp; "&amp;force-refresh=true&amp;timestamp=" &amp; TEXT(NOW(), "yyyymmddhhmmss"), "👉 Klik untuk Generate Script! 🔥"), "")</f>
        <v/>
      </c>
      <c r="I869" s="143" t="n"/>
      <c r="J869" s="146" t="n"/>
      <c r="K869" s="130">
        <f>IF(AND(B869&lt;&gt;"", C869&lt;&gt;"", D869&lt;&gt;"", E869&lt;&gt;"", F869&lt;&gt;"", G869&lt;&gt;"", J869&lt;&gt;"", 'CONTENT PILLAR MAPPING'!C772&lt;&gt;"", 'CONTENT PILLAR MAPPING'!E772&lt;&gt;"", 'CONTENT PILLAR MAPPING'!F772&lt;&gt;"", 'CONTENT PILLAR MAPPING'!C775&lt;&gt;"", 'CONTENT PILLAR MAPPING'!C780&lt;&gt;"", 'CONTENT PILLAR MAPPING'!D780&lt;&gt;"", 'CONTENT PILLAR MAPPING'!E780&lt;&gt;"", 'CONTENT PILLAR MAPPING'!D788&lt;&gt;"", 'CONTENT PILLAR MAPPING'!D789&lt;&gt;""),
CONCATENATE(
"Sebagai seorang top konten kreator dengan niche utama '", 'CONTENT PILLAR MAPPING'!C772, "', spesifik kategori '", 'CONTENT PILLAR MAPPING'!E772, "', dan super spesifik '", 'CONTENT PILLAR MAPPING'!F772, "', yang dikenal sebagai '", 'CONTENT PILLAR MAPPING'!C775, "'.", CHAR(10),
"Saya memiliki Tone of Voice: '", 'CONTENT PILLAR MAPPING'!C780, "', Brand Archetype: '", 'CONTENT PILLAR MAPPING'!D780, "', dan Deskripsi Gaya Komunikasi: '", 'CONTENT PILLAR MAPPING'!E780, "'.", CHAR(10),
"Target audiens saya adalah: '", 'CONTENT PILLAR MAPPING'!D788, "', dengan segmentasi audiens: '", 'CONTENT PILLAR MAPPING'!D789, "'.", CHAR(10), CHAR(10),
"Mohon buatkan script konten yang **sangat powerful, menarik, inovatif, dan siap pakai** dengan judul ide '", B869, "'.", CHAR(10),
"Konten ini memiliki pilar '", C869, "', nilai tambah utama '", F869, "', dan akan menggunakan storytelling framework '", G869, "'.", CHAR(10),
"Gambaran singkat ide kontennya adalah: '", J869, "'.", CHAR(10),
"Konten ini akan diunggah di platform '", E869, "' dengan format '", D869,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MAPPING'!C775, "'.** Sesuaikan dengan gaya komunikasi saya, dengan fokus pada nilai tambah '", F869,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MAPPING'!D788, ", khusus ", 'CONTENT PILLAR MAPPING'!D789, ") dan membantu mereka menyelesaikan masalah atau mencapai tujuan mereka.", CHAR(10),
"✔ Membantuku membangun personal branding yang kuat dan sustainable, sesuai dengan Positioning saya sebagai '", 'CONTENT PILLAR MAPPING'!C775, "' dan Brand Archetype '", 'CONTENT PILLAR MAPPING'!D780, "'.", CHAR(10),
"✔ Kemas dalam bentuk tabel agar rapi, mudah di baca dan dipahami, dengan kolom 'Judul Konten', 'Pilar', 'Format', 'Draft Script', 'CTA', 'Saran Visual', dan 'Full Caption'. (Kosongkan kolom Link Prompt jika ada)."
),
"")</f>
        <v/>
      </c>
      <c r="L869" s="91" t="n"/>
      <c r="M869" s="91" t="n"/>
      <c r="N869" s="102" t="n"/>
      <c r="O869" s="102" t="n"/>
      <c r="P869" s="102" t="n"/>
      <c r="Q869" s="102" t="n"/>
      <c r="R869" s="102" t="n"/>
      <c r="S869" s="102" t="n"/>
      <c r="T869" s="102" t="n"/>
      <c r="U869" s="102" t="n"/>
      <c r="V869" s="102" t="n"/>
      <c r="W869" s="102" t="n"/>
      <c r="X869" s="102" t="n"/>
      <c r="Y869" s="102" t="n"/>
      <c r="Z869" s="102" t="n"/>
      <c r="AA869" s="102" t="n"/>
      <c r="AB869" s="102" t="n"/>
      <c r="AC869" s="102" t="n"/>
      <c r="AD869" s="102" t="n"/>
    </row>
    <row r="870" ht="15.75" customHeight="1" s="205">
      <c r="A870" s="102" t="n"/>
      <c r="B870" s="147" t="n"/>
      <c r="C870" s="144" t="n"/>
      <c r="D870" s="144" t="n"/>
      <c r="E870" s="144" t="n"/>
      <c r="F870" s="144" t="n"/>
      <c r="G870" s="144" t="n"/>
      <c r="H870" s="141">
        <f>IF(K870&lt;&gt;"", HYPERLINK("https://chatgpt.com/?prompt=" &amp; SUBSTITUTE(SUBSTITUTE(K870, " ", "+"), "&amp;", "dan") &amp; "&amp;force-refresh=true&amp;timestamp=" &amp; TEXT(NOW(), "yyyymmddhhmmss"), "👉 Klik untuk Generate Script! 🔥"), "")</f>
        <v/>
      </c>
      <c r="I870" s="144" t="n"/>
      <c r="J870" s="148" t="n"/>
      <c r="K870" s="140">
        <f>IF(AND(B870&lt;&gt;"", C870&lt;&gt;"", D870&lt;&gt;"", E870&lt;&gt;"", F870&lt;&gt;"", G870&lt;&gt;"", J870&lt;&gt;"", 'CONTENT PILLAR MAPPING'!C772&lt;&gt;"", 'CONTENT PILLAR MAPPING'!E772&lt;&gt;"", 'CONTENT PILLAR MAPPING'!F772&lt;&gt;"", 'CONTENT PILLAR MAPPING'!C775&lt;&gt;"", 'CONTENT PILLAR MAPPING'!C780&lt;&gt;"", 'CONTENT PILLAR MAPPING'!D780&lt;&gt;"", 'CONTENT PILLAR MAPPING'!E780&lt;&gt;"", 'CONTENT PILLAR MAPPING'!D788&lt;&gt;"", 'CONTENT PILLAR MAPPING'!D789&lt;&gt;""),
CONCATENATE(
"Sebagai seorang top konten kreator dengan niche utama '", 'CONTENT PILLAR MAPPING'!C772, "', spesifik kategori '", 'CONTENT PILLAR MAPPING'!E772, "', dan super spesifik '", 'CONTENT PILLAR MAPPING'!F772, "', yang dikenal sebagai '", 'CONTENT PILLAR MAPPING'!C775, "'.", CHAR(10),
"Saya memiliki Tone of Voice: '", 'CONTENT PILLAR MAPPING'!C780, "', Brand Archetype: '", 'CONTENT PILLAR MAPPING'!D780, "', dan Deskripsi Gaya Komunikasi: '", 'CONTENT PILLAR MAPPING'!E780, "'.", CHAR(10),
"Target audiens saya adalah: '", 'CONTENT PILLAR MAPPING'!D788, "', dengan segmentasi audiens: '", 'CONTENT PILLAR MAPPING'!D789, "'.", CHAR(10), CHAR(10),
"Mohon buatkan script konten yang **sangat powerful, menarik, inovatif, dan siap pakai** dengan judul ide '", B870, "'.", CHAR(10),
"Konten ini memiliki pilar '", C870, "', nilai tambah utama '", F870, "', dan akan menggunakan storytelling framework '", G870, "'.", CHAR(10),
"Gambaran singkat ide kontennya adalah: '", J870, "'.", CHAR(10),
"Konten ini akan diunggah di platform '", E870, "' dengan format '", D870,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MAPPING'!C775, "'.** Sesuaikan dengan gaya komunikasi saya, dengan fokus pada nilai tambah '", F870,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MAPPING'!D788, ", khusus ", 'CONTENT PILLAR MAPPING'!D789, ") dan membantu mereka menyelesaikan masalah atau mencapai tujuan mereka.", CHAR(10),
"✔ Membantuku membangun personal branding yang kuat dan sustainable, sesuai dengan Positioning saya sebagai '", 'CONTENT PILLAR MAPPING'!C775, "' dan Brand Archetype '", 'CONTENT PILLAR MAPPING'!D780, "'.", CHAR(10),
"✔ Kemas dalam bentuk tabel agar rapi, mudah di baca dan dipahami, dengan kolom 'Judul Konten', 'Pilar', 'Format', 'Draft Script', 'CTA', 'Saran Visual', dan 'Full Caption'. (Kosongkan kolom Link Prompt jika ada)."
),
"")</f>
        <v/>
      </c>
      <c r="L870" s="199" t="n"/>
      <c r="M870" s="199" t="n"/>
      <c r="N870" s="102" t="n"/>
      <c r="O870" s="102" t="n"/>
      <c r="P870" s="102" t="n"/>
      <c r="Q870" s="102" t="n"/>
      <c r="R870" s="102" t="n"/>
      <c r="S870" s="102" t="n"/>
      <c r="T870" s="102" t="n"/>
      <c r="U870" s="102" t="n"/>
      <c r="V870" s="102" t="n"/>
      <c r="W870" s="102" t="n"/>
      <c r="X870" s="102" t="n"/>
      <c r="Y870" s="102" t="n"/>
      <c r="Z870" s="102" t="n"/>
      <c r="AA870" s="102" t="n"/>
      <c r="AB870" s="102" t="n"/>
      <c r="AC870" s="102" t="n"/>
      <c r="AD870" s="102" t="n"/>
    </row>
    <row r="871" ht="15.75" customHeight="1" s="205">
      <c r="A871" s="102" t="n"/>
      <c r="B871" s="142" t="n"/>
      <c r="C871" s="143" t="n"/>
      <c r="D871" s="143" t="n"/>
      <c r="E871" s="143" t="n"/>
      <c r="F871" s="143" t="n"/>
      <c r="G871" s="144" t="n"/>
      <c r="H871" s="145">
        <f>IF(K871&lt;&gt;"", HYPERLINK("https://chatgpt.com/?prompt=" &amp; SUBSTITUTE(SUBSTITUTE(K871, " ", "+"), "&amp;", "dan") &amp; "&amp;force-refresh=true&amp;timestamp=" &amp; TEXT(NOW(), "yyyymmddhhmmss"), "👉 Klik untuk Generate Script! 🔥"), "")</f>
        <v/>
      </c>
      <c r="I871" s="143" t="n"/>
      <c r="J871" s="146" t="n"/>
      <c r="K871" s="130">
        <f>IF(AND(B871&lt;&gt;"", C871&lt;&gt;"", D871&lt;&gt;"", E871&lt;&gt;"", F871&lt;&gt;"", G871&lt;&gt;"", J871&lt;&gt;"", 'CONTENT PILLAR MAPPING'!C774&lt;&gt;"", 'CONTENT PILLAR MAPPING'!E774&lt;&gt;"", 'CONTENT PILLAR MAPPING'!F774&lt;&gt;"", 'CONTENT PILLAR MAPPING'!C777&lt;&gt;"", 'CONTENT PILLAR MAPPING'!C782&lt;&gt;"", 'CONTENT PILLAR MAPPING'!D782&lt;&gt;"", 'CONTENT PILLAR MAPPING'!E782&lt;&gt;"", 'CONTENT PILLAR MAPPING'!D790&lt;&gt;"", 'CONTENT PILLAR MAPPING'!D791&lt;&gt;""),
CONCATENATE(
"Sebagai seorang top konten kreator dengan niche utama '", 'CONTENT PILLAR MAPPING'!C774, "', spesifik kategori '", 'CONTENT PILLAR MAPPING'!E774, "', dan super spesifik '", 'CONTENT PILLAR MAPPING'!F774, "', yang dikenal sebagai '", 'CONTENT PILLAR MAPPING'!C777, "'.", CHAR(10),
"Saya memiliki Tone of Voice: '", 'CONTENT PILLAR MAPPING'!C782, "', Brand Archetype: '", 'CONTENT PILLAR MAPPING'!D782, "', dan Deskripsi Gaya Komunikasi: '", 'CONTENT PILLAR MAPPING'!E782, "'.", CHAR(10),
"Target audiens saya adalah: '", 'CONTENT PILLAR MAPPING'!D790, "', dengan segmentasi audiens: '", 'CONTENT PILLAR MAPPING'!D791, "'.", CHAR(10), CHAR(10),
"Mohon buatkan script konten yang **sangat powerful, menarik, inovatif, dan siap pakai** dengan judul ide '", B871, "'.", CHAR(10),
"Konten ini memiliki pilar '", C871, "', nilai tambah utama '", F871, "', dan akan menggunakan storytelling framework '", G871, "'.", CHAR(10),
"Gambaran singkat ide kontennya adalah: '", J871, "'.", CHAR(10),
"Konten ini akan diunggah di platform '", E871, "' dengan format '", D871,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MAPPING'!C777, "'.** Sesuaikan dengan gaya komunikasi saya, dengan fokus pada nilai tambah '", F871,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MAPPING'!D790, ", khusus ", 'CONTENT PILLAR MAPPING'!D791, ") dan membantu mereka menyelesaikan masalah atau mencapai tujuan mereka.", CHAR(10),
"✔ Membantuku membangun personal branding yang kuat dan sustainable, sesuai dengan Positioning saya sebagai '", 'CONTENT PILLAR MAPPING'!C777, "' dan Brand Archetype '", 'CONTENT PILLAR MAPPING'!D782, "'.", CHAR(10),
"✔ Kemas dalam bentuk tabel agar rapi, mudah di baca dan dipahami, dengan kolom 'Judul Konten', 'Pilar', 'Format', 'Draft Script', 'CTA', 'Saran Visual', dan 'Full Caption'. (Kosongkan kolom Link Prompt jika ada)."
),
"")</f>
        <v/>
      </c>
      <c r="L871" s="91" t="n"/>
      <c r="M871" s="91" t="n"/>
      <c r="N871" s="102" t="n"/>
      <c r="O871" s="102" t="n"/>
      <c r="P871" s="102" t="n"/>
      <c r="Q871" s="102" t="n"/>
      <c r="R871" s="102" t="n"/>
      <c r="S871" s="102" t="n"/>
      <c r="T871" s="102" t="n"/>
      <c r="U871" s="102" t="n"/>
      <c r="V871" s="102" t="n"/>
      <c r="W871" s="102" t="n"/>
      <c r="X871" s="102" t="n"/>
      <c r="Y871" s="102" t="n"/>
      <c r="Z871" s="102" t="n"/>
      <c r="AA871" s="102" t="n"/>
      <c r="AB871" s="102" t="n"/>
      <c r="AC871" s="102" t="n"/>
      <c r="AD871" s="102" t="n"/>
    </row>
    <row r="872" ht="15.75" customHeight="1" s="205">
      <c r="A872" s="102" t="n"/>
      <c r="B872" s="147" t="n"/>
      <c r="C872" s="144" t="n"/>
      <c r="D872" s="144" t="n"/>
      <c r="E872" s="144" t="n"/>
      <c r="F872" s="144" t="n"/>
      <c r="G872" s="144" t="n"/>
      <c r="H872" s="141">
        <f>IF(K872&lt;&gt;"", HYPERLINK("https://chatgpt.com/?prompt=" &amp; SUBSTITUTE(SUBSTITUTE(K872, " ", "+"), "&amp;", "dan") &amp; "&amp;force-refresh=true&amp;timestamp=" &amp; TEXT(NOW(), "yyyymmddhhmmss"), "👉 Klik untuk Generate Script! 🔥"), "")</f>
        <v/>
      </c>
      <c r="I872" s="144" t="n"/>
      <c r="J872" s="148" t="n"/>
      <c r="K872" s="140">
        <f>IF(AND(B872&lt;&gt;"", C872&lt;&gt;"", D872&lt;&gt;"", E872&lt;&gt;"", F872&lt;&gt;"", G872&lt;&gt;"", J872&lt;&gt;"", 'CONTENT PILLAR MAPPING'!C774&lt;&gt;"", 'CONTENT PILLAR MAPPING'!E774&lt;&gt;"", 'CONTENT PILLAR MAPPING'!F774&lt;&gt;"", 'CONTENT PILLAR MAPPING'!C777&lt;&gt;"", 'CONTENT PILLAR MAPPING'!C782&lt;&gt;"", 'CONTENT PILLAR MAPPING'!D782&lt;&gt;"", 'CONTENT PILLAR MAPPING'!E782&lt;&gt;"", 'CONTENT PILLAR MAPPING'!D790&lt;&gt;"", 'CONTENT PILLAR MAPPING'!D791&lt;&gt;""),
CONCATENATE(
"Sebagai seorang top konten kreator dengan niche utama '", 'CONTENT PILLAR MAPPING'!C774, "', spesifik kategori '", 'CONTENT PILLAR MAPPING'!E774, "', dan super spesifik '", 'CONTENT PILLAR MAPPING'!F774, "', yang dikenal sebagai '", 'CONTENT PILLAR MAPPING'!C777, "'.", CHAR(10),
"Saya memiliki Tone of Voice: '", 'CONTENT PILLAR MAPPING'!C782, "', Brand Archetype: '", 'CONTENT PILLAR MAPPING'!D782, "', dan Deskripsi Gaya Komunikasi: '", 'CONTENT PILLAR MAPPING'!E782, "'.", CHAR(10),
"Target audiens saya adalah: '", 'CONTENT PILLAR MAPPING'!D790, "', dengan segmentasi audiens: '", 'CONTENT PILLAR MAPPING'!D791, "'.", CHAR(10), CHAR(10),
"Mohon buatkan script konten yang **sangat powerful, menarik, inovatif, dan siap pakai** dengan judul ide '", B872, "'.", CHAR(10),
"Konten ini memiliki pilar '", C872, "', nilai tambah utama '", F872, "', dan akan menggunakan storytelling framework '", G872, "'.", CHAR(10),
"Gambaran singkat ide kontennya adalah: '", J872, "'.", CHAR(10),
"Konten ini akan diunggah di platform '", E872, "' dengan format '", D872,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MAPPING'!C777, "'.** Sesuaikan dengan gaya komunikasi saya, dengan fokus pada nilai tambah '", F872,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MAPPING'!D790, ", khusus ", 'CONTENT PILLAR MAPPING'!D791, ") dan membantu mereka menyelesaikan masalah atau mencapai tujuan mereka.", CHAR(10),
"✔ Membantuku membangun personal branding yang kuat dan sustainable, sesuai dengan Positioning saya sebagai '", 'CONTENT PILLAR MAPPING'!C777, "' dan Brand Archetype '", 'CONTENT PILLAR MAPPING'!D782, "'.", CHAR(10),
"✔ Kemas dalam bentuk tabel agar rapi, mudah di baca dan dipahami, dengan kolom 'Judul Konten', 'Pilar', 'Format', 'Draft Script', 'CTA', 'Saran Visual', dan 'Full Caption'. (Kosongkan kolom Link Prompt jika ada)."
),
"")</f>
        <v/>
      </c>
      <c r="L872" s="199" t="n"/>
      <c r="M872" s="199" t="n"/>
      <c r="N872" s="102" t="n"/>
      <c r="O872" s="102" t="n"/>
      <c r="P872" s="102" t="n"/>
      <c r="Q872" s="102" t="n"/>
      <c r="R872" s="102" t="n"/>
      <c r="S872" s="102" t="n"/>
      <c r="T872" s="102" t="n"/>
      <c r="U872" s="102" t="n"/>
      <c r="V872" s="102" t="n"/>
      <c r="W872" s="102" t="n"/>
      <c r="X872" s="102" t="n"/>
      <c r="Y872" s="102" t="n"/>
      <c r="Z872" s="102" t="n"/>
      <c r="AA872" s="102" t="n"/>
      <c r="AB872" s="102" t="n"/>
      <c r="AC872" s="102" t="n"/>
      <c r="AD872" s="102" t="n"/>
    </row>
    <row r="873" ht="15.75" customHeight="1" s="205">
      <c r="A873" s="102" t="n"/>
      <c r="B873" s="142" t="n"/>
      <c r="C873" s="143" t="n"/>
      <c r="D873" s="143" t="n"/>
      <c r="E873" s="143" t="n"/>
      <c r="F873" s="143" t="n"/>
      <c r="G873" s="144" t="n"/>
      <c r="H873" s="145">
        <f>IF(K873&lt;&gt;"", HYPERLINK("https://chatgpt.com/?prompt=" &amp; SUBSTITUTE(SUBSTITUTE(K873, " ", "+"), "&amp;", "dan") &amp; "&amp;force-refresh=true&amp;timestamp=" &amp; TEXT(NOW(), "yyyymmddhhmmss"), "👉 Klik untuk Generate Script! 🔥"), "")</f>
        <v/>
      </c>
      <c r="I873" s="143" t="n"/>
      <c r="J873" s="146" t="n"/>
      <c r="K873" s="130">
        <f>IF(AND(B873&lt;&gt;"", C873&lt;&gt;"", D873&lt;&gt;"", E873&lt;&gt;"", F873&lt;&gt;"", G873&lt;&gt;"", J873&lt;&gt;"", 'CONTENT PILLAR MAPPING'!C776&lt;&gt;"", 'CONTENT PILLAR MAPPING'!E776&lt;&gt;"", 'CONTENT PILLAR MAPPING'!F776&lt;&gt;"", 'CONTENT PILLAR MAPPING'!C779&lt;&gt;"", 'CONTENT PILLAR MAPPING'!C784&lt;&gt;"", 'CONTENT PILLAR MAPPING'!D784&lt;&gt;"", 'CONTENT PILLAR MAPPING'!E784&lt;&gt;"", 'CONTENT PILLAR MAPPING'!D792&lt;&gt;"", 'CONTENT PILLAR MAPPING'!D793&lt;&gt;""),
CONCATENATE(
"Sebagai seorang top konten kreator dengan niche utama '", 'CONTENT PILLAR MAPPING'!C776, "', spesifik kategori '", 'CONTENT PILLAR MAPPING'!E776, "', dan super spesifik '", 'CONTENT PILLAR MAPPING'!F776, "', yang dikenal sebagai '", 'CONTENT PILLAR MAPPING'!C779, "'.", CHAR(10),
"Saya memiliki Tone of Voice: '", 'CONTENT PILLAR MAPPING'!C784, "', Brand Archetype: '", 'CONTENT PILLAR MAPPING'!D784, "', dan Deskripsi Gaya Komunikasi: '", 'CONTENT PILLAR MAPPING'!E784, "'.", CHAR(10),
"Target audiens saya adalah: '", 'CONTENT PILLAR MAPPING'!D792, "', dengan segmentasi audiens: '", 'CONTENT PILLAR MAPPING'!D793, "'.", CHAR(10), CHAR(10),
"Mohon buatkan script konten yang **sangat powerful, menarik, inovatif, dan siap pakai** dengan judul ide '", B873, "'.", CHAR(10),
"Konten ini memiliki pilar '", C873, "', nilai tambah utama '", F873, "', dan akan menggunakan storytelling framework '", G873, "'.", CHAR(10),
"Gambaran singkat ide kontennya adalah: '", J873, "'.", CHAR(10),
"Konten ini akan diunggah di platform '", E873, "' dengan format '", D873,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MAPPING'!C779, "'.** Sesuaikan dengan gaya komunikasi saya, dengan fokus pada nilai tambah '", F873,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MAPPING'!D792, ", khusus ", 'CONTENT PILLAR MAPPING'!D793, ") dan membantu mereka menyelesaikan masalah atau mencapai tujuan mereka.", CHAR(10),
"✔ Membantuku membangun personal branding yang kuat dan sustainable, sesuai dengan Positioning saya sebagai '", 'CONTENT PILLAR MAPPING'!C779, "' dan Brand Archetype '", 'CONTENT PILLAR MAPPING'!D784, "'.", CHAR(10),
"✔ Kemas dalam bentuk tabel agar rapi, mudah di baca dan dipahami, dengan kolom 'Judul Konten', 'Pilar', 'Format', 'Draft Script', 'CTA', 'Saran Visual', dan 'Full Caption'. (Kosongkan kolom Link Prompt jika ada)."
),
"")</f>
        <v/>
      </c>
      <c r="L873" s="91" t="n"/>
      <c r="M873" s="91" t="n"/>
      <c r="N873" s="102" t="n"/>
      <c r="O873" s="102" t="n"/>
      <c r="P873" s="102" t="n"/>
      <c r="Q873" s="102" t="n"/>
      <c r="R873" s="102" t="n"/>
      <c r="S873" s="102" t="n"/>
      <c r="T873" s="102" t="n"/>
      <c r="U873" s="102" t="n"/>
      <c r="V873" s="102" t="n"/>
      <c r="W873" s="102" t="n"/>
      <c r="X873" s="102" t="n"/>
      <c r="Y873" s="102" t="n"/>
      <c r="Z873" s="102" t="n"/>
      <c r="AA873" s="102" t="n"/>
      <c r="AB873" s="102" t="n"/>
      <c r="AC873" s="102" t="n"/>
      <c r="AD873" s="102" t="n"/>
    </row>
    <row r="874" ht="15.75" customHeight="1" s="205">
      <c r="A874" s="102" t="n"/>
      <c r="B874" s="147" t="n"/>
      <c r="C874" s="144" t="n"/>
      <c r="D874" s="144" t="n"/>
      <c r="E874" s="144" t="n"/>
      <c r="F874" s="144" t="n"/>
      <c r="G874" s="144" t="n"/>
      <c r="H874" s="141">
        <f>IF(K874&lt;&gt;"", HYPERLINK("https://chatgpt.com/?prompt=" &amp; SUBSTITUTE(SUBSTITUTE(K874, " ", "+"), "&amp;", "dan") &amp; "&amp;force-refresh=true&amp;timestamp=" &amp; TEXT(NOW(), "yyyymmddhhmmss"), "👉 Klik untuk Generate Script! 🔥"), "")</f>
        <v/>
      </c>
      <c r="I874" s="144" t="n"/>
      <c r="J874" s="148" t="n"/>
      <c r="K874" s="140">
        <f>IF(AND(B874&lt;&gt;"", C874&lt;&gt;"", D874&lt;&gt;"", E874&lt;&gt;"", F874&lt;&gt;"", G874&lt;&gt;"", J874&lt;&gt;"", 'CONTENT PILLAR MAPPING'!C776&lt;&gt;"", 'CONTENT PILLAR MAPPING'!E776&lt;&gt;"", 'CONTENT PILLAR MAPPING'!F776&lt;&gt;"", 'CONTENT PILLAR MAPPING'!C779&lt;&gt;"", 'CONTENT PILLAR MAPPING'!C784&lt;&gt;"", 'CONTENT PILLAR MAPPING'!D784&lt;&gt;"", 'CONTENT PILLAR MAPPING'!E784&lt;&gt;"", 'CONTENT PILLAR MAPPING'!D792&lt;&gt;"", 'CONTENT PILLAR MAPPING'!D793&lt;&gt;""),
CONCATENATE(
"Sebagai seorang top konten kreator dengan niche utama '", 'CONTENT PILLAR MAPPING'!C776, "', spesifik kategori '", 'CONTENT PILLAR MAPPING'!E776, "', dan super spesifik '", 'CONTENT PILLAR MAPPING'!F776, "', yang dikenal sebagai '", 'CONTENT PILLAR MAPPING'!C779, "'.", CHAR(10),
"Saya memiliki Tone of Voice: '", 'CONTENT PILLAR MAPPING'!C784, "', Brand Archetype: '", 'CONTENT PILLAR MAPPING'!D784, "', dan Deskripsi Gaya Komunikasi: '", 'CONTENT PILLAR MAPPING'!E784, "'.", CHAR(10),
"Target audiens saya adalah: '", 'CONTENT PILLAR MAPPING'!D792, "', dengan segmentasi audiens: '", 'CONTENT PILLAR MAPPING'!D793, "'.", CHAR(10), CHAR(10),
"Mohon buatkan script konten yang **sangat powerful, menarik, inovatif, dan siap pakai** dengan judul ide '", B874, "'.", CHAR(10),
"Konten ini memiliki pilar '", C874, "', nilai tambah utama '", F874, "', dan akan menggunakan storytelling framework '", G874, "'.", CHAR(10),
"Gambaran singkat ide kontennya adalah: '", J874, "'.", CHAR(10),
"Konten ini akan diunggah di platform '", E874, "' dengan format '", D874,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MAPPING'!C779, "'.** Sesuaikan dengan gaya komunikasi saya, dengan fokus pada nilai tambah '", F874,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MAPPING'!D792, ", khusus ", 'CONTENT PILLAR MAPPING'!D793, ") dan membantu mereka menyelesaikan masalah atau mencapai tujuan mereka.", CHAR(10),
"✔ Membantuku membangun personal branding yang kuat dan sustainable, sesuai dengan Positioning saya sebagai '", 'CONTENT PILLAR MAPPING'!C779, "' dan Brand Archetype '", 'CONTENT PILLAR MAPPING'!D784, "'.", CHAR(10),
"✔ Kemas dalam bentuk tabel agar rapi, mudah di baca dan dipahami, dengan kolom 'Judul Konten', 'Pilar', 'Format', 'Draft Script', 'CTA', 'Saran Visual', dan 'Full Caption'. (Kosongkan kolom Link Prompt jika ada)."
),
"")</f>
        <v/>
      </c>
      <c r="L874" s="199" t="n"/>
      <c r="M874" s="199" t="n"/>
      <c r="N874" s="102" t="n"/>
      <c r="O874" s="102" t="n"/>
      <c r="P874" s="102" t="n"/>
      <c r="Q874" s="102" t="n"/>
      <c r="R874" s="102" t="n"/>
      <c r="S874" s="102" t="n"/>
      <c r="T874" s="102" t="n"/>
      <c r="U874" s="102" t="n"/>
      <c r="V874" s="102" t="n"/>
      <c r="W874" s="102" t="n"/>
      <c r="X874" s="102" t="n"/>
      <c r="Y874" s="102" t="n"/>
      <c r="Z874" s="102" t="n"/>
      <c r="AA874" s="102" t="n"/>
      <c r="AB874" s="102" t="n"/>
      <c r="AC874" s="102" t="n"/>
      <c r="AD874" s="102" t="n"/>
    </row>
    <row r="875" ht="15.75" customHeight="1" s="205">
      <c r="A875" s="102" t="n"/>
      <c r="B875" s="142" t="n"/>
      <c r="C875" s="143" t="n"/>
      <c r="D875" s="143" t="n"/>
      <c r="E875" s="143" t="n"/>
      <c r="F875" s="143" t="n"/>
      <c r="G875" s="144" t="n"/>
      <c r="H875" s="145">
        <f>IF(K875&lt;&gt;"", HYPERLINK("https://chatgpt.com/?prompt=" &amp; SUBSTITUTE(SUBSTITUTE(K875, " ", "+"), "&amp;", "dan") &amp; "&amp;force-refresh=true&amp;timestamp=" &amp; TEXT(NOW(), "yyyymmddhhmmss"), "👉 Klik untuk Generate Script! 🔥"), "")</f>
        <v/>
      </c>
      <c r="I875" s="143" t="n"/>
      <c r="J875" s="146" t="n"/>
      <c r="K875" s="130">
        <f>IF(AND(B875&lt;&gt;"", C875&lt;&gt;"", D875&lt;&gt;"", E875&lt;&gt;"", F875&lt;&gt;"", G875&lt;&gt;"", J875&lt;&gt;"", 'CONTENT PILLAR MAPPING'!C778&lt;&gt;"", 'CONTENT PILLAR MAPPING'!E778&lt;&gt;"", 'CONTENT PILLAR MAPPING'!F778&lt;&gt;"", 'CONTENT PILLAR MAPPING'!C781&lt;&gt;"", 'CONTENT PILLAR MAPPING'!C786&lt;&gt;"", 'CONTENT PILLAR MAPPING'!D786&lt;&gt;"", 'CONTENT PILLAR MAPPING'!E786&lt;&gt;"", 'CONTENT PILLAR MAPPING'!D794&lt;&gt;"", 'CONTENT PILLAR MAPPING'!D795&lt;&gt;""),
CONCATENATE(
"Sebagai seorang top konten kreator dengan niche utama '", 'CONTENT PILLAR MAPPING'!C778, "', spesifik kategori '", 'CONTENT PILLAR MAPPING'!E778, "', dan super spesifik '", 'CONTENT PILLAR MAPPING'!F778, "', yang dikenal sebagai '", 'CONTENT PILLAR MAPPING'!C781, "'.", CHAR(10),
"Saya memiliki Tone of Voice: '", 'CONTENT PILLAR MAPPING'!C786, "', Brand Archetype: '", 'CONTENT PILLAR MAPPING'!D786, "', dan Deskripsi Gaya Komunikasi: '", 'CONTENT PILLAR MAPPING'!E786, "'.", CHAR(10),
"Target audiens saya adalah: '", 'CONTENT PILLAR MAPPING'!D794, "', dengan segmentasi audiens: '", 'CONTENT PILLAR MAPPING'!D795, "'.", CHAR(10), CHAR(10),
"Mohon buatkan script konten yang **sangat powerful, menarik, inovatif, dan siap pakai** dengan judul ide '", B875, "'.", CHAR(10),
"Konten ini memiliki pilar '", C875, "', nilai tambah utama '", F875, "', dan akan menggunakan storytelling framework '", G875, "'.", CHAR(10),
"Gambaran singkat ide kontennya adalah: '", J875, "'.", CHAR(10),
"Konten ini akan diunggah di platform '", E875, "' dengan format '", D875,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MAPPING'!C781, "'.** Sesuaikan dengan gaya komunikasi saya, dengan fokus pada nilai tambah '", F875,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MAPPING'!D794, ", khusus ", 'CONTENT PILLAR MAPPING'!D795, ") dan membantu mereka menyelesaikan masalah atau mencapai tujuan mereka.", CHAR(10),
"✔ Membantuku membangun personal branding yang kuat dan sustainable, sesuai dengan Positioning saya sebagai '", 'CONTENT PILLAR MAPPING'!C781, "' dan Brand Archetype '", 'CONTENT PILLAR MAPPING'!D786, "'.", CHAR(10),
"✔ Kemas dalam bentuk tabel agar rapi, mudah di baca dan dipahami, dengan kolom 'Judul Konten', 'Pilar', 'Format', 'Draft Script', 'CTA', 'Saran Visual', dan 'Full Caption'. (Kosongkan kolom Link Prompt jika ada)."
),
"")</f>
        <v/>
      </c>
      <c r="L875" s="91" t="n"/>
      <c r="M875" s="91" t="n"/>
      <c r="N875" s="102" t="n"/>
      <c r="O875" s="102" t="n"/>
      <c r="P875" s="102" t="n"/>
      <c r="Q875" s="102" t="n"/>
      <c r="R875" s="102" t="n"/>
      <c r="S875" s="102" t="n"/>
      <c r="T875" s="102" t="n"/>
      <c r="U875" s="102" t="n"/>
      <c r="V875" s="102" t="n"/>
      <c r="W875" s="102" t="n"/>
      <c r="X875" s="102" t="n"/>
      <c r="Y875" s="102" t="n"/>
      <c r="Z875" s="102" t="n"/>
      <c r="AA875" s="102" t="n"/>
      <c r="AB875" s="102" t="n"/>
      <c r="AC875" s="102" t="n"/>
      <c r="AD875" s="102" t="n"/>
    </row>
    <row r="876" ht="15.75" customHeight="1" s="205">
      <c r="A876" s="102" t="n"/>
      <c r="B876" s="147" t="n"/>
      <c r="C876" s="144" t="n"/>
      <c r="D876" s="144" t="n"/>
      <c r="E876" s="144" t="n"/>
      <c r="F876" s="144" t="n"/>
      <c r="G876" s="144" t="n"/>
      <c r="H876" s="141">
        <f>IF(K876&lt;&gt;"", HYPERLINK("https://chatgpt.com/?prompt=" &amp; SUBSTITUTE(SUBSTITUTE(K876, " ", "+"), "&amp;", "dan") &amp; "&amp;force-refresh=true&amp;timestamp=" &amp; TEXT(NOW(), "yyyymmddhhmmss"), "👉 Klik untuk Generate Script! 🔥"), "")</f>
        <v/>
      </c>
      <c r="I876" s="144" t="n"/>
      <c r="J876" s="148" t="n"/>
      <c r="K876" s="140">
        <f>IF(AND(B876&lt;&gt;"", C876&lt;&gt;"", D876&lt;&gt;"", E876&lt;&gt;"", F876&lt;&gt;"", G876&lt;&gt;"", J876&lt;&gt;"", 'CONTENT PILLAR MAPPING'!C778&lt;&gt;"", 'CONTENT PILLAR MAPPING'!E778&lt;&gt;"", 'CONTENT PILLAR MAPPING'!F778&lt;&gt;"", 'CONTENT PILLAR MAPPING'!C781&lt;&gt;"", 'CONTENT PILLAR MAPPING'!C786&lt;&gt;"", 'CONTENT PILLAR MAPPING'!D786&lt;&gt;"", 'CONTENT PILLAR MAPPING'!E786&lt;&gt;"", 'CONTENT PILLAR MAPPING'!D794&lt;&gt;"", 'CONTENT PILLAR MAPPING'!D795&lt;&gt;""),
CONCATENATE(
"Sebagai seorang top konten kreator dengan niche utama '", 'CONTENT PILLAR MAPPING'!C778, "', spesifik kategori '", 'CONTENT PILLAR MAPPING'!E778, "', dan super spesifik '", 'CONTENT PILLAR MAPPING'!F778, "', yang dikenal sebagai '", 'CONTENT PILLAR MAPPING'!C781, "'.", CHAR(10),
"Saya memiliki Tone of Voice: '", 'CONTENT PILLAR MAPPING'!C786, "', Brand Archetype: '", 'CONTENT PILLAR MAPPING'!D786, "', dan Deskripsi Gaya Komunikasi: '", 'CONTENT PILLAR MAPPING'!E786, "'.", CHAR(10),
"Target audiens saya adalah: '", 'CONTENT PILLAR MAPPING'!D794, "', dengan segmentasi audiens: '", 'CONTENT PILLAR MAPPING'!D795, "'.", CHAR(10), CHAR(10),
"Mohon buatkan script konten yang **sangat powerful, menarik, inovatif, dan siap pakai** dengan judul ide '", B876, "'.", CHAR(10),
"Konten ini memiliki pilar '", C876, "', nilai tambah utama '", F876, "', dan akan menggunakan storytelling framework '", G876, "'.", CHAR(10),
"Gambaran singkat ide kontennya adalah: '", J876, "'.", CHAR(10),
"Konten ini akan diunggah di platform '", E876, "' dengan format '", D876,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MAPPING'!C781, "'.** Sesuaikan dengan gaya komunikasi saya, dengan fokus pada nilai tambah '", F876,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MAPPING'!D794, ", khusus ", 'CONTENT PILLAR MAPPING'!D795, ") dan membantu mereka menyelesaikan masalah atau mencapai tujuan mereka.", CHAR(10),
"✔ Membantuku membangun personal branding yang kuat dan sustainable, sesuai dengan Positioning saya sebagai '", 'CONTENT PILLAR MAPPING'!C781, "' dan Brand Archetype '", 'CONTENT PILLAR MAPPING'!D786, "'.", CHAR(10),
"✔ Kemas dalam bentuk tabel agar rapi, mudah di baca dan dipahami, dengan kolom 'Judul Konten', 'Pilar', 'Format', 'Draft Script', 'CTA', 'Saran Visual', dan 'Full Caption'. (Kosongkan kolom Link Prompt jika ada)."
),
"")</f>
        <v/>
      </c>
      <c r="L876" s="199" t="n"/>
      <c r="M876" s="199" t="n"/>
      <c r="N876" s="102" t="n"/>
      <c r="O876" s="102" t="n"/>
      <c r="P876" s="102" t="n"/>
      <c r="Q876" s="102" t="n"/>
      <c r="R876" s="102" t="n"/>
      <c r="S876" s="102" t="n"/>
      <c r="T876" s="102" t="n"/>
      <c r="U876" s="102" t="n"/>
      <c r="V876" s="102" t="n"/>
      <c r="W876" s="102" t="n"/>
      <c r="X876" s="102" t="n"/>
      <c r="Y876" s="102" t="n"/>
      <c r="Z876" s="102" t="n"/>
      <c r="AA876" s="102" t="n"/>
      <c r="AB876" s="102" t="n"/>
      <c r="AC876" s="102" t="n"/>
      <c r="AD876" s="102" t="n"/>
    </row>
    <row r="877" ht="15.75" customHeight="1" s="205">
      <c r="A877" s="102" t="n"/>
      <c r="B877" s="142" t="n"/>
      <c r="C877" s="143" t="n"/>
      <c r="D877" s="143" t="n"/>
      <c r="E877" s="143" t="n"/>
      <c r="F877" s="143" t="n"/>
      <c r="G877" s="144" t="n"/>
      <c r="H877" s="145">
        <f>IF(K877&lt;&gt;"", HYPERLINK("https://chatgpt.com/?prompt=" &amp; SUBSTITUTE(SUBSTITUTE(K877, " ", "+"), "&amp;", "dan") &amp; "&amp;force-refresh=true&amp;timestamp=" &amp; TEXT(NOW(), "yyyymmddhhmmss"), "👉 Klik untuk Generate Script! 🔥"), "")</f>
        <v/>
      </c>
      <c r="I877" s="143" t="n"/>
      <c r="J877" s="146" t="n"/>
      <c r="K877" s="130">
        <f>IF(AND(B877&lt;&gt;"", C877&lt;&gt;"", D877&lt;&gt;"", E877&lt;&gt;"", F877&lt;&gt;"", G877&lt;&gt;"", J877&lt;&gt;"", 'CONTENT PILLAR MAPPING'!C780&lt;&gt;"", 'CONTENT PILLAR MAPPING'!E780&lt;&gt;"", 'CONTENT PILLAR MAPPING'!F780&lt;&gt;"", 'CONTENT PILLAR MAPPING'!C783&lt;&gt;"", 'CONTENT PILLAR MAPPING'!C788&lt;&gt;"", 'CONTENT PILLAR MAPPING'!D788&lt;&gt;"", 'CONTENT PILLAR MAPPING'!E788&lt;&gt;"", 'CONTENT PILLAR MAPPING'!D796&lt;&gt;"", 'CONTENT PILLAR MAPPING'!D797&lt;&gt;""),
CONCATENATE(
"Sebagai seorang top konten kreator dengan niche utama '", 'CONTENT PILLAR MAPPING'!C780, "', spesifik kategori '", 'CONTENT PILLAR MAPPING'!E780, "', dan super spesifik '", 'CONTENT PILLAR MAPPING'!F780, "', yang dikenal sebagai '", 'CONTENT PILLAR MAPPING'!C783, "'.", CHAR(10),
"Saya memiliki Tone of Voice: '", 'CONTENT PILLAR MAPPING'!C788, "', Brand Archetype: '", 'CONTENT PILLAR MAPPING'!D788, "', dan Deskripsi Gaya Komunikasi: '", 'CONTENT PILLAR MAPPING'!E788, "'.", CHAR(10),
"Target audiens saya adalah: '", 'CONTENT PILLAR MAPPING'!D796, "', dengan segmentasi audiens: '", 'CONTENT PILLAR MAPPING'!D797, "'.", CHAR(10), CHAR(10),
"Mohon buatkan script konten yang **sangat powerful, menarik, inovatif, dan siap pakai** dengan judul ide '", B877, "'.", CHAR(10),
"Konten ini memiliki pilar '", C877, "', nilai tambah utama '", F877, "', dan akan menggunakan storytelling framework '", G877, "'.", CHAR(10),
"Gambaran singkat ide kontennya adalah: '", J877, "'.", CHAR(10),
"Konten ini akan diunggah di platform '", E877, "' dengan format '", D877,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MAPPING'!C783, "'.** Sesuaikan dengan gaya komunikasi saya, dengan fokus pada nilai tambah '", F877,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MAPPING'!D796, ", khusus ", 'CONTENT PILLAR MAPPING'!D797, ") dan membantu mereka menyelesaikan masalah atau mencapai tujuan mereka.", CHAR(10),
"✔ Membantuku membangun personal branding yang kuat dan sustainable, sesuai dengan Positioning saya sebagai '", 'CONTENT PILLAR MAPPING'!C783, "' dan Brand Archetype '", 'CONTENT PILLAR MAPPING'!D788, "'.", CHAR(10),
"✔ Kemas dalam bentuk tabel agar rapi, mudah di baca dan dipahami, dengan kolom 'Judul Konten', 'Pilar', 'Format', 'Draft Script', 'CTA', 'Saran Visual', dan 'Full Caption'. (Kosongkan kolom Link Prompt jika ada)."
),
"")</f>
        <v/>
      </c>
      <c r="L877" s="91" t="n"/>
      <c r="M877" s="91" t="n"/>
      <c r="N877" s="102" t="n"/>
      <c r="O877" s="102" t="n"/>
      <c r="P877" s="102" t="n"/>
      <c r="Q877" s="102" t="n"/>
      <c r="R877" s="102" t="n"/>
      <c r="S877" s="102" t="n"/>
      <c r="T877" s="102" t="n"/>
      <c r="U877" s="102" t="n"/>
      <c r="V877" s="102" t="n"/>
      <c r="W877" s="102" t="n"/>
      <c r="X877" s="102" t="n"/>
      <c r="Y877" s="102" t="n"/>
      <c r="Z877" s="102" t="n"/>
      <c r="AA877" s="102" t="n"/>
      <c r="AB877" s="102" t="n"/>
      <c r="AC877" s="102" t="n"/>
      <c r="AD877" s="102" t="n"/>
    </row>
    <row r="878" ht="15.75" customHeight="1" s="205">
      <c r="A878" s="102" t="n"/>
      <c r="B878" s="147" t="n"/>
      <c r="C878" s="144" t="n"/>
      <c r="D878" s="144" t="n"/>
      <c r="E878" s="144" t="n"/>
      <c r="F878" s="144" t="n"/>
      <c r="G878" s="144" t="n"/>
      <c r="H878" s="141">
        <f>IF(K878&lt;&gt;"", HYPERLINK("https://chatgpt.com/?prompt=" &amp; SUBSTITUTE(SUBSTITUTE(K878, " ", "+"), "&amp;", "dan") &amp; "&amp;force-refresh=true&amp;timestamp=" &amp; TEXT(NOW(), "yyyymmddhhmmss"), "👉 Klik untuk Generate Script! 🔥"), "")</f>
        <v/>
      </c>
      <c r="I878" s="144" t="n"/>
      <c r="J878" s="148" t="n"/>
      <c r="K878" s="140">
        <f>IF(AND(B878&lt;&gt;"", C878&lt;&gt;"", D878&lt;&gt;"", E878&lt;&gt;"", F878&lt;&gt;"", G878&lt;&gt;"", J878&lt;&gt;"", 'CONTENT PILLAR MAPPING'!C780&lt;&gt;"", 'CONTENT PILLAR MAPPING'!E780&lt;&gt;"", 'CONTENT PILLAR MAPPING'!F780&lt;&gt;"", 'CONTENT PILLAR MAPPING'!C783&lt;&gt;"", 'CONTENT PILLAR MAPPING'!C788&lt;&gt;"", 'CONTENT PILLAR MAPPING'!D788&lt;&gt;"", 'CONTENT PILLAR MAPPING'!E788&lt;&gt;"", 'CONTENT PILLAR MAPPING'!D796&lt;&gt;"", 'CONTENT PILLAR MAPPING'!D797&lt;&gt;""),
CONCATENATE(
"Sebagai seorang top konten kreator dengan niche utama '", 'CONTENT PILLAR MAPPING'!C780, "', spesifik kategori '", 'CONTENT PILLAR MAPPING'!E780, "', dan super spesifik '", 'CONTENT PILLAR MAPPING'!F780, "', yang dikenal sebagai '", 'CONTENT PILLAR MAPPING'!C783, "'.", CHAR(10),
"Saya memiliki Tone of Voice: '", 'CONTENT PILLAR MAPPING'!C788, "', Brand Archetype: '", 'CONTENT PILLAR MAPPING'!D788, "', dan Deskripsi Gaya Komunikasi: '", 'CONTENT PILLAR MAPPING'!E788, "'.", CHAR(10),
"Target audiens saya adalah: '", 'CONTENT PILLAR MAPPING'!D796, "', dengan segmentasi audiens: '", 'CONTENT PILLAR MAPPING'!D797, "'.", CHAR(10), CHAR(10),
"Mohon buatkan script konten yang **sangat powerful, menarik, inovatif, dan siap pakai** dengan judul ide '", B878, "'.", CHAR(10),
"Konten ini memiliki pilar '", C878, "', nilai tambah utama '", F878, "', dan akan menggunakan storytelling framework '", G878, "'.", CHAR(10),
"Gambaran singkat ide kontennya adalah: '", J878, "'.", CHAR(10),
"Konten ini akan diunggah di platform '", E878, "' dengan format '", D878,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MAPPING'!C783, "'.** Sesuaikan dengan gaya komunikasi saya, dengan fokus pada nilai tambah '", F878,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MAPPING'!D796, ", khusus ", 'CONTENT PILLAR MAPPING'!D797, ") dan membantu mereka menyelesaikan masalah atau mencapai tujuan mereka.", CHAR(10),
"✔ Membantuku membangun personal branding yang kuat dan sustainable, sesuai dengan Positioning saya sebagai '", 'CONTENT PILLAR MAPPING'!C783, "' dan Brand Archetype '", 'CONTENT PILLAR MAPPING'!D788, "'.", CHAR(10),
"✔ Kemas dalam bentuk tabel agar rapi, mudah di baca dan dipahami, dengan kolom 'Judul Konten', 'Pilar', 'Format', 'Draft Script', 'CTA', 'Saran Visual', dan 'Full Caption'. (Kosongkan kolom Link Prompt jika ada)."
),
"")</f>
        <v/>
      </c>
      <c r="L878" s="199" t="n"/>
      <c r="M878" s="199" t="n"/>
      <c r="N878" s="102" t="n"/>
      <c r="O878" s="102" t="n"/>
      <c r="P878" s="102" t="n"/>
      <c r="Q878" s="102" t="n"/>
      <c r="R878" s="102" t="n"/>
      <c r="S878" s="102" t="n"/>
      <c r="T878" s="102" t="n"/>
      <c r="U878" s="102" t="n"/>
      <c r="V878" s="102" t="n"/>
      <c r="W878" s="102" t="n"/>
      <c r="X878" s="102" t="n"/>
      <c r="Y878" s="102" t="n"/>
      <c r="Z878" s="102" t="n"/>
      <c r="AA878" s="102" t="n"/>
      <c r="AB878" s="102" t="n"/>
      <c r="AC878" s="102" t="n"/>
      <c r="AD878" s="102" t="n"/>
    </row>
    <row r="879" ht="15.75" customHeight="1" s="205">
      <c r="A879" s="102" t="n"/>
      <c r="B879" s="142" t="n"/>
      <c r="C879" s="143" t="n"/>
      <c r="D879" s="143" t="n"/>
      <c r="E879" s="143" t="n"/>
      <c r="F879" s="143" t="n"/>
      <c r="G879" s="144" t="n"/>
      <c r="H879" s="145">
        <f>IF(K879&lt;&gt;"", HYPERLINK("https://chatgpt.com/?prompt=" &amp; SUBSTITUTE(SUBSTITUTE(K879, " ", "+"), "&amp;", "dan") &amp; "&amp;force-refresh=true&amp;timestamp=" &amp; TEXT(NOW(), "yyyymmddhhmmss"), "👉 Klik untuk Generate Script! 🔥"), "")</f>
        <v/>
      </c>
      <c r="I879" s="143" t="n"/>
      <c r="J879" s="146" t="n"/>
      <c r="K879" s="130">
        <f>IF(AND(B879&lt;&gt;"", C879&lt;&gt;"", D879&lt;&gt;"", E879&lt;&gt;"", F879&lt;&gt;"", G879&lt;&gt;"", J879&lt;&gt;"", 'CONTENT PILLAR MAPPING'!C782&lt;&gt;"", 'CONTENT PILLAR MAPPING'!E782&lt;&gt;"", 'CONTENT PILLAR MAPPING'!F782&lt;&gt;"", 'CONTENT PILLAR MAPPING'!C785&lt;&gt;"", 'CONTENT PILLAR MAPPING'!C790&lt;&gt;"", 'CONTENT PILLAR MAPPING'!D790&lt;&gt;"", 'CONTENT PILLAR MAPPING'!E790&lt;&gt;"", 'CONTENT PILLAR MAPPING'!D798&lt;&gt;"", 'CONTENT PILLAR MAPPING'!D799&lt;&gt;""),
CONCATENATE(
"Sebagai seorang top konten kreator dengan niche utama '", 'CONTENT PILLAR MAPPING'!C782, "', spesifik kategori '", 'CONTENT PILLAR MAPPING'!E782, "', dan super spesifik '", 'CONTENT PILLAR MAPPING'!F782, "', yang dikenal sebagai '", 'CONTENT PILLAR MAPPING'!C785, "'.", CHAR(10),
"Saya memiliki Tone of Voice: '", 'CONTENT PILLAR MAPPING'!C790, "', Brand Archetype: '", 'CONTENT PILLAR MAPPING'!D790, "', dan Deskripsi Gaya Komunikasi: '", 'CONTENT PILLAR MAPPING'!E790, "'.", CHAR(10),
"Target audiens saya adalah: '", 'CONTENT PILLAR MAPPING'!D798, "', dengan segmentasi audiens: '", 'CONTENT PILLAR MAPPING'!D799, "'.", CHAR(10), CHAR(10),
"Mohon buatkan script konten yang **sangat powerful, menarik, inovatif, dan siap pakai** dengan judul ide '", B879, "'.", CHAR(10),
"Konten ini memiliki pilar '", C879, "', nilai tambah utama '", F879, "', dan akan menggunakan storytelling framework '", G879, "'.", CHAR(10),
"Gambaran singkat ide kontennya adalah: '", J879, "'.", CHAR(10),
"Konten ini akan diunggah di platform '", E879, "' dengan format '", D879,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MAPPING'!C785, "'.** Sesuaikan dengan gaya komunikasi saya, dengan fokus pada nilai tambah '", F879,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MAPPING'!D798, ", khusus ", 'CONTENT PILLAR MAPPING'!D799, ") dan membantu mereka menyelesaikan masalah atau mencapai tujuan mereka.", CHAR(10),
"✔ Membantuku membangun personal branding yang kuat dan sustainable, sesuai dengan Positioning saya sebagai '", 'CONTENT PILLAR MAPPING'!C785, "' dan Brand Archetype '", 'CONTENT PILLAR MAPPING'!D790, "'.", CHAR(10),
"✔ Kemas dalam bentuk tabel agar rapi, mudah di baca dan dipahami, dengan kolom 'Judul Konten', 'Pilar', 'Format', 'Draft Script', 'CTA', 'Saran Visual', dan 'Full Caption'. (Kosongkan kolom Link Prompt jika ada)."
),
"")</f>
        <v/>
      </c>
      <c r="L879" s="91" t="n"/>
      <c r="M879" s="91" t="n"/>
      <c r="N879" s="102" t="n"/>
      <c r="O879" s="102" t="n"/>
      <c r="P879" s="102" t="n"/>
      <c r="Q879" s="102" t="n"/>
      <c r="R879" s="102" t="n"/>
      <c r="S879" s="102" t="n"/>
      <c r="T879" s="102" t="n"/>
      <c r="U879" s="102" t="n"/>
      <c r="V879" s="102" t="n"/>
      <c r="W879" s="102" t="n"/>
      <c r="X879" s="102" t="n"/>
      <c r="Y879" s="102" t="n"/>
      <c r="Z879" s="102" t="n"/>
      <c r="AA879" s="102" t="n"/>
      <c r="AB879" s="102" t="n"/>
      <c r="AC879" s="102" t="n"/>
      <c r="AD879" s="102" t="n"/>
    </row>
    <row r="880" ht="15.75" customHeight="1" s="205">
      <c r="A880" s="102" t="n"/>
      <c r="B880" s="147" t="n"/>
      <c r="C880" s="144" t="n"/>
      <c r="D880" s="144" t="n"/>
      <c r="E880" s="144" t="n"/>
      <c r="F880" s="144" t="n"/>
      <c r="G880" s="144" t="n"/>
      <c r="H880" s="141">
        <f>IF(K880&lt;&gt;"", HYPERLINK("https://chatgpt.com/?prompt=" &amp; SUBSTITUTE(SUBSTITUTE(K880, " ", "+"), "&amp;", "dan") &amp; "&amp;force-refresh=true&amp;timestamp=" &amp; TEXT(NOW(), "yyyymmddhhmmss"), "👉 Klik untuk Generate Script! 🔥"), "")</f>
        <v/>
      </c>
      <c r="I880" s="144" t="n"/>
      <c r="J880" s="148" t="n"/>
      <c r="K880" s="140">
        <f>IF(AND(B880&lt;&gt;"", C880&lt;&gt;"", D880&lt;&gt;"", E880&lt;&gt;"", F880&lt;&gt;"", G880&lt;&gt;"", J880&lt;&gt;"", 'CONTENT PILLAR MAPPING'!C782&lt;&gt;"", 'CONTENT PILLAR MAPPING'!E782&lt;&gt;"", 'CONTENT PILLAR MAPPING'!F782&lt;&gt;"", 'CONTENT PILLAR MAPPING'!C785&lt;&gt;"", 'CONTENT PILLAR MAPPING'!C790&lt;&gt;"", 'CONTENT PILLAR MAPPING'!D790&lt;&gt;"", 'CONTENT PILLAR MAPPING'!E790&lt;&gt;"", 'CONTENT PILLAR MAPPING'!D798&lt;&gt;"", 'CONTENT PILLAR MAPPING'!D799&lt;&gt;""),
CONCATENATE(
"Sebagai seorang top konten kreator dengan niche utama '", 'CONTENT PILLAR MAPPING'!C782, "', spesifik kategori '", 'CONTENT PILLAR MAPPING'!E782, "', dan super spesifik '", 'CONTENT PILLAR MAPPING'!F782, "', yang dikenal sebagai '", 'CONTENT PILLAR MAPPING'!C785, "'.", CHAR(10),
"Saya memiliki Tone of Voice: '", 'CONTENT PILLAR MAPPING'!C790, "', Brand Archetype: '", 'CONTENT PILLAR MAPPING'!D790, "', dan Deskripsi Gaya Komunikasi: '", 'CONTENT PILLAR MAPPING'!E790, "'.", CHAR(10),
"Target audiens saya adalah: '", 'CONTENT PILLAR MAPPING'!D798, "', dengan segmentasi audiens: '", 'CONTENT PILLAR MAPPING'!D799, "'.", CHAR(10), CHAR(10),
"Mohon buatkan script konten yang **sangat powerful, menarik, inovatif, dan siap pakai** dengan judul ide '", B880, "'.", CHAR(10),
"Konten ini memiliki pilar '", C880, "', nilai tambah utama '", F880, "', dan akan menggunakan storytelling framework '", G880, "'.", CHAR(10),
"Gambaran singkat ide kontennya adalah: '", J880, "'.", CHAR(10),
"Konten ini akan diunggah di platform '", E880, "' dengan format '", D880,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MAPPING'!C785, "'.** Sesuaikan dengan gaya komunikasi saya, dengan fokus pada nilai tambah '", F880,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MAPPING'!D798, ", khusus ", 'CONTENT PILLAR MAPPING'!D799, ") dan membantu mereka menyelesaikan masalah atau mencapai tujuan mereka.", CHAR(10),
"✔ Membantuku membangun personal branding yang kuat dan sustainable, sesuai dengan Positioning saya sebagai '", 'CONTENT PILLAR MAPPING'!C785, "' dan Brand Archetype '", 'CONTENT PILLAR MAPPING'!D790, "'.", CHAR(10),
"✔ Kemas dalam bentuk tabel agar rapi, mudah di baca dan dipahami, dengan kolom 'Judul Konten', 'Pilar', 'Format', 'Draft Script', 'CTA', 'Saran Visual', dan 'Full Caption'. (Kosongkan kolom Link Prompt jika ada)."
),
"")</f>
        <v/>
      </c>
      <c r="L880" s="199" t="n"/>
      <c r="M880" s="199" t="n"/>
      <c r="N880" s="102" t="n"/>
      <c r="O880" s="102" t="n"/>
      <c r="P880" s="102" t="n"/>
      <c r="Q880" s="102" t="n"/>
      <c r="R880" s="102" t="n"/>
      <c r="S880" s="102" t="n"/>
      <c r="T880" s="102" t="n"/>
      <c r="U880" s="102" t="n"/>
      <c r="V880" s="102" t="n"/>
      <c r="W880" s="102" t="n"/>
      <c r="X880" s="102" t="n"/>
      <c r="Y880" s="102" t="n"/>
      <c r="Z880" s="102" t="n"/>
      <c r="AA880" s="102" t="n"/>
      <c r="AB880" s="102" t="n"/>
      <c r="AC880" s="102" t="n"/>
      <c r="AD880" s="102" t="n"/>
    </row>
    <row r="881" ht="15.75" customHeight="1" s="205">
      <c r="A881" s="102" t="n"/>
      <c r="B881" s="142" t="n"/>
      <c r="C881" s="143" t="n"/>
      <c r="D881" s="143" t="n"/>
      <c r="E881" s="143" t="n"/>
      <c r="F881" s="143" t="n"/>
      <c r="G881" s="144" t="n"/>
      <c r="H881" s="145">
        <f>IF(K881&lt;&gt;"", HYPERLINK("https://chatgpt.com/?prompt=" &amp; SUBSTITUTE(SUBSTITUTE(K881, " ", "+"), "&amp;", "dan") &amp; "&amp;force-refresh=true&amp;timestamp=" &amp; TEXT(NOW(), "yyyymmddhhmmss"), "👉 Klik untuk Generate Script! 🔥"), "")</f>
        <v/>
      </c>
      <c r="I881" s="143" t="n"/>
      <c r="J881" s="146" t="n"/>
      <c r="K881" s="130">
        <f>IF(AND(B881&lt;&gt;"", C881&lt;&gt;"", D881&lt;&gt;"", E881&lt;&gt;"", F881&lt;&gt;"", G881&lt;&gt;"", J881&lt;&gt;"", 'CONTENT PILLAR MAPPING'!C784&lt;&gt;"", 'CONTENT PILLAR MAPPING'!E784&lt;&gt;"", 'CONTENT PILLAR MAPPING'!F784&lt;&gt;"", 'CONTENT PILLAR MAPPING'!C787&lt;&gt;"", 'CONTENT PILLAR MAPPING'!C792&lt;&gt;"", 'CONTENT PILLAR MAPPING'!D792&lt;&gt;"", 'CONTENT PILLAR MAPPING'!E792&lt;&gt;"", 'CONTENT PILLAR MAPPING'!D800&lt;&gt;"", 'CONTENT PILLAR MAPPING'!D801&lt;&gt;""),
CONCATENATE(
"Sebagai seorang top konten kreator dengan niche utama '", 'CONTENT PILLAR MAPPING'!C784, "', spesifik kategori '", 'CONTENT PILLAR MAPPING'!E784, "', dan super spesifik '", 'CONTENT PILLAR MAPPING'!F784, "', yang dikenal sebagai '", 'CONTENT PILLAR MAPPING'!C787, "'.", CHAR(10),
"Saya memiliki Tone of Voice: '", 'CONTENT PILLAR MAPPING'!C792, "', Brand Archetype: '", 'CONTENT PILLAR MAPPING'!D792, "', dan Deskripsi Gaya Komunikasi: '", 'CONTENT PILLAR MAPPING'!E792, "'.", CHAR(10),
"Target audiens saya adalah: '", 'CONTENT PILLAR MAPPING'!D800, "', dengan segmentasi audiens: '", 'CONTENT PILLAR MAPPING'!D801, "'.", CHAR(10), CHAR(10),
"Mohon buatkan script konten yang **sangat powerful, menarik, inovatif, dan siap pakai** dengan judul ide '", B881, "'.", CHAR(10),
"Konten ini memiliki pilar '", C881, "', nilai tambah utama '", F881, "', dan akan menggunakan storytelling framework '", G881, "'.", CHAR(10),
"Gambaran singkat ide kontennya adalah: '", J881, "'.", CHAR(10),
"Konten ini akan diunggah di platform '", E881, "' dengan format '", D881,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MAPPING'!C787, "'.** Sesuaikan dengan gaya komunikasi saya, dengan fokus pada nilai tambah '", F881,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MAPPING'!D800, ", khusus ", 'CONTENT PILLAR MAPPING'!D801, ") dan membantu mereka menyelesaikan masalah atau mencapai tujuan mereka.", CHAR(10),
"✔ Membantuku membangun personal branding yang kuat dan sustainable, sesuai dengan Positioning saya sebagai '", 'CONTENT PILLAR MAPPING'!C787, "' dan Brand Archetype '", 'CONTENT PILLAR MAPPING'!D792, "'.", CHAR(10),
"✔ Kemas dalam bentuk tabel agar rapi, mudah di baca dan dipahami, dengan kolom 'Judul Konten', 'Pilar', 'Format', 'Draft Script', 'CTA', 'Saran Visual', dan 'Full Caption'. (Kosongkan kolom Link Prompt jika ada)."
),
"")</f>
        <v/>
      </c>
      <c r="L881" s="91" t="n"/>
      <c r="M881" s="91" t="n"/>
      <c r="N881" s="102" t="n"/>
      <c r="O881" s="102" t="n"/>
      <c r="P881" s="102" t="n"/>
      <c r="Q881" s="102" t="n"/>
      <c r="R881" s="102" t="n"/>
      <c r="S881" s="102" t="n"/>
      <c r="T881" s="102" t="n"/>
      <c r="U881" s="102" t="n"/>
      <c r="V881" s="102" t="n"/>
      <c r="W881" s="102" t="n"/>
      <c r="X881" s="102" t="n"/>
      <c r="Y881" s="102" t="n"/>
      <c r="Z881" s="102" t="n"/>
      <c r="AA881" s="102" t="n"/>
      <c r="AB881" s="102" t="n"/>
      <c r="AC881" s="102" t="n"/>
      <c r="AD881" s="102" t="n"/>
    </row>
    <row r="882" ht="15.75" customHeight="1" s="205">
      <c r="A882" s="102" t="n"/>
      <c r="B882" s="147" t="n"/>
      <c r="C882" s="144" t="n"/>
      <c r="D882" s="144" t="n"/>
      <c r="E882" s="144" t="n"/>
      <c r="F882" s="144" t="n"/>
      <c r="G882" s="144" t="n"/>
      <c r="H882" s="141">
        <f>IF(K882&lt;&gt;"", HYPERLINK("https://chatgpt.com/?prompt=" &amp; SUBSTITUTE(SUBSTITUTE(K882, " ", "+"), "&amp;", "dan") &amp; "&amp;force-refresh=true&amp;timestamp=" &amp; TEXT(NOW(), "yyyymmddhhmmss"), "👉 Klik untuk Generate Script! 🔥"), "")</f>
        <v/>
      </c>
      <c r="I882" s="144" t="n"/>
      <c r="J882" s="148" t="n"/>
      <c r="K882" s="140">
        <f>IF(AND(B882&lt;&gt;"", C882&lt;&gt;"", D882&lt;&gt;"", E882&lt;&gt;"", F882&lt;&gt;"", G882&lt;&gt;"", J882&lt;&gt;"", 'CONTENT PILLAR MAPPING'!C784&lt;&gt;"", 'CONTENT PILLAR MAPPING'!E784&lt;&gt;"", 'CONTENT PILLAR MAPPING'!F784&lt;&gt;"", 'CONTENT PILLAR MAPPING'!C787&lt;&gt;"", 'CONTENT PILLAR MAPPING'!C792&lt;&gt;"", 'CONTENT PILLAR MAPPING'!D792&lt;&gt;"", 'CONTENT PILLAR MAPPING'!E792&lt;&gt;"", 'CONTENT PILLAR MAPPING'!D800&lt;&gt;"", 'CONTENT PILLAR MAPPING'!D801&lt;&gt;""),
CONCATENATE(
"Sebagai seorang top konten kreator dengan niche utama '", 'CONTENT PILLAR MAPPING'!C784, "', spesifik kategori '", 'CONTENT PILLAR MAPPING'!E784, "', dan super spesifik '", 'CONTENT PILLAR MAPPING'!F784, "', yang dikenal sebagai '", 'CONTENT PILLAR MAPPING'!C787, "'.", CHAR(10),
"Saya memiliki Tone of Voice: '", 'CONTENT PILLAR MAPPING'!C792, "', Brand Archetype: '", 'CONTENT PILLAR MAPPING'!D792, "', dan Deskripsi Gaya Komunikasi: '", 'CONTENT PILLAR MAPPING'!E792, "'.", CHAR(10),
"Target audiens saya adalah: '", 'CONTENT PILLAR MAPPING'!D800, "', dengan segmentasi audiens: '", 'CONTENT PILLAR MAPPING'!D801, "'.", CHAR(10), CHAR(10),
"Mohon buatkan script konten yang **sangat powerful, menarik, inovatif, dan siap pakai** dengan judul ide '", B882, "'.", CHAR(10),
"Konten ini memiliki pilar '", C882, "', nilai tambah utama '", F882, "', dan akan menggunakan storytelling framework '", G882, "'.", CHAR(10),
"Gambaran singkat ide kontennya adalah: '", J882, "'.", CHAR(10),
"Konten ini akan diunggah di platform '", E882, "' dengan format '", D882,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MAPPING'!C787, "'.** Sesuaikan dengan gaya komunikasi saya, dengan fokus pada nilai tambah '", F882,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MAPPING'!D800, ", khusus ", 'CONTENT PILLAR MAPPING'!D801, ") dan membantu mereka menyelesaikan masalah atau mencapai tujuan mereka.", CHAR(10),
"✔ Membantuku membangun personal branding yang kuat dan sustainable, sesuai dengan Positioning saya sebagai '", 'CONTENT PILLAR MAPPING'!C787, "' dan Brand Archetype '", 'CONTENT PILLAR MAPPING'!D792, "'.", CHAR(10),
"✔ Kemas dalam bentuk tabel agar rapi, mudah di baca dan dipahami, dengan kolom 'Judul Konten', 'Pilar', 'Format', 'Draft Script', 'CTA', 'Saran Visual', dan 'Full Caption'. (Kosongkan kolom Link Prompt jika ada)."
),
"")</f>
        <v/>
      </c>
      <c r="L882" s="199" t="n"/>
      <c r="M882" s="199" t="n"/>
      <c r="N882" s="102" t="n"/>
      <c r="O882" s="102" t="n"/>
      <c r="P882" s="102" t="n"/>
      <c r="Q882" s="102" t="n"/>
      <c r="R882" s="102" t="n"/>
      <c r="S882" s="102" t="n"/>
      <c r="T882" s="102" t="n"/>
      <c r="U882" s="102" t="n"/>
      <c r="V882" s="102" t="n"/>
      <c r="W882" s="102" t="n"/>
      <c r="X882" s="102" t="n"/>
      <c r="Y882" s="102" t="n"/>
      <c r="Z882" s="102" t="n"/>
      <c r="AA882" s="102" t="n"/>
      <c r="AB882" s="102" t="n"/>
      <c r="AC882" s="102" t="n"/>
      <c r="AD882" s="102" t="n"/>
    </row>
    <row r="883" ht="15.75" customHeight="1" s="205">
      <c r="A883" s="102" t="n"/>
      <c r="B883" s="142" t="n"/>
      <c r="C883" s="143" t="n"/>
      <c r="D883" s="143" t="n"/>
      <c r="E883" s="143" t="n"/>
      <c r="F883" s="143" t="n"/>
      <c r="G883" s="144" t="n"/>
      <c r="H883" s="145">
        <f>IF(K883&lt;&gt;"", HYPERLINK("https://chatgpt.com/?prompt=" &amp; SUBSTITUTE(SUBSTITUTE(K883, " ", "+"), "&amp;", "dan") &amp; "&amp;force-refresh=true&amp;timestamp=" &amp; TEXT(NOW(), "yyyymmddhhmmss"), "👉 Klik untuk Generate Script! 🔥"), "")</f>
        <v/>
      </c>
      <c r="I883" s="143" t="n"/>
      <c r="J883" s="146" t="n"/>
      <c r="K883" s="130">
        <f>IF(AND(B883&lt;&gt;"", C883&lt;&gt;"", D883&lt;&gt;"", E883&lt;&gt;"", F883&lt;&gt;"", G883&lt;&gt;"", J883&lt;&gt;"", 'CONTENT PILLAR MAPPING'!C786&lt;&gt;"", 'CONTENT PILLAR MAPPING'!E786&lt;&gt;"", 'CONTENT PILLAR MAPPING'!F786&lt;&gt;"", 'CONTENT PILLAR MAPPING'!C789&lt;&gt;"", 'CONTENT PILLAR MAPPING'!C794&lt;&gt;"", 'CONTENT PILLAR MAPPING'!D794&lt;&gt;"", 'CONTENT PILLAR MAPPING'!E794&lt;&gt;"", 'CONTENT PILLAR MAPPING'!D802&lt;&gt;"", 'CONTENT PILLAR MAPPING'!D803&lt;&gt;""),
CONCATENATE(
"Sebagai seorang top konten kreator dengan niche utama '", 'CONTENT PILLAR MAPPING'!C786, "', spesifik kategori '", 'CONTENT PILLAR MAPPING'!E786, "', dan super spesifik '", 'CONTENT PILLAR MAPPING'!F786, "', yang dikenal sebagai '", 'CONTENT PILLAR MAPPING'!C789, "'.", CHAR(10),
"Saya memiliki Tone of Voice: '", 'CONTENT PILLAR MAPPING'!C794, "', Brand Archetype: '", 'CONTENT PILLAR MAPPING'!D794, "', dan Deskripsi Gaya Komunikasi: '", 'CONTENT PILLAR MAPPING'!E794, "'.", CHAR(10),
"Target audiens saya adalah: '", 'CONTENT PILLAR MAPPING'!D802, "', dengan segmentasi audiens: '", 'CONTENT PILLAR MAPPING'!D803, "'.", CHAR(10), CHAR(10),
"Mohon buatkan script konten yang **sangat powerful, menarik, inovatif, dan siap pakai** dengan judul ide '", B883, "'.", CHAR(10),
"Konten ini memiliki pilar '", C883, "', nilai tambah utama '", F883, "', dan akan menggunakan storytelling framework '", G883, "'.", CHAR(10),
"Gambaran singkat ide kontennya adalah: '", J883, "'.", CHAR(10),
"Konten ini akan diunggah di platform '", E883, "' dengan format '", D883,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MAPPING'!C789, "'.** Sesuaikan dengan gaya komunikasi saya, dengan fokus pada nilai tambah '", F883,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MAPPING'!D802, ", khusus ", 'CONTENT PILLAR MAPPING'!D803, ") dan membantu mereka menyelesaikan masalah atau mencapai tujuan mereka.", CHAR(10),
"✔ Membantuku membangun personal branding yang kuat dan sustainable, sesuai dengan Positioning saya sebagai '", 'CONTENT PILLAR MAPPING'!C789, "' dan Brand Archetype '", 'CONTENT PILLAR MAPPING'!D794, "'.", CHAR(10),
"✔ Kemas dalam bentuk tabel agar rapi, mudah di baca dan dipahami, dengan kolom 'Judul Konten', 'Pilar', 'Format', 'Draft Script', 'CTA', 'Saran Visual', dan 'Full Caption'. (Kosongkan kolom Link Prompt jika ada)."
),
"")</f>
        <v/>
      </c>
      <c r="L883" s="91" t="n"/>
      <c r="M883" s="91" t="n"/>
      <c r="N883" s="102" t="n"/>
      <c r="O883" s="102" t="n"/>
      <c r="P883" s="102" t="n"/>
      <c r="Q883" s="102" t="n"/>
      <c r="R883" s="102" t="n"/>
      <c r="S883" s="102" t="n"/>
      <c r="T883" s="102" t="n"/>
      <c r="U883" s="102" t="n"/>
      <c r="V883" s="102" t="n"/>
      <c r="W883" s="102" t="n"/>
      <c r="X883" s="102" t="n"/>
      <c r="Y883" s="102" t="n"/>
      <c r="Z883" s="102" t="n"/>
      <c r="AA883" s="102" t="n"/>
      <c r="AB883" s="102" t="n"/>
      <c r="AC883" s="102" t="n"/>
      <c r="AD883" s="102" t="n"/>
    </row>
    <row r="884" ht="15.75" customHeight="1" s="205">
      <c r="A884" s="102" t="n"/>
      <c r="B884" s="147" t="n"/>
      <c r="C884" s="144" t="n"/>
      <c r="D884" s="144" t="n"/>
      <c r="E884" s="144" t="n"/>
      <c r="F884" s="144" t="n"/>
      <c r="G884" s="144" t="n"/>
      <c r="H884" s="141">
        <f>IF(K884&lt;&gt;"", HYPERLINK("https://chatgpt.com/?prompt=" &amp; SUBSTITUTE(SUBSTITUTE(K884, " ", "+"), "&amp;", "dan") &amp; "&amp;force-refresh=true&amp;timestamp=" &amp; TEXT(NOW(), "yyyymmddhhmmss"), "👉 Klik untuk Generate Script! 🔥"), "")</f>
        <v/>
      </c>
      <c r="I884" s="144" t="n"/>
      <c r="J884" s="148" t="n"/>
      <c r="K884" s="140">
        <f>IF(AND(B884&lt;&gt;"", C884&lt;&gt;"", D884&lt;&gt;"", E884&lt;&gt;"", F884&lt;&gt;"", G884&lt;&gt;"", J884&lt;&gt;"", 'CONTENT PILLAR MAPPING'!C786&lt;&gt;"", 'CONTENT PILLAR MAPPING'!E786&lt;&gt;"", 'CONTENT PILLAR MAPPING'!F786&lt;&gt;"", 'CONTENT PILLAR MAPPING'!C789&lt;&gt;"", 'CONTENT PILLAR MAPPING'!C794&lt;&gt;"", 'CONTENT PILLAR MAPPING'!D794&lt;&gt;"", 'CONTENT PILLAR MAPPING'!E794&lt;&gt;"", 'CONTENT PILLAR MAPPING'!D802&lt;&gt;"", 'CONTENT PILLAR MAPPING'!D803&lt;&gt;""),
CONCATENATE(
"Sebagai seorang top konten kreator dengan niche utama '", 'CONTENT PILLAR MAPPING'!C786, "', spesifik kategori '", 'CONTENT PILLAR MAPPING'!E786, "', dan super spesifik '", 'CONTENT PILLAR MAPPING'!F786, "', yang dikenal sebagai '", 'CONTENT PILLAR MAPPING'!C789, "'.", CHAR(10),
"Saya memiliki Tone of Voice: '", 'CONTENT PILLAR MAPPING'!C794, "', Brand Archetype: '", 'CONTENT PILLAR MAPPING'!D794, "', dan Deskripsi Gaya Komunikasi: '", 'CONTENT PILLAR MAPPING'!E794, "'.", CHAR(10),
"Target audiens saya adalah: '", 'CONTENT PILLAR MAPPING'!D802, "', dengan segmentasi audiens: '", 'CONTENT PILLAR MAPPING'!D803, "'.", CHAR(10), CHAR(10),
"Mohon buatkan script konten yang **sangat powerful, menarik, inovatif, dan siap pakai** dengan judul ide '", B884, "'.", CHAR(10),
"Konten ini memiliki pilar '", C884, "', nilai tambah utama '", F884, "', dan akan menggunakan storytelling framework '", G884, "'.", CHAR(10),
"Gambaran singkat ide kontennya adalah: '", J884, "'.", CHAR(10),
"Konten ini akan diunggah di platform '", E884, "' dengan format '", D884,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MAPPING'!C789, "'.** Sesuaikan dengan gaya komunikasi saya, dengan fokus pada nilai tambah '", F884,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MAPPING'!D802, ", khusus ", 'CONTENT PILLAR MAPPING'!D803, ") dan membantu mereka menyelesaikan masalah atau mencapai tujuan mereka.", CHAR(10),
"✔ Membantuku membangun personal branding yang kuat dan sustainable, sesuai dengan Positioning saya sebagai '", 'CONTENT PILLAR MAPPING'!C789, "' dan Brand Archetype '", 'CONTENT PILLAR MAPPING'!D794, "'.", CHAR(10),
"✔ Kemas dalam bentuk tabel agar rapi, mudah di baca dan dipahami, dengan kolom 'Judul Konten', 'Pilar', 'Format', 'Draft Script', 'CTA', 'Saran Visual', dan 'Full Caption'. (Kosongkan kolom Link Prompt jika ada)."
),
"")</f>
        <v/>
      </c>
      <c r="L884" s="199" t="n"/>
      <c r="M884" s="199" t="n"/>
      <c r="N884" s="102" t="n"/>
      <c r="O884" s="102" t="n"/>
      <c r="P884" s="102" t="n"/>
      <c r="Q884" s="102" t="n"/>
      <c r="R884" s="102" t="n"/>
      <c r="S884" s="102" t="n"/>
      <c r="T884" s="102" t="n"/>
      <c r="U884" s="102" t="n"/>
      <c r="V884" s="102" t="n"/>
      <c r="W884" s="102" t="n"/>
      <c r="X884" s="102" t="n"/>
      <c r="Y884" s="102" t="n"/>
      <c r="Z884" s="102" t="n"/>
      <c r="AA884" s="102" t="n"/>
      <c r="AB884" s="102" t="n"/>
      <c r="AC884" s="102" t="n"/>
      <c r="AD884" s="102" t="n"/>
    </row>
    <row r="885" ht="15.75" customHeight="1" s="205">
      <c r="A885" s="102" t="n"/>
      <c r="B885" s="142" t="n"/>
      <c r="C885" s="143" t="n"/>
      <c r="D885" s="143" t="n"/>
      <c r="E885" s="143" t="n"/>
      <c r="F885" s="143" t="n"/>
      <c r="G885" s="144" t="n"/>
      <c r="H885" s="145">
        <f>IF(K885&lt;&gt;"", HYPERLINK("https://chatgpt.com/?prompt=" &amp; SUBSTITUTE(SUBSTITUTE(K885, " ", "+"), "&amp;", "dan") &amp; "&amp;force-refresh=true&amp;timestamp=" &amp; TEXT(NOW(), "yyyymmddhhmmss"), "👉 Klik untuk Generate Script! 🔥"), "")</f>
        <v/>
      </c>
      <c r="I885" s="143" t="n"/>
      <c r="J885" s="146" t="n"/>
      <c r="K885" s="130">
        <f>IF(AND(B885&lt;&gt;"", C885&lt;&gt;"", D885&lt;&gt;"", E885&lt;&gt;"", F885&lt;&gt;"", G885&lt;&gt;"", J885&lt;&gt;"", 'CONTENT PILLAR MAPPING'!C788&lt;&gt;"", 'CONTENT PILLAR MAPPING'!E788&lt;&gt;"", 'CONTENT PILLAR MAPPING'!F788&lt;&gt;"", 'CONTENT PILLAR MAPPING'!C791&lt;&gt;"", 'CONTENT PILLAR MAPPING'!C796&lt;&gt;"", 'CONTENT PILLAR MAPPING'!D796&lt;&gt;"", 'CONTENT PILLAR MAPPING'!E796&lt;&gt;"", 'CONTENT PILLAR MAPPING'!D804&lt;&gt;"", 'CONTENT PILLAR MAPPING'!D805&lt;&gt;""),
CONCATENATE(
"Sebagai seorang top konten kreator dengan niche utama '", 'CONTENT PILLAR MAPPING'!C788, "', spesifik kategori '", 'CONTENT PILLAR MAPPING'!E788, "', dan super spesifik '", 'CONTENT PILLAR MAPPING'!F788, "', yang dikenal sebagai '", 'CONTENT PILLAR MAPPING'!C791, "'.", CHAR(10),
"Saya memiliki Tone of Voice: '", 'CONTENT PILLAR MAPPING'!C796, "', Brand Archetype: '", 'CONTENT PILLAR MAPPING'!D796, "', dan Deskripsi Gaya Komunikasi: '", 'CONTENT PILLAR MAPPING'!E796, "'.", CHAR(10),
"Target audiens saya adalah: '", 'CONTENT PILLAR MAPPING'!D804, "', dengan segmentasi audiens: '", 'CONTENT PILLAR MAPPING'!D805, "'.", CHAR(10), CHAR(10),
"Mohon buatkan script konten yang **sangat powerful, menarik, inovatif, dan siap pakai** dengan judul ide '", B885, "'.", CHAR(10),
"Konten ini memiliki pilar '", C885, "', nilai tambah utama '", F885, "', dan akan menggunakan storytelling framework '", G885, "'.", CHAR(10),
"Gambaran singkat ide kontennya adalah: '", J885, "'.", CHAR(10),
"Konten ini akan diunggah di platform '", E885, "' dengan format '", D885,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MAPPING'!C791, "'.** Sesuaikan dengan gaya komunikasi saya, dengan fokus pada nilai tambah '", F885,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MAPPING'!D804, ", khusus ", 'CONTENT PILLAR MAPPING'!D805, ") dan membantu mereka menyelesaikan masalah atau mencapai tujuan mereka.", CHAR(10),
"✔ Membantuku membangun personal branding yang kuat dan sustainable, sesuai dengan Positioning saya sebagai '", 'CONTENT PILLAR MAPPING'!C791, "' dan Brand Archetype '", 'CONTENT PILLAR MAPPING'!D796, "'.", CHAR(10),
"✔ Kemas dalam bentuk tabel agar rapi, mudah di baca dan dipahami, dengan kolom 'Judul Konten', 'Pilar', 'Format', 'Draft Script', 'CTA', 'Saran Visual', dan 'Full Caption'. (Kosongkan kolom Link Prompt jika ada)."
),
"")</f>
        <v/>
      </c>
      <c r="L885" s="91" t="n"/>
      <c r="M885" s="91" t="n"/>
      <c r="N885" s="102" t="n"/>
      <c r="O885" s="102" t="n"/>
      <c r="P885" s="102" t="n"/>
      <c r="Q885" s="102" t="n"/>
      <c r="R885" s="102" t="n"/>
      <c r="S885" s="102" t="n"/>
      <c r="T885" s="102" t="n"/>
      <c r="U885" s="102" t="n"/>
      <c r="V885" s="102" t="n"/>
      <c r="W885" s="102" t="n"/>
      <c r="X885" s="102" t="n"/>
      <c r="Y885" s="102" t="n"/>
      <c r="Z885" s="102" t="n"/>
      <c r="AA885" s="102" t="n"/>
      <c r="AB885" s="102" t="n"/>
      <c r="AC885" s="102" t="n"/>
      <c r="AD885" s="102" t="n"/>
    </row>
    <row r="886" ht="15.75" customHeight="1" s="205">
      <c r="A886" s="102" t="n"/>
      <c r="B886" s="147" t="n"/>
      <c r="C886" s="144" t="n"/>
      <c r="D886" s="144" t="n"/>
      <c r="E886" s="144" t="n"/>
      <c r="F886" s="144" t="n"/>
      <c r="G886" s="144" t="n"/>
      <c r="H886" s="141">
        <f>IF(K886&lt;&gt;"", HYPERLINK("https://chatgpt.com/?prompt=" &amp; SUBSTITUTE(SUBSTITUTE(K886, " ", "+"), "&amp;", "dan") &amp; "&amp;force-refresh=true&amp;timestamp=" &amp; TEXT(NOW(), "yyyymmddhhmmss"), "👉 Klik untuk Generate Script! 🔥"), "")</f>
        <v/>
      </c>
      <c r="I886" s="144" t="n"/>
      <c r="J886" s="148" t="n"/>
      <c r="K886" s="140">
        <f>IF(AND(B886&lt;&gt;"", C886&lt;&gt;"", D886&lt;&gt;"", E886&lt;&gt;"", F886&lt;&gt;"", G886&lt;&gt;"", J886&lt;&gt;"", 'CONTENT PILLAR MAPPING'!C788&lt;&gt;"", 'CONTENT PILLAR MAPPING'!E788&lt;&gt;"", 'CONTENT PILLAR MAPPING'!F788&lt;&gt;"", 'CONTENT PILLAR MAPPING'!C791&lt;&gt;"", 'CONTENT PILLAR MAPPING'!C796&lt;&gt;"", 'CONTENT PILLAR MAPPING'!D796&lt;&gt;"", 'CONTENT PILLAR MAPPING'!E796&lt;&gt;"", 'CONTENT PILLAR MAPPING'!D804&lt;&gt;"", 'CONTENT PILLAR MAPPING'!D805&lt;&gt;""),
CONCATENATE(
"Sebagai seorang top konten kreator dengan niche utama '", 'CONTENT PILLAR MAPPING'!C788, "', spesifik kategori '", 'CONTENT PILLAR MAPPING'!E788, "', dan super spesifik '", 'CONTENT PILLAR MAPPING'!F788, "', yang dikenal sebagai '", 'CONTENT PILLAR MAPPING'!C791, "'.", CHAR(10),
"Saya memiliki Tone of Voice: '", 'CONTENT PILLAR MAPPING'!C796, "', Brand Archetype: '", 'CONTENT PILLAR MAPPING'!D796, "', dan Deskripsi Gaya Komunikasi: '", 'CONTENT PILLAR MAPPING'!E796, "'.", CHAR(10),
"Target audiens saya adalah: '", 'CONTENT PILLAR MAPPING'!D804, "', dengan segmentasi audiens: '", 'CONTENT PILLAR MAPPING'!D805, "'.", CHAR(10), CHAR(10),
"Mohon buatkan script konten yang **sangat powerful, menarik, inovatif, dan siap pakai** dengan judul ide '", B886, "'.", CHAR(10),
"Konten ini memiliki pilar '", C886, "', nilai tambah utama '", F886, "', dan akan menggunakan storytelling framework '", G886, "'.", CHAR(10),
"Gambaran singkat ide kontennya adalah: '", J886, "'.", CHAR(10),
"Konten ini akan diunggah di platform '", E886, "' dengan format '", D886,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MAPPING'!C791, "'.** Sesuaikan dengan gaya komunikasi saya, dengan fokus pada nilai tambah '", F886,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MAPPING'!D804, ", khusus ", 'CONTENT PILLAR MAPPING'!D805, ") dan membantu mereka menyelesaikan masalah atau mencapai tujuan mereka.", CHAR(10),
"✔ Membantuku membangun personal branding yang kuat dan sustainable, sesuai dengan Positioning saya sebagai '", 'CONTENT PILLAR MAPPING'!C791, "' dan Brand Archetype '", 'CONTENT PILLAR MAPPING'!D796, "'.", CHAR(10),
"✔ Kemas dalam bentuk tabel agar rapi, mudah di baca dan dipahami, dengan kolom 'Judul Konten', 'Pilar', 'Format', 'Draft Script', 'CTA', 'Saran Visual', dan 'Full Caption'. (Kosongkan kolom Link Prompt jika ada)."
),
"")</f>
        <v/>
      </c>
      <c r="L886" s="199" t="n"/>
      <c r="M886" s="199" t="n"/>
      <c r="N886" s="102" t="n"/>
      <c r="O886" s="102" t="n"/>
      <c r="P886" s="102" t="n"/>
      <c r="Q886" s="102" t="n"/>
      <c r="R886" s="102" t="n"/>
      <c r="S886" s="102" t="n"/>
      <c r="T886" s="102" t="n"/>
      <c r="U886" s="102" t="n"/>
      <c r="V886" s="102" t="n"/>
      <c r="W886" s="102" t="n"/>
      <c r="X886" s="102" t="n"/>
      <c r="Y886" s="102" t="n"/>
      <c r="Z886" s="102" t="n"/>
      <c r="AA886" s="102" t="n"/>
      <c r="AB886" s="102" t="n"/>
      <c r="AC886" s="102" t="n"/>
      <c r="AD886" s="102" t="n"/>
    </row>
    <row r="887" ht="15.75" customHeight="1" s="205">
      <c r="A887" s="102" t="n"/>
      <c r="B887" s="142" t="n"/>
      <c r="C887" s="143" t="n"/>
      <c r="D887" s="143" t="n"/>
      <c r="E887" s="143" t="n"/>
      <c r="F887" s="143" t="n"/>
      <c r="G887" s="144" t="n"/>
      <c r="H887" s="145">
        <f>IF(K887&lt;&gt;"", HYPERLINK("https://chatgpt.com/?prompt=" &amp; SUBSTITUTE(SUBSTITUTE(K887, " ", "+"), "&amp;", "dan") &amp; "&amp;force-refresh=true&amp;timestamp=" &amp; TEXT(NOW(), "yyyymmddhhmmss"), "👉 Klik untuk Generate Script! 🔥"), "")</f>
        <v/>
      </c>
      <c r="I887" s="143" t="n"/>
      <c r="J887" s="146" t="n"/>
      <c r="K887" s="130">
        <f>IF(AND(B887&lt;&gt;"", C887&lt;&gt;"", D887&lt;&gt;"", E887&lt;&gt;"", F887&lt;&gt;"", G887&lt;&gt;"", J887&lt;&gt;"", 'CONTENT PILLAR MAPPING'!C790&lt;&gt;"", 'CONTENT PILLAR MAPPING'!E790&lt;&gt;"", 'CONTENT PILLAR MAPPING'!F790&lt;&gt;"", 'CONTENT PILLAR MAPPING'!C793&lt;&gt;"", 'CONTENT PILLAR MAPPING'!C798&lt;&gt;"", 'CONTENT PILLAR MAPPING'!D798&lt;&gt;"", 'CONTENT PILLAR MAPPING'!E798&lt;&gt;"", 'CONTENT PILLAR MAPPING'!D806&lt;&gt;"", 'CONTENT PILLAR MAPPING'!D807&lt;&gt;""),
CONCATENATE(
"Sebagai seorang top konten kreator dengan niche utama '", 'CONTENT PILLAR MAPPING'!C790, "', spesifik kategori '", 'CONTENT PILLAR MAPPING'!E790, "', dan super spesifik '", 'CONTENT PILLAR MAPPING'!F790, "', yang dikenal sebagai '", 'CONTENT PILLAR MAPPING'!C793, "'.", CHAR(10),
"Saya memiliki Tone of Voice: '", 'CONTENT PILLAR MAPPING'!C798, "', Brand Archetype: '", 'CONTENT PILLAR MAPPING'!D798, "', dan Deskripsi Gaya Komunikasi: '", 'CONTENT PILLAR MAPPING'!E798, "'.", CHAR(10),
"Target audiens saya adalah: '", 'CONTENT PILLAR MAPPING'!D806, "', dengan segmentasi audiens: '", 'CONTENT PILLAR MAPPING'!D807, "'.", CHAR(10), CHAR(10),
"Mohon buatkan script konten yang **sangat powerful, menarik, inovatif, dan siap pakai** dengan judul ide '", B887, "'.", CHAR(10),
"Konten ini memiliki pilar '", C887, "', nilai tambah utama '", F887, "', dan akan menggunakan storytelling framework '", G887, "'.", CHAR(10),
"Gambaran singkat ide kontennya adalah: '", J887, "'.", CHAR(10),
"Konten ini akan diunggah di platform '", E887, "' dengan format '", D887,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MAPPING'!C793, "'.** Sesuaikan dengan gaya komunikasi saya, dengan fokus pada nilai tambah '", F887,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MAPPING'!D806, ", khusus ", 'CONTENT PILLAR MAPPING'!D807, ") dan membantu mereka menyelesaikan masalah atau mencapai tujuan mereka.", CHAR(10),
"✔ Membantuku membangun personal branding yang kuat dan sustainable, sesuai dengan Positioning saya sebagai '", 'CONTENT PILLAR MAPPING'!C793, "' dan Brand Archetype '", 'CONTENT PILLAR MAPPING'!D798, "'.", CHAR(10),
"✔ Kemas dalam bentuk tabel agar rapi, mudah di baca dan dipahami, dengan kolom 'Judul Konten', 'Pilar', 'Format', 'Draft Script', 'CTA', 'Saran Visual', dan 'Full Caption'. (Kosongkan kolom Link Prompt jika ada)."
),
"")</f>
        <v/>
      </c>
      <c r="L887" s="91" t="n"/>
      <c r="M887" s="91" t="n"/>
      <c r="N887" s="102" t="n"/>
      <c r="O887" s="102" t="n"/>
      <c r="P887" s="102" t="n"/>
      <c r="Q887" s="102" t="n"/>
      <c r="R887" s="102" t="n"/>
      <c r="S887" s="102" t="n"/>
      <c r="T887" s="102" t="n"/>
      <c r="U887" s="102" t="n"/>
      <c r="V887" s="102" t="n"/>
      <c r="W887" s="102" t="n"/>
      <c r="X887" s="102" t="n"/>
      <c r="Y887" s="102" t="n"/>
      <c r="Z887" s="102" t="n"/>
      <c r="AA887" s="102" t="n"/>
      <c r="AB887" s="102" t="n"/>
      <c r="AC887" s="102" t="n"/>
      <c r="AD887" s="102" t="n"/>
    </row>
    <row r="888" ht="15.75" customHeight="1" s="205">
      <c r="A888" s="102" t="n"/>
      <c r="B888" s="147" t="n"/>
      <c r="C888" s="144" t="n"/>
      <c r="D888" s="144" t="n"/>
      <c r="E888" s="144" t="n"/>
      <c r="F888" s="144" t="n"/>
      <c r="G888" s="144" t="n"/>
      <c r="H888" s="141">
        <f>IF(K888&lt;&gt;"", HYPERLINK("https://chatgpt.com/?prompt=" &amp; SUBSTITUTE(SUBSTITUTE(K888, " ", "+"), "&amp;", "dan") &amp; "&amp;force-refresh=true&amp;timestamp=" &amp; TEXT(NOW(), "yyyymmddhhmmss"), "👉 Klik untuk Generate Script! 🔥"), "")</f>
        <v/>
      </c>
      <c r="I888" s="144" t="n"/>
      <c r="J888" s="148" t="n"/>
      <c r="K888" s="140">
        <f>IF(AND(B888&lt;&gt;"", C888&lt;&gt;"", D888&lt;&gt;"", E888&lt;&gt;"", F888&lt;&gt;"", G888&lt;&gt;"", J888&lt;&gt;"", 'CONTENT PILLAR MAPPING'!C790&lt;&gt;"", 'CONTENT PILLAR MAPPING'!E790&lt;&gt;"", 'CONTENT PILLAR MAPPING'!F790&lt;&gt;"", 'CONTENT PILLAR MAPPING'!C793&lt;&gt;"", 'CONTENT PILLAR MAPPING'!C798&lt;&gt;"", 'CONTENT PILLAR MAPPING'!D798&lt;&gt;"", 'CONTENT PILLAR MAPPING'!E798&lt;&gt;"", 'CONTENT PILLAR MAPPING'!D806&lt;&gt;"", 'CONTENT PILLAR MAPPING'!D807&lt;&gt;""),
CONCATENATE(
"Sebagai seorang top konten kreator dengan niche utama '", 'CONTENT PILLAR MAPPING'!C790, "', spesifik kategori '", 'CONTENT PILLAR MAPPING'!E790, "', dan super spesifik '", 'CONTENT PILLAR MAPPING'!F790, "', yang dikenal sebagai '", 'CONTENT PILLAR MAPPING'!C793, "'.", CHAR(10),
"Saya memiliki Tone of Voice: '", 'CONTENT PILLAR MAPPING'!C798, "', Brand Archetype: '", 'CONTENT PILLAR MAPPING'!D798, "', dan Deskripsi Gaya Komunikasi: '", 'CONTENT PILLAR MAPPING'!E798, "'.", CHAR(10),
"Target audiens saya adalah: '", 'CONTENT PILLAR MAPPING'!D806, "', dengan segmentasi audiens: '", 'CONTENT PILLAR MAPPING'!D807, "'.", CHAR(10), CHAR(10),
"Mohon buatkan script konten yang **sangat powerful, menarik, inovatif, dan siap pakai** dengan judul ide '", B888, "'.", CHAR(10),
"Konten ini memiliki pilar '", C888, "', nilai tambah utama '", F888, "', dan akan menggunakan storytelling framework '", G888, "'.", CHAR(10),
"Gambaran singkat ide kontennya adalah: '", J888, "'.", CHAR(10),
"Konten ini akan diunggah di platform '", E888, "' dengan format '", D888,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MAPPING'!C793, "'.** Sesuaikan dengan gaya komunikasi saya, dengan fokus pada nilai tambah '", F888,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MAPPING'!D806, ", khusus ", 'CONTENT PILLAR MAPPING'!D807, ") dan membantu mereka menyelesaikan masalah atau mencapai tujuan mereka.", CHAR(10),
"✔ Membantuku membangun personal branding yang kuat dan sustainable, sesuai dengan Positioning saya sebagai '", 'CONTENT PILLAR MAPPING'!C793, "' dan Brand Archetype '", 'CONTENT PILLAR MAPPING'!D798, "'.", CHAR(10),
"✔ Kemas dalam bentuk tabel agar rapi, mudah di baca dan dipahami, dengan kolom 'Judul Konten', 'Pilar', 'Format', 'Draft Script', 'CTA', 'Saran Visual', dan 'Full Caption'. (Kosongkan kolom Link Prompt jika ada)."
),
"")</f>
        <v/>
      </c>
      <c r="L888" s="199" t="n"/>
      <c r="M888" s="199" t="n"/>
      <c r="N888" s="102" t="n"/>
      <c r="O888" s="102" t="n"/>
      <c r="P888" s="102" t="n"/>
      <c r="Q888" s="102" t="n"/>
      <c r="R888" s="102" t="n"/>
      <c r="S888" s="102" t="n"/>
      <c r="T888" s="102" t="n"/>
      <c r="U888" s="102" t="n"/>
      <c r="V888" s="102" t="n"/>
      <c r="W888" s="102" t="n"/>
      <c r="X888" s="102" t="n"/>
      <c r="Y888" s="102" t="n"/>
      <c r="Z888" s="102" t="n"/>
      <c r="AA888" s="102" t="n"/>
      <c r="AB888" s="102" t="n"/>
      <c r="AC888" s="102" t="n"/>
      <c r="AD888" s="102" t="n"/>
    </row>
    <row r="889" ht="15.75" customHeight="1" s="205">
      <c r="A889" s="102" t="n"/>
      <c r="B889" s="142" t="n"/>
      <c r="C889" s="143" t="n"/>
      <c r="D889" s="143" t="n"/>
      <c r="E889" s="143" t="n"/>
      <c r="F889" s="143" t="n"/>
      <c r="G889" s="144" t="n"/>
      <c r="H889" s="145">
        <f>IF(K889&lt;&gt;"", HYPERLINK("https://chatgpt.com/?prompt=" &amp; SUBSTITUTE(SUBSTITUTE(K889, " ", "+"), "&amp;", "dan") &amp; "&amp;force-refresh=true&amp;timestamp=" &amp; TEXT(NOW(), "yyyymmddhhmmss"), "👉 Klik untuk Generate Script! 🔥"), "")</f>
        <v/>
      </c>
      <c r="I889" s="143" t="n"/>
      <c r="J889" s="146" t="n"/>
      <c r="K889" s="130">
        <f>IF(AND(B889&lt;&gt;"", C889&lt;&gt;"", D889&lt;&gt;"", E889&lt;&gt;"", F889&lt;&gt;"", G889&lt;&gt;"", J889&lt;&gt;"", 'CONTENT PILLAR MAPPING'!C792&lt;&gt;"", 'CONTENT PILLAR MAPPING'!E792&lt;&gt;"", 'CONTENT PILLAR MAPPING'!F792&lt;&gt;"", 'CONTENT PILLAR MAPPING'!C795&lt;&gt;"", 'CONTENT PILLAR MAPPING'!C800&lt;&gt;"", 'CONTENT PILLAR MAPPING'!D800&lt;&gt;"", 'CONTENT PILLAR MAPPING'!E800&lt;&gt;"", 'CONTENT PILLAR MAPPING'!D808&lt;&gt;"", 'CONTENT PILLAR MAPPING'!D809&lt;&gt;""),
CONCATENATE(
"Sebagai seorang top konten kreator dengan niche utama '", 'CONTENT PILLAR MAPPING'!C792, "', spesifik kategori '", 'CONTENT PILLAR MAPPING'!E792, "', dan super spesifik '", 'CONTENT PILLAR MAPPING'!F792, "', yang dikenal sebagai '", 'CONTENT PILLAR MAPPING'!C795, "'.", CHAR(10),
"Saya memiliki Tone of Voice: '", 'CONTENT PILLAR MAPPING'!C800, "', Brand Archetype: '", 'CONTENT PILLAR MAPPING'!D800, "', dan Deskripsi Gaya Komunikasi: '", 'CONTENT PILLAR MAPPING'!E800, "'.", CHAR(10),
"Target audiens saya adalah: '", 'CONTENT PILLAR MAPPING'!D808, "', dengan segmentasi audiens: '", 'CONTENT PILLAR MAPPING'!D809, "'.", CHAR(10), CHAR(10),
"Mohon buatkan script konten yang **sangat powerful, menarik, inovatif, dan siap pakai** dengan judul ide '", B889, "'.", CHAR(10),
"Konten ini memiliki pilar '", C889, "', nilai tambah utama '", F889, "', dan akan menggunakan storytelling framework '", G889, "'.", CHAR(10),
"Gambaran singkat ide kontennya adalah: '", J889, "'.", CHAR(10),
"Konten ini akan diunggah di platform '", E889, "' dengan format '", D889,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MAPPING'!C795, "'.** Sesuaikan dengan gaya komunikasi saya, dengan fokus pada nilai tambah '", F889,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MAPPING'!D808, ", khusus ", 'CONTENT PILLAR MAPPING'!D809, ") dan membantu mereka menyelesaikan masalah atau mencapai tujuan mereka.", CHAR(10),
"✔ Membantuku membangun personal branding yang kuat dan sustainable, sesuai dengan Positioning saya sebagai '", 'CONTENT PILLAR MAPPING'!C795, "' dan Brand Archetype '", 'CONTENT PILLAR MAPPING'!D800, "'.", CHAR(10),
"✔ Kemas dalam bentuk tabel agar rapi, mudah di baca dan dipahami, dengan kolom 'Judul Konten', 'Pilar', 'Format', 'Draft Script', 'CTA', 'Saran Visual', dan 'Full Caption'. (Kosongkan kolom Link Prompt jika ada)."
),
"")</f>
        <v/>
      </c>
      <c r="L889" s="91" t="n"/>
      <c r="M889" s="91" t="n"/>
      <c r="N889" s="102" t="n"/>
      <c r="O889" s="102" t="n"/>
      <c r="P889" s="102" t="n"/>
      <c r="Q889" s="102" t="n"/>
      <c r="R889" s="102" t="n"/>
      <c r="S889" s="102" t="n"/>
      <c r="T889" s="102" t="n"/>
      <c r="U889" s="102" t="n"/>
      <c r="V889" s="102" t="n"/>
      <c r="W889" s="102" t="n"/>
      <c r="X889" s="102" t="n"/>
      <c r="Y889" s="102" t="n"/>
      <c r="Z889" s="102" t="n"/>
      <c r="AA889" s="102" t="n"/>
      <c r="AB889" s="102" t="n"/>
      <c r="AC889" s="102" t="n"/>
      <c r="AD889" s="102" t="n"/>
    </row>
    <row r="890" ht="15.75" customHeight="1" s="205">
      <c r="A890" s="102" t="n"/>
      <c r="B890" s="147" t="n"/>
      <c r="C890" s="144" t="n"/>
      <c r="D890" s="144" t="n"/>
      <c r="E890" s="144" t="n"/>
      <c r="F890" s="144" t="n"/>
      <c r="G890" s="144" t="n"/>
      <c r="H890" s="141">
        <f>IF(K890&lt;&gt;"", HYPERLINK("https://chatgpt.com/?prompt=" &amp; SUBSTITUTE(SUBSTITUTE(K890, " ", "+"), "&amp;", "dan") &amp; "&amp;force-refresh=true&amp;timestamp=" &amp; TEXT(NOW(), "yyyymmddhhmmss"), "👉 Klik untuk Generate Script! 🔥"), "")</f>
        <v/>
      </c>
      <c r="I890" s="144" t="n"/>
      <c r="J890" s="148" t="n"/>
      <c r="K890" s="140">
        <f>IF(AND(B890&lt;&gt;"", C890&lt;&gt;"", D890&lt;&gt;"", E890&lt;&gt;"", F890&lt;&gt;"", G890&lt;&gt;"", J890&lt;&gt;"", 'CONTENT PILLAR MAPPING'!C792&lt;&gt;"", 'CONTENT PILLAR MAPPING'!E792&lt;&gt;"", 'CONTENT PILLAR MAPPING'!F792&lt;&gt;"", 'CONTENT PILLAR MAPPING'!C795&lt;&gt;"", 'CONTENT PILLAR MAPPING'!C800&lt;&gt;"", 'CONTENT PILLAR MAPPING'!D800&lt;&gt;"", 'CONTENT PILLAR MAPPING'!E800&lt;&gt;"", 'CONTENT PILLAR MAPPING'!D808&lt;&gt;"", 'CONTENT PILLAR MAPPING'!D809&lt;&gt;""),
CONCATENATE(
"Sebagai seorang top konten kreator dengan niche utama '", 'CONTENT PILLAR MAPPING'!C792, "', spesifik kategori '", 'CONTENT PILLAR MAPPING'!E792, "', dan super spesifik '", 'CONTENT PILLAR MAPPING'!F792, "', yang dikenal sebagai '", 'CONTENT PILLAR MAPPING'!C795, "'.", CHAR(10),
"Saya memiliki Tone of Voice: '", 'CONTENT PILLAR MAPPING'!C800, "', Brand Archetype: '", 'CONTENT PILLAR MAPPING'!D800, "', dan Deskripsi Gaya Komunikasi: '", 'CONTENT PILLAR MAPPING'!E800, "'.", CHAR(10),
"Target audiens saya adalah: '", 'CONTENT PILLAR MAPPING'!D808, "', dengan segmentasi audiens: '", 'CONTENT PILLAR MAPPING'!D809, "'.", CHAR(10), CHAR(10),
"Mohon buatkan script konten yang **sangat powerful, menarik, inovatif, dan siap pakai** dengan judul ide '", B890, "'.", CHAR(10),
"Konten ini memiliki pilar '", C890, "', nilai tambah utama '", F890, "', dan akan menggunakan storytelling framework '", G890, "'.", CHAR(10),
"Gambaran singkat ide kontennya adalah: '", J890, "'.", CHAR(10),
"Konten ini akan diunggah di platform '", E890, "' dengan format '", D890,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MAPPING'!C795, "'.** Sesuaikan dengan gaya komunikasi saya, dengan fokus pada nilai tambah '", F890,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MAPPING'!D808, ", khusus ", 'CONTENT PILLAR MAPPING'!D809, ") dan membantu mereka menyelesaikan masalah atau mencapai tujuan mereka.", CHAR(10),
"✔ Membantuku membangun personal branding yang kuat dan sustainable, sesuai dengan Positioning saya sebagai '", 'CONTENT PILLAR MAPPING'!C795, "' dan Brand Archetype '", 'CONTENT PILLAR MAPPING'!D800, "'.", CHAR(10),
"✔ Kemas dalam bentuk tabel agar rapi, mudah di baca dan dipahami, dengan kolom 'Judul Konten', 'Pilar', 'Format', 'Draft Script', 'CTA', 'Saran Visual', dan 'Full Caption'. (Kosongkan kolom Link Prompt jika ada)."
),
"")</f>
        <v/>
      </c>
      <c r="L890" s="199" t="n"/>
      <c r="M890" s="199" t="n"/>
      <c r="N890" s="102" t="n"/>
      <c r="O890" s="102" t="n"/>
      <c r="P890" s="102" t="n"/>
      <c r="Q890" s="102" t="n"/>
      <c r="R890" s="102" t="n"/>
      <c r="S890" s="102" t="n"/>
      <c r="T890" s="102" t="n"/>
      <c r="U890" s="102" t="n"/>
      <c r="V890" s="102" t="n"/>
      <c r="W890" s="102" t="n"/>
      <c r="X890" s="102" t="n"/>
      <c r="Y890" s="102" t="n"/>
      <c r="Z890" s="102" t="n"/>
      <c r="AA890" s="102" t="n"/>
      <c r="AB890" s="102" t="n"/>
      <c r="AC890" s="102" t="n"/>
      <c r="AD890" s="102" t="n"/>
    </row>
    <row r="891" ht="15.75" customHeight="1" s="205">
      <c r="A891" s="102" t="n"/>
      <c r="B891" s="142" t="n"/>
      <c r="C891" s="143" t="n"/>
      <c r="D891" s="143" t="n"/>
      <c r="E891" s="143" t="n"/>
      <c r="F891" s="143" t="n"/>
      <c r="G891" s="144" t="n"/>
      <c r="H891" s="145">
        <f>IF(K891&lt;&gt;"", HYPERLINK("https://chatgpt.com/?prompt=" &amp; SUBSTITUTE(SUBSTITUTE(K891, " ", "+"), "&amp;", "dan") &amp; "&amp;force-refresh=true&amp;timestamp=" &amp; TEXT(NOW(), "yyyymmddhhmmss"), "👉 Klik untuk Generate Script! 🔥"), "")</f>
        <v/>
      </c>
      <c r="I891" s="143" t="n"/>
      <c r="J891" s="146" t="n"/>
      <c r="K891" s="130">
        <f>IF(AND(B891&lt;&gt;"", C891&lt;&gt;"", D891&lt;&gt;"", E891&lt;&gt;"", F891&lt;&gt;"", G891&lt;&gt;"", J891&lt;&gt;"", 'CONTENT PILLAR MAPPING'!C794&lt;&gt;"", 'CONTENT PILLAR MAPPING'!E794&lt;&gt;"", 'CONTENT PILLAR MAPPING'!F794&lt;&gt;"", 'CONTENT PILLAR MAPPING'!C797&lt;&gt;"", 'CONTENT PILLAR MAPPING'!C802&lt;&gt;"", 'CONTENT PILLAR MAPPING'!D802&lt;&gt;"", 'CONTENT PILLAR MAPPING'!E802&lt;&gt;"", 'CONTENT PILLAR MAPPING'!D810&lt;&gt;"", 'CONTENT PILLAR MAPPING'!D811&lt;&gt;""),
CONCATENATE(
"Sebagai seorang top konten kreator dengan niche utama '", 'CONTENT PILLAR MAPPING'!C794, "', spesifik kategori '", 'CONTENT PILLAR MAPPING'!E794, "', dan super spesifik '", 'CONTENT PILLAR MAPPING'!F794, "', yang dikenal sebagai '", 'CONTENT PILLAR MAPPING'!C797, "'.", CHAR(10),
"Saya memiliki Tone of Voice: '", 'CONTENT PILLAR MAPPING'!C802, "', Brand Archetype: '", 'CONTENT PILLAR MAPPING'!D802, "', dan Deskripsi Gaya Komunikasi: '", 'CONTENT PILLAR MAPPING'!E802, "'.", CHAR(10),
"Target audiens saya adalah: '", 'CONTENT PILLAR MAPPING'!D810, "', dengan segmentasi audiens: '", 'CONTENT PILLAR MAPPING'!D811, "'.", CHAR(10), CHAR(10),
"Mohon buatkan script konten yang **sangat powerful, menarik, inovatif, dan siap pakai** dengan judul ide '", B891, "'.", CHAR(10),
"Konten ini memiliki pilar '", C891, "', nilai tambah utama '", F891, "', dan akan menggunakan storytelling framework '", G891, "'.", CHAR(10),
"Gambaran singkat ide kontennya adalah: '", J891, "'.", CHAR(10),
"Konten ini akan diunggah di platform '", E891, "' dengan format '", D891,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MAPPING'!C797, "'.** Sesuaikan dengan gaya komunikasi saya, dengan fokus pada nilai tambah '", F891,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MAPPING'!D810, ", khusus ", 'CONTENT PILLAR MAPPING'!D811, ") dan membantu mereka menyelesaikan masalah atau mencapai tujuan mereka.", CHAR(10),
"✔ Membantuku membangun personal branding yang kuat dan sustainable, sesuai dengan Positioning saya sebagai '", 'CONTENT PILLAR MAPPING'!C797, "' dan Brand Archetype '", 'CONTENT PILLAR MAPPING'!D802, "'.", CHAR(10),
"✔ Kemas dalam bentuk tabel agar rapi, mudah di baca dan dipahami, dengan kolom 'Judul Konten', 'Pilar', 'Format', 'Draft Script', 'CTA', 'Saran Visual', dan 'Full Caption'. (Kosongkan kolom Link Prompt jika ada)."
),
"")</f>
        <v/>
      </c>
      <c r="L891" s="91" t="n"/>
      <c r="M891" s="91" t="n"/>
      <c r="N891" s="102" t="n"/>
      <c r="O891" s="102" t="n"/>
      <c r="P891" s="102" t="n"/>
      <c r="Q891" s="102" t="n"/>
      <c r="R891" s="102" t="n"/>
      <c r="S891" s="102" t="n"/>
      <c r="T891" s="102" t="n"/>
      <c r="U891" s="102" t="n"/>
      <c r="V891" s="102" t="n"/>
      <c r="W891" s="102" t="n"/>
      <c r="X891" s="102" t="n"/>
      <c r="Y891" s="102" t="n"/>
      <c r="Z891" s="102" t="n"/>
      <c r="AA891" s="102" t="n"/>
      <c r="AB891" s="102" t="n"/>
      <c r="AC891" s="102" t="n"/>
      <c r="AD891" s="102" t="n"/>
    </row>
    <row r="892" ht="15.75" customHeight="1" s="205">
      <c r="A892" s="102" t="n"/>
      <c r="B892" s="147" t="n"/>
      <c r="C892" s="144" t="n"/>
      <c r="D892" s="144" t="n"/>
      <c r="E892" s="144" t="n"/>
      <c r="F892" s="144" t="n"/>
      <c r="G892" s="144" t="n"/>
      <c r="H892" s="141">
        <f>IF(K892&lt;&gt;"", HYPERLINK("https://chatgpt.com/?prompt=" &amp; SUBSTITUTE(SUBSTITUTE(K892, " ", "+"), "&amp;", "dan") &amp; "&amp;force-refresh=true&amp;timestamp=" &amp; TEXT(NOW(), "yyyymmddhhmmss"), "👉 Klik untuk Generate Script! 🔥"), "")</f>
        <v/>
      </c>
      <c r="I892" s="144" t="n"/>
      <c r="J892" s="148" t="n"/>
      <c r="K892" s="140">
        <f>IF(AND(B892&lt;&gt;"", C892&lt;&gt;"", D892&lt;&gt;"", E892&lt;&gt;"", F892&lt;&gt;"", G892&lt;&gt;"", J892&lt;&gt;"", 'CONTENT PILLAR MAPPING'!C794&lt;&gt;"", 'CONTENT PILLAR MAPPING'!E794&lt;&gt;"", 'CONTENT PILLAR MAPPING'!F794&lt;&gt;"", 'CONTENT PILLAR MAPPING'!C797&lt;&gt;"", 'CONTENT PILLAR MAPPING'!C802&lt;&gt;"", 'CONTENT PILLAR MAPPING'!D802&lt;&gt;"", 'CONTENT PILLAR MAPPING'!E802&lt;&gt;"", 'CONTENT PILLAR MAPPING'!D810&lt;&gt;"", 'CONTENT PILLAR MAPPING'!D811&lt;&gt;""),
CONCATENATE(
"Sebagai seorang top konten kreator dengan niche utama '", 'CONTENT PILLAR MAPPING'!C794, "', spesifik kategori '", 'CONTENT PILLAR MAPPING'!E794, "', dan super spesifik '", 'CONTENT PILLAR MAPPING'!F794, "', yang dikenal sebagai '", 'CONTENT PILLAR MAPPING'!C797, "'.", CHAR(10),
"Saya memiliki Tone of Voice: '", 'CONTENT PILLAR MAPPING'!C802, "', Brand Archetype: '", 'CONTENT PILLAR MAPPING'!D802, "', dan Deskripsi Gaya Komunikasi: '", 'CONTENT PILLAR MAPPING'!E802, "'.", CHAR(10),
"Target audiens saya adalah: '", 'CONTENT PILLAR MAPPING'!D810, "', dengan segmentasi audiens: '", 'CONTENT PILLAR MAPPING'!D811, "'.", CHAR(10), CHAR(10),
"Mohon buatkan script konten yang **sangat powerful, menarik, inovatif, dan siap pakai** dengan judul ide '", B892, "'.", CHAR(10),
"Konten ini memiliki pilar '", C892, "', nilai tambah utama '", F892, "', dan akan menggunakan storytelling framework '", G892, "'.", CHAR(10),
"Gambaran singkat ide kontennya adalah: '", J892, "'.", CHAR(10),
"Konten ini akan diunggah di platform '", E892, "' dengan format '", D892,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MAPPING'!C797, "'.** Sesuaikan dengan gaya komunikasi saya, dengan fokus pada nilai tambah '", F892,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MAPPING'!D810, ", khusus ", 'CONTENT PILLAR MAPPING'!D811, ") dan membantu mereka menyelesaikan masalah atau mencapai tujuan mereka.", CHAR(10),
"✔ Membantuku membangun personal branding yang kuat dan sustainable, sesuai dengan Positioning saya sebagai '", 'CONTENT PILLAR MAPPING'!C797, "' dan Brand Archetype '", 'CONTENT PILLAR MAPPING'!D802, "'.", CHAR(10),
"✔ Kemas dalam bentuk tabel agar rapi, mudah di baca dan dipahami, dengan kolom 'Judul Konten', 'Pilar', 'Format', 'Draft Script', 'CTA', 'Saran Visual', dan 'Full Caption'. (Kosongkan kolom Link Prompt jika ada)."
),
"")</f>
        <v/>
      </c>
      <c r="L892" s="199" t="n"/>
      <c r="M892" s="199" t="n"/>
      <c r="N892" s="102" t="n"/>
      <c r="O892" s="102" t="n"/>
      <c r="P892" s="102" t="n"/>
      <c r="Q892" s="102" t="n"/>
      <c r="R892" s="102" t="n"/>
      <c r="S892" s="102" t="n"/>
      <c r="T892" s="102" t="n"/>
      <c r="U892" s="102" t="n"/>
      <c r="V892" s="102" t="n"/>
      <c r="W892" s="102" t="n"/>
      <c r="X892" s="102" t="n"/>
      <c r="Y892" s="102" t="n"/>
      <c r="Z892" s="102" t="n"/>
      <c r="AA892" s="102" t="n"/>
      <c r="AB892" s="102" t="n"/>
      <c r="AC892" s="102" t="n"/>
      <c r="AD892" s="102" t="n"/>
    </row>
    <row r="893" ht="15.75" customHeight="1" s="205">
      <c r="A893" s="102" t="n"/>
      <c r="B893" s="142" t="n"/>
      <c r="C893" s="143" t="n"/>
      <c r="D893" s="143" t="n"/>
      <c r="E893" s="143" t="n"/>
      <c r="F893" s="143" t="n"/>
      <c r="G893" s="144" t="n"/>
      <c r="H893" s="145">
        <f>IF(K893&lt;&gt;"", HYPERLINK("https://chatgpt.com/?prompt=" &amp; SUBSTITUTE(SUBSTITUTE(K893, " ", "+"), "&amp;", "dan") &amp; "&amp;force-refresh=true&amp;timestamp=" &amp; TEXT(NOW(), "yyyymmddhhmmss"), "👉 Klik untuk Generate Script! 🔥"), "")</f>
        <v/>
      </c>
      <c r="I893" s="143" t="n"/>
      <c r="J893" s="146" t="n"/>
      <c r="K893" s="130">
        <f>IF(AND(B893&lt;&gt;"", C893&lt;&gt;"", D893&lt;&gt;"", E893&lt;&gt;"", F893&lt;&gt;"", G893&lt;&gt;"", J893&lt;&gt;"", 'CONTENT PILLAR MAPPING'!C796&lt;&gt;"", 'CONTENT PILLAR MAPPING'!E796&lt;&gt;"", 'CONTENT PILLAR MAPPING'!F796&lt;&gt;"", 'CONTENT PILLAR MAPPING'!C799&lt;&gt;"", 'CONTENT PILLAR MAPPING'!C804&lt;&gt;"", 'CONTENT PILLAR MAPPING'!D804&lt;&gt;"", 'CONTENT PILLAR MAPPING'!E804&lt;&gt;"", 'CONTENT PILLAR MAPPING'!D812&lt;&gt;"", 'CONTENT PILLAR MAPPING'!D813&lt;&gt;""),
CONCATENATE(
"Sebagai seorang top konten kreator dengan niche utama '", 'CONTENT PILLAR MAPPING'!C796, "', spesifik kategori '", 'CONTENT PILLAR MAPPING'!E796, "', dan super spesifik '", 'CONTENT PILLAR MAPPING'!F796, "', yang dikenal sebagai '", 'CONTENT PILLAR MAPPING'!C799, "'.", CHAR(10),
"Saya memiliki Tone of Voice: '", 'CONTENT PILLAR MAPPING'!C804, "', Brand Archetype: '", 'CONTENT PILLAR MAPPING'!D804, "', dan Deskripsi Gaya Komunikasi: '", 'CONTENT PILLAR MAPPING'!E804, "'.", CHAR(10),
"Target audiens saya adalah: '", 'CONTENT PILLAR MAPPING'!D812, "', dengan segmentasi audiens: '", 'CONTENT PILLAR MAPPING'!D813, "'.", CHAR(10), CHAR(10),
"Mohon buatkan script konten yang **sangat powerful, menarik, inovatif, dan siap pakai** dengan judul ide '", B893, "'.", CHAR(10),
"Konten ini memiliki pilar '", C893, "', nilai tambah utama '", F893, "', dan akan menggunakan storytelling framework '", G893, "'.", CHAR(10),
"Gambaran singkat ide kontennya adalah: '", J893, "'.", CHAR(10),
"Konten ini akan diunggah di platform '", E893, "' dengan format '", D893,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MAPPING'!C799, "'.** Sesuaikan dengan gaya komunikasi saya, dengan fokus pada nilai tambah '", F893,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MAPPING'!D812, ", khusus ", 'CONTENT PILLAR MAPPING'!D813, ") dan membantu mereka menyelesaikan masalah atau mencapai tujuan mereka.", CHAR(10),
"✔ Membantuku membangun personal branding yang kuat dan sustainable, sesuai dengan Positioning saya sebagai '", 'CONTENT PILLAR MAPPING'!C799, "' dan Brand Archetype '", 'CONTENT PILLAR MAPPING'!D804, "'.", CHAR(10),
"✔ Kemas dalam bentuk tabel agar rapi, mudah di baca dan dipahami, dengan kolom 'Judul Konten', 'Pilar', 'Format', 'Draft Script', 'CTA', 'Saran Visual', dan 'Full Caption'. (Kosongkan kolom Link Prompt jika ada)."
),
"")</f>
        <v/>
      </c>
      <c r="L893" s="91" t="n"/>
      <c r="M893" s="91" t="n"/>
      <c r="N893" s="102" t="n"/>
      <c r="O893" s="102" t="n"/>
      <c r="P893" s="102" t="n"/>
      <c r="Q893" s="102" t="n"/>
      <c r="R893" s="102" t="n"/>
      <c r="S893" s="102" t="n"/>
      <c r="T893" s="102" t="n"/>
      <c r="U893" s="102" t="n"/>
      <c r="V893" s="102" t="n"/>
      <c r="W893" s="102" t="n"/>
      <c r="X893" s="102" t="n"/>
      <c r="Y893" s="102" t="n"/>
      <c r="Z893" s="102" t="n"/>
      <c r="AA893" s="102" t="n"/>
      <c r="AB893" s="102" t="n"/>
      <c r="AC893" s="102" t="n"/>
      <c r="AD893" s="102" t="n"/>
    </row>
    <row r="894" ht="15.75" customHeight="1" s="205">
      <c r="A894" s="102" t="n"/>
      <c r="B894" s="147" t="n"/>
      <c r="C894" s="144" t="n"/>
      <c r="D894" s="144" t="n"/>
      <c r="E894" s="144" t="n"/>
      <c r="F894" s="144" t="n"/>
      <c r="G894" s="144" t="n"/>
      <c r="H894" s="141">
        <f>IF(K894&lt;&gt;"", HYPERLINK("https://chatgpt.com/?prompt=" &amp; SUBSTITUTE(SUBSTITUTE(K894, " ", "+"), "&amp;", "dan") &amp; "&amp;force-refresh=true&amp;timestamp=" &amp; TEXT(NOW(), "yyyymmddhhmmss"), "👉 Klik untuk Generate Script! 🔥"), "")</f>
        <v/>
      </c>
      <c r="I894" s="144" t="n"/>
      <c r="J894" s="148" t="n"/>
      <c r="K894" s="140">
        <f>IF(AND(B894&lt;&gt;"", C894&lt;&gt;"", D894&lt;&gt;"", E894&lt;&gt;"", F894&lt;&gt;"", G894&lt;&gt;"", J894&lt;&gt;"", 'CONTENT PILLAR MAPPING'!C796&lt;&gt;"", 'CONTENT PILLAR MAPPING'!E796&lt;&gt;"", 'CONTENT PILLAR MAPPING'!F796&lt;&gt;"", 'CONTENT PILLAR MAPPING'!C799&lt;&gt;"", 'CONTENT PILLAR MAPPING'!C804&lt;&gt;"", 'CONTENT PILLAR MAPPING'!D804&lt;&gt;"", 'CONTENT PILLAR MAPPING'!E804&lt;&gt;"", 'CONTENT PILLAR MAPPING'!D812&lt;&gt;"", 'CONTENT PILLAR MAPPING'!D813&lt;&gt;""),
CONCATENATE(
"Sebagai seorang top konten kreator dengan niche utama '", 'CONTENT PILLAR MAPPING'!C796, "', spesifik kategori '", 'CONTENT PILLAR MAPPING'!E796, "', dan super spesifik '", 'CONTENT PILLAR MAPPING'!F796, "', yang dikenal sebagai '", 'CONTENT PILLAR MAPPING'!C799, "'.", CHAR(10),
"Saya memiliki Tone of Voice: '", 'CONTENT PILLAR MAPPING'!C804, "', Brand Archetype: '", 'CONTENT PILLAR MAPPING'!D804, "', dan Deskripsi Gaya Komunikasi: '", 'CONTENT PILLAR MAPPING'!E804, "'.", CHAR(10),
"Target audiens saya adalah: '", 'CONTENT PILLAR MAPPING'!D812, "', dengan segmentasi audiens: '", 'CONTENT PILLAR MAPPING'!D813, "'.", CHAR(10), CHAR(10),
"Mohon buatkan script konten yang **sangat powerful, menarik, inovatif, dan siap pakai** dengan judul ide '", B894, "'.", CHAR(10),
"Konten ini memiliki pilar '", C894, "', nilai tambah utama '", F894, "', dan akan menggunakan storytelling framework '", G894, "'.", CHAR(10),
"Gambaran singkat ide kontennya adalah: '", J894, "'.", CHAR(10),
"Konten ini akan diunggah di platform '", E894, "' dengan format '", D894,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MAPPING'!C799, "'.** Sesuaikan dengan gaya komunikasi saya, dengan fokus pada nilai tambah '", F894,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MAPPING'!D812, ", khusus ", 'CONTENT PILLAR MAPPING'!D813, ") dan membantu mereka menyelesaikan masalah atau mencapai tujuan mereka.", CHAR(10),
"✔ Membantuku membangun personal branding yang kuat dan sustainable, sesuai dengan Positioning saya sebagai '", 'CONTENT PILLAR MAPPING'!C799, "' dan Brand Archetype '", 'CONTENT PILLAR MAPPING'!D804, "'.", CHAR(10),
"✔ Kemas dalam bentuk tabel agar rapi, mudah di baca dan dipahami, dengan kolom 'Judul Konten', 'Pilar', 'Format', 'Draft Script', 'CTA', 'Saran Visual', dan 'Full Caption'. (Kosongkan kolom Link Prompt jika ada)."
),
"")</f>
        <v/>
      </c>
      <c r="L894" s="199" t="n"/>
      <c r="M894" s="199" t="n"/>
      <c r="N894" s="102" t="n"/>
      <c r="O894" s="102" t="n"/>
      <c r="P894" s="102" t="n"/>
      <c r="Q894" s="102" t="n"/>
      <c r="R894" s="102" t="n"/>
      <c r="S894" s="102" t="n"/>
      <c r="T894" s="102" t="n"/>
      <c r="U894" s="102" t="n"/>
      <c r="V894" s="102" t="n"/>
      <c r="W894" s="102" t="n"/>
      <c r="X894" s="102" t="n"/>
      <c r="Y894" s="102" t="n"/>
      <c r="Z894" s="102" t="n"/>
      <c r="AA894" s="102" t="n"/>
      <c r="AB894" s="102" t="n"/>
      <c r="AC894" s="102" t="n"/>
      <c r="AD894" s="102" t="n"/>
    </row>
    <row r="895" ht="15.75" customHeight="1" s="205">
      <c r="A895" s="102" t="n"/>
      <c r="B895" s="142" t="n"/>
      <c r="C895" s="143" t="n"/>
      <c r="D895" s="143" t="n"/>
      <c r="E895" s="143" t="n"/>
      <c r="F895" s="143" t="n"/>
      <c r="G895" s="144" t="n"/>
      <c r="H895" s="145">
        <f>IF(K895&lt;&gt;"", HYPERLINK("https://chatgpt.com/?prompt=" &amp; SUBSTITUTE(SUBSTITUTE(K895, " ", "+"), "&amp;", "dan") &amp; "&amp;force-refresh=true&amp;timestamp=" &amp; TEXT(NOW(), "yyyymmddhhmmss"), "👉 Klik untuk Generate Script! 🔥"), "")</f>
        <v/>
      </c>
      <c r="I895" s="143" t="n"/>
      <c r="J895" s="146" t="n"/>
      <c r="K895" s="130">
        <f>IF(AND(B895&lt;&gt;"", C895&lt;&gt;"", D895&lt;&gt;"", E895&lt;&gt;"", F895&lt;&gt;"", G895&lt;&gt;"", J895&lt;&gt;"", 'CONTENT PILLAR MAPPING'!C798&lt;&gt;"", 'CONTENT PILLAR MAPPING'!E798&lt;&gt;"", 'CONTENT PILLAR MAPPING'!F798&lt;&gt;"", 'CONTENT PILLAR MAPPING'!C801&lt;&gt;"", 'CONTENT PILLAR MAPPING'!C806&lt;&gt;"", 'CONTENT PILLAR MAPPING'!D806&lt;&gt;"", 'CONTENT PILLAR MAPPING'!E806&lt;&gt;"", 'CONTENT PILLAR MAPPING'!D814&lt;&gt;"", 'CONTENT PILLAR MAPPING'!D815&lt;&gt;""),
CONCATENATE(
"Sebagai seorang top konten kreator dengan niche utama '", 'CONTENT PILLAR MAPPING'!C798, "', spesifik kategori '", 'CONTENT PILLAR MAPPING'!E798, "', dan super spesifik '", 'CONTENT PILLAR MAPPING'!F798, "', yang dikenal sebagai '", 'CONTENT PILLAR MAPPING'!C801, "'.", CHAR(10),
"Saya memiliki Tone of Voice: '", 'CONTENT PILLAR MAPPING'!C806, "', Brand Archetype: '", 'CONTENT PILLAR MAPPING'!D806, "', dan Deskripsi Gaya Komunikasi: '", 'CONTENT PILLAR MAPPING'!E806, "'.", CHAR(10),
"Target audiens saya adalah: '", 'CONTENT PILLAR MAPPING'!D814, "', dengan segmentasi audiens: '", 'CONTENT PILLAR MAPPING'!D815, "'.", CHAR(10), CHAR(10),
"Mohon buatkan script konten yang **sangat powerful, menarik, inovatif, dan siap pakai** dengan judul ide '", B895, "'.", CHAR(10),
"Konten ini memiliki pilar '", C895, "', nilai tambah utama '", F895, "', dan akan menggunakan storytelling framework '", G895, "'.", CHAR(10),
"Gambaran singkat ide kontennya adalah: '", J895, "'.", CHAR(10),
"Konten ini akan diunggah di platform '", E895, "' dengan format '", D895,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MAPPING'!C801, "'.** Sesuaikan dengan gaya komunikasi saya, dengan fokus pada nilai tambah '", F895,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MAPPING'!D814, ", khusus ", 'CONTENT PILLAR MAPPING'!D815, ") dan membantu mereka menyelesaikan masalah atau mencapai tujuan mereka.", CHAR(10),
"✔ Membantuku membangun personal branding yang kuat dan sustainable, sesuai dengan Positioning saya sebagai '", 'CONTENT PILLAR MAPPING'!C801, "' dan Brand Archetype '", 'CONTENT PILLAR MAPPING'!D806, "'.", CHAR(10),
"✔ Kemas dalam bentuk tabel agar rapi, mudah di baca dan dipahami, dengan kolom 'Judul Konten', 'Pilar', 'Format', 'Draft Script', 'CTA', 'Saran Visual', dan 'Full Caption'. (Kosongkan kolom Link Prompt jika ada)."
),
"")</f>
        <v/>
      </c>
      <c r="L895" s="91" t="n"/>
      <c r="M895" s="91" t="n"/>
      <c r="N895" s="102" t="n"/>
      <c r="O895" s="102" t="n"/>
      <c r="P895" s="102" t="n"/>
      <c r="Q895" s="102" t="n"/>
      <c r="R895" s="102" t="n"/>
      <c r="S895" s="102" t="n"/>
      <c r="T895" s="102" t="n"/>
      <c r="U895" s="102" t="n"/>
      <c r="V895" s="102" t="n"/>
      <c r="W895" s="102" t="n"/>
      <c r="X895" s="102" t="n"/>
      <c r="Y895" s="102" t="n"/>
      <c r="Z895" s="102" t="n"/>
      <c r="AA895" s="102" t="n"/>
      <c r="AB895" s="102" t="n"/>
      <c r="AC895" s="102" t="n"/>
      <c r="AD895" s="102" t="n"/>
    </row>
    <row r="896" ht="15.75" customHeight="1" s="205">
      <c r="A896" s="102" t="n"/>
      <c r="B896" s="147" t="n"/>
      <c r="C896" s="144" t="n"/>
      <c r="D896" s="144" t="n"/>
      <c r="E896" s="144" t="n"/>
      <c r="F896" s="144" t="n"/>
      <c r="G896" s="144" t="n"/>
      <c r="H896" s="141">
        <f>IF(K896&lt;&gt;"", HYPERLINK("https://chatgpt.com/?prompt=" &amp; SUBSTITUTE(SUBSTITUTE(K896, " ", "+"), "&amp;", "dan") &amp; "&amp;force-refresh=true&amp;timestamp=" &amp; TEXT(NOW(), "yyyymmddhhmmss"), "👉 Klik untuk Generate Script! 🔥"), "")</f>
        <v/>
      </c>
      <c r="I896" s="144" t="n"/>
      <c r="J896" s="148" t="n"/>
      <c r="K896" s="140">
        <f>IF(AND(B896&lt;&gt;"", C896&lt;&gt;"", D896&lt;&gt;"", E896&lt;&gt;"", F896&lt;&gt;"", G896&lt;&gt;"", J896&lt;&gt;"", 'CONTENT PILLAR MAPPING'!C798&lt;&gt;"", 'CONTENT PILLAR MAPPING'!E798&lt;&gt;"", 'CONTENT PILLAR MAPPING'!F798&lt;&gt;"", 'CONTENT PILLAR MAPPING'!C801&lt;&gt;"", 'CONTENT PILLAR MAPPING'!C806&lt;&gt;"", 'CONTENT PILLAR MAPPING'!D806&lt;&gt;"", 'CONTENT PILLAR MAPPING'!E806&lt;&gt;"", 'CONTENT PILLAR MAPPING'!D814&lt;&gt;"", 'CONTENT PILLAR MAPPING'!D815&lt;&gt;""),
CONCATENATE(
"Sebagai seorang top konten kreator dengan niche utama '", 'CONTENT PILLAR MAPPING'!C798, "', spesifik kategori '", 'CONTENT PILLAR MAPPING'!E798, "', dan super spesifik '", 'CONTENT PILLAR MAPPING'!F798, "', yang dikenal sebagai '", 'CONTENT PILLAR MAPPING'!C801, "'.", CHAR(10),
"Saya memiliki Tone of Voice: '", 'CONTENT PILLAR MAPPING'!C806, "', Brand Archetype: '", 'CONTENT PILLAR MAPPING'!D806, "', dan Deskripsi Gaya Komunikasi: '", 'CONTENT PILLAR MAPPING'!E806, "'.", CHAR(10),
"Target audiens saya adalah: '", 'CONTENT PILLAR MAPPING'!D814, "', dengan segmentasi audiens: '", 'CONTENT PILLAR MAPPING'!D815, "'.", CHAR(10), CHAR(10),
"Mohon buatkan script konten yang **sangat powerful, menarik, inovatif, dan siap pakai** dengan judul ide '", B896, "'.", CHAR(10),
"Konten ini memiliki pilar '", C896, "', nilai tambah utama '", F896, "', dan akan menggunakan storytelling framework '", G896, "'.", CHAR(10),
"Gambaran singkat ide kontennya adalah: '", J896, "'.", CHAR(10),
"Konten ini akan diunggah di platform '", E896, "' dengan format '", D896,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MAPPING'!C801, "'.** Sesuaikan dengan gaya komunikasi saya, dengan fokus pada nilai tambah '", F896,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MAPPING'!D814, ", khusus ", 'CONTENT PILLAR MAPPING'!D815, ") dan membantu mereka menyelesaikan masalah atau mencapai tujuan mereka.", CHAR(10),
"✔ Membantuku membangun personal branding yang kuat dan sustainable, sesuai dengan Positioning saya sebagai '", 'CONTENT PILLAR MAPPING'!C801, "' dan Brand Archetype '", 'CONTENT PILLAR MAPPING'!D806, "'.", CHAR(10),
"✔ Kemas dalam bentuk tabel agar rapi, mudah di baca dan dipahami, dengan kolom 'Judul Konten', 'Pilar', 'Format', 'Draft Script', 'CTA', 'Saran Visual', dan 'Full Caption'. (Kosongkan kolom Link Prompt jika ada)."
),
"")</f>
        <v/>
      </c>
      <c r="L896" s="199" t="n"/>
      <c r="M896" s="199" t="n"/>
      <c r="N896" s="102" t="n"/>
      <c r="O896" s="102" t="n"/>
      <c r="P896" s="102" t="n"/>
      <c r="Q896" s="102" t="n"/>
      <c r="R896" s="102" t="n"/>
      <c r="S896" s="102" t="n"/>
      <c r="T896" s="102" t="n"/>
      <c r="U896" s="102" t="n"/>
      <c r="V896" s="102" t="n"/>
      <c r="W896" s="102" t="n"/>
      <c r="X896" s="102" t="n"/>
      <c r="Y896" s="102" t="n"/>
      <c r="Z896" s="102" t="n"/>
      <c r="AA896" s="102" t="n"/>
      <c r="AB896" s="102" t="n"/>
      <c r="AC896" s="102" t="n"/>
      <c r="AD896" s="102" t="n"/>
    </row>
    <row r="897" ht="15.75" customHeight="1" s="205">
      <c r="A897" s="102" t="n"/>
      <c r="B897" s="142" t="n"/>
      <c r="C897" s="143" t="n"/>
      <c r="D897" s="143" t="n"/>
      <c r="E897" s="143" t="n"/>
      <c r="F897" s="143" t="n"/>
      <c r="G897" s="144" t="n"/>
      <c r="H897" s="145">
        <f>IF(K897&lt;&gt;"", HYPERLINK("https://chatgpt.com/?prompt=" &amp; SUBSTITUTE(SUBSTITUTE(K897, " ", "+"), "&amp;", "dan") &amp; "&amp;force-refresh=true&amp;timestamp=" &amp; TEXT(NOW(), "yyyymmddhhmmss"), "👉 Klik untuk Generate Script! 🔥"), "")</f>
        <v/>
      </c>
      <c r="I897" s="143" t="n"/>
      <c r="J897" s="146" t="n"/>
      <c r="K897" s="130">
        <f>IF(AND(B897&lt;&gt;"", C897&lt;&gt;"", D897&lt;&gt;"", E897&lt;&gt;"", F897&lt;&gt;"", G897&lt;&gt;"", J897&lt;&gt;"", 'CONTENT PILLAR MAPPING'!C800&lt;&gt;"", 'CONTENT PILLAR MAPPING'!E800&lt;&gt;"", 'CONTENT PILLAR MAPPING'!F800&lt;&gt;"", 'CONTENT PILLAR MAPPING'!C803&lt;&gt;"", 'CONTENT PILLAR MAPPING'!C808&lt;&gt;"", 'CONTENT PILLAR MAPPING'!D808&lt;&gt;"", 'CONTENT PILLAR MAPPING'!E808&lt;&gt;"", 'CONTENT PILLAR MAPPING'!D816&lt;&gt;"", 'CONTENT PILLAR MAPPING'!D817&lt;&gt;""),
CONCATENATE(
"Sebagai seorang top konten kreator dengan niche utama '", 'CONTENT PILLAR MAPPING'!C800, "', spesifik kategori '", 'CONTENT PILLAR MAPPING'!E800, "', dan super spesifik '", 'CONTENT PILLAR MAPPING'!F800, "', yang dikenal sebagai '", 'CONTENT PILLAR MAPPING'!C803, "'.", CHAR(10),
"Saya memiliki Tone of Voice: '", 'CONTENT PILLAR MAPPING'!C808, "', Brand Archetype: '", 'CONTENT PILLAR MAPPING'!D808, "', dan Deskripsi Gaya Komunikasi: '", 'CONTENT PILLAR MAPPING'!E808, "'.", CHAR(10),
"Target audiens saya adalah: '", 'CONTENT PILLAR MAPPING'!D816, "', dengan segmentasi audiens: '", 'CONTENT PILLAR MAPPING'!D817, "'.", CHAR(10), CHAR(10),
"Mohon buatkan script konten yang **sangat powerful, menarik, inovatif, dan siap pakai** dengan judul ide '", B897, "'.", CHAR(10),
"Konten ini memiliki pilar '", C897, "', nilai tambah utama '", F897, "', dan akan menggunakan storytelling framework '", G897, "'.", CHAR(10),
"Gambaran singkat ide kontennya adalah: '", J897, "'.", CHAR(10),
"Konten ini akan diunggah di platform '", E897, "' dengan format '", D897,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MAPPING'!C803, "'.** Sesuaikan dengan gaya komunikasi saya, dengan fokus pada nilai tambah '", F897,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MAPPING'!D816, ", khusus ", 'CONTENT PILLAR MAPPING'!D817, ") dan membantu mereka menyelesaikan masalah atau mencapai tujuan mereka.", CHAR(10),
"✔ Membantuku membangun personal branding yang kuat dan sustainable, sesuai dengan Positioning saya sebagai '", 'CONTENT PILLAR MAPPING'!C803, "' dan Brand Archetype '", 'CONTENT PILLAR MAPPING'!D808, "'.", CHAR(10),
"✔ Kemas dalam bentuk tabel agar rapi, mudah di baca dan dipahami, dengan kolom 'Judul Konten', 'Pilar', 'Format', 'Draft Script', 'CTA', 'Saran Visual', dan 'Full Caption'. (Kosongkan kolom Link Prompt jika ada)."
),
"")</f>
        <v/>
      </c>
      <c r="L897" s="91" t="n"/>
      <c r="M897" s="91" t="n"/>
      <c r="N897" s="102" t="n"/>
      <c r="O897" s="102" t="n"/>
      <c r="P897" s="102" t="n"/>
      <c r="Q897" s="102" t="n"/>
      <c r="R897" s="102" t="n"/>
      <c r="S897" s="102" t="n"/>
      <c r="T897" s="102" t="n"/>
      <c r="U897" s="102" t="n"/>
      <c r="V897" s="102" t="n"/>
      <c r="W897" s="102" t="n"/>
      <c r="X897" s="102" t="n"/>
      <c r="Y897" s="102" t="n"/>
      <c r="Z897" s="102" t="n"/>
      <c r="AA897" s="102" t="n"/>
      <c r="AB897" s="102" t="n"/>
      <c r="AC897" s="102" t="n"/>
      <c r="AD897" s="102" t="n"/>
    </row>
    <row r="898" ht="15.75" customHeight="1" s="205">
      <c r="A898" s="102" t="n"/>
      <c r="B898" s="147" t="n"/>
      <c r="C898" s="144" t="n"/>
      <c r="D898" s="144" t="n"/>
      <c r="E898" s="144" t="n"/>
      <c r="F898" s="144" t="n"/>
      <c r="G898" s="144" t="n"/>
      <c r="H898" s="141">
        <f>IF(K898&lt;&gt;"", HYPERLINK("https://chatgpt.com/?prompt=" &amp; SUBSTITUTE(SUBSTITUTE(K898, " ", "+"), "&amp;", "dan") &amp; "&amp;force-refresh=true&amp;timestamp=" &amp; TEXT(NOW(), "yyyymmddhhmmss"), "👉 Klik untuk Generate Script! 🔥"), "")</f>
        <v/>
      </c>
      <c r="I898" s="144" t="n"/>
      <c r="J898" s="148" t="n"/>
      <c r="K898" s="140">
        <f>IF(AND(B898&lt;&gt;"", C898&lt;&gt;"", D898&lt;&gt;"", E898&lt;&gt;"", F898&lt;&gt;"", G898&lt;&gt;"", J898&lt;&gt;"", 'CONTENT PILLAR MAPPING'!C800&lt;&gt;"", 'CONTENT PILLAR MAPPING'!E800&lt;&gt;"", 'CONTENT PILLAR MAPPING'!F800&lt;&gt;"", 'CONTENT PILLAR MAPPING'!C803&lt;&gt;"", 'CONTENT PILLAR MAPPING'!C808&lt;&gt;"", 'CONTENT PILLAR MAPPING'!D808&lt;&gt;"", 'CONTENT PILLAR MAPPING'!E808&lt;&gt;"", 'CONTENT PILLAR MAPPING'!D816&lt;&gt;"", 'CONTENT PILLAR MAPPING'!D817&lt;&gt;""),
CONCATENATE(
"Sebagai seorang top konten kreator dengan niche utama '", 'CONTENT PILLAR MAPPING'!C800, "', spesifik kategori '", 'CONTENT PILLAR MAPPING'!E800, "', dan super spesifik '", 'CONTENT PILLAR MAPPING'!F800, "', yang dikenal sebagai '", 'CONTENT PILLAR MAPPING'!C803, "'.", CHAR(10),
"Saya memiliki Tone of Voice: '", 'CONTENT PILLAR MAPPING'!C808, "', Brand Archetype: '", 'CONTENT PILLAR MAPPING'!D808, "', dan Deskripsi Gaya Komunikasi: '", 'CONTENT PILLAR MAPPING'!E808, "'.", CHAR(10),
"Target audiens saya adalah: '", 'CONTENT PILLAR MAPPING'!D816, "', dengan segmentasi audiens: '", 'CONTENT PILLAR MAPPING'!D817, "'.", CHAR(10), CHAR(10),
"Mohon buatkan script konten yang **sangat powerful, menarik, inovatif, dan siap pakai** dengan judul ide '", B898, "'.", CHAR(10),
"Konten ini memiliki pilar '", C898, "', nilai tambah utama '", F898, "', dan akan menggunakan storytelling framework '", G898, "'.", CHAR(10),
"Gambaran singkat ide kontennya adalah: '", J898, "'.", CHAR(10),
"Konten ini akan diunggah di platform '", E898, "' dengan format '", D898,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MAPPING'!C803, "'.** Sesuaikan dengan gaya komunikasi saya, dengan fokus pada nilai tambah '", F898,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MAPPING'!D816, ", khusus ", 'CONTENT PILLAR MAPPING'!D817, ") dan membantu mereka menyelesaikan masalah atau mencapai tujuan mereka.", CHAR(10),
"✔ Membantuku membangun personal branding yang kuat dan sustainable, sesuai dengan Positioning saya sebagai '", 'CONTENT PILLAR MAPPING'!C803, "' dan Brand Archetype '", 'CONTENT PILLAR MAPPING'!D808, "'.", CHAR(10),
"✔ Kemas dalam bentuk tabel agar rapi, mudah di baca dan dipahami, dengan kolom 'Judul Konten', 'Pilar', 'Format', 'Draft Script', 'CTA', 'Saran Visual', dan 'Full Caption'. (Kosongkan kolom Link Prompt jika ada)."
),
"")</f>
        <v/>
      </c>
      <c r="L898" s="199" t="n"/>
      <c r="M898" s="199" t="n"/>
      <c r="N898" s="102" t="n"/>
      <c r="O898" s="102" t="n"/>
      <c r="P898" s="102" t="n"/>
      <c r="Q898" s="102" t="n"/>
      <c r="R898" s="102" t="n"/>
      <c r="S898" s="102" t="n"/>
      <c r="T898" s="102" t="n"/>
      <c r="U898" s="102" t="n"/>
      <c r="V898" s="102" t="n"/>
      <c r="W898" s="102" t="n"/>
      <c r="X898" s="102" t="n"/>
      <c r="Y898" s="102" t="n"/>
      <c r="Z898" s="102" t="n"/>
      <c r="AA898" s="102" t="n"/>
      <c r="AB898" s="102" t="n"/>
      <c r="AC898" s="102" t="n"/>
      <c r="AD898" s="102" t="n"/>
    </row>
    <row r="899" ht="15.75" customHeight="1" s="205">
      <c r="A899" s="102" t="n"/>
      <c r="B899" s="142" t="n"/>
      <c r="C899" s="143" t="n"/>
      <c r="D899" s="143" t="n"/>
      <c r="E899" s="143" t="n"/>
      <c r="F899" s="143" t="n"/>
      <c r="G899" s="144" t="n"/>
      <c r="H899" s="145">
        <f>IF(K899&lt;&gt;"", HYPERLINK("https://chatgpt.com/?prompt=" &amp; SUBSTITUTE(SUBSTITUTE(K899, " ", "+"), "&amp;", "dan") &amp; "&amp;force-refresh=true&amp;timestamp=" &amp; TEXT(NOW(), "yyyymmddhhmmss"), "👉 Klik untuk Generate Script! 🔥"), "")</f>
        <v/>
      </c>
      <c r="I899" s="143" t="n"/>
      <c r="J899" s="146" t="n"/>
      <c r="K899" s="130">
        <f>IF(AND(B899&lt;&gt;"", C899&lt;&gt;"", D899&lt;&gt;"", E899&lt;&gt;"", F899&lt;&gt;"", G899&lt;&gt;"", J899&lt;&gt;"", 'CONTENT PILLAR MAPPING'!C802&lt;&gt;"", 'CONTENT PILLAR MAPPING'!E802&lt;&gt;"", 'CONTENT PILLAR MAPPING'!F802&lt;&gt;"", 'CONTENT PILLAR MAPPING'!C805&lt;&gt;"", 'CONTENT PILLAR MAPPING'!C810&lt;&gt;"", 'CONTENT PILLAR MAPPING'!D810&lt;&gt;"", 'CONTENT PILLAR MAPPING'!E810&lt;&gt;"", 'CONTENT PILLAR MAPPING'!D818&lt;&gt;"", 'CONTENT PILLAR MAPPING'!D819&lt;&gt;""),
CONCATENATE(
"Sebagai seorang top konten kreator dengan niche utama '", 'CONTENT PILLAR MAPPING'!C802, "', spesifik kategori '", 'CONTENT PILLAR MAPPING'!E802, "', dan super spesifik '", 'CONTENT PILLAR MAPPING'!F802, "', yang dikenal sebagai '", 'CONTENT PILLAR MAPPING'!C805, "'.", CHAR(10),
"Saya memiliki Tone of Voice: '", 'CONTENT PILLAR MAPPING'!C810, "', Brand Archetype: '", 'CONTENT PILLAR MAPPING'!D810, "', dan Deskripsi Gaya Komunikasi: '", 'CONTENT PILLAR MAPPING'!E810, "'.", CHAR(10),
"Target audiens saya adalah: '", 'CONTENT PILLAR MAPPING'!D818, "', dengan segmentasi audiens: '", 'CONTENT PILLAR MAPPING'!D819, "'.", CHAR(10), CHAR(10),
"Mohon buatkan script konten yang **sangat powerful, menarik, inovatif, dan siap pakai** dengan judul ide '", B899, "'.", CHAR(10),
"Konten ini memiliki pilar '", C899, "', nilai tambah utama '", F899, "', dan akan menggunakan storytelling framework '", G899, "'.", CHAR(10),
"Gambaran singkat ide kontennya adalah: '", J899, "'.", CHAR(10),
"Konten ini akan diunggah di platform '", E899, "' dengan format '", D899,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MAPPING'!C805, "'.** Sesuaikan dengan gaya komunikasi saya, dengan fokus pada nilai tambah '", F899,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MAPPING'!D818, ", khusus ", 'CONTENT PILLAR MAPPING'!D819, ") dan membantu mereka menyelesaikan masalah atau mencapai tujuan mereka.", CHAR(10),
"✔ Membantuku membangun personal branding yang kuat dan sustainable, sesuai dengan Positioning saya sebagai '", 'CONTENT PILLAR MAPPING'!C805, "' dan Brand Archetype '", 'CONTENT PILLAR MAPPING'!D810, "'.", CHAR(10),
"✔ Kemas dalam bentuk tabel agar rapi, mudah di baca dan dipahami, dengan kolom 'Judul Konten', 'Pilar', 'Format', 'Draft Script', 'CTA', 'Saran Visual', dan 'Full Caption'. (Kosongkan kolom Link Prompt jika ada)."
),
"")</f>
        <v/>
      </c>
      <c r="L899" s="91" t="n"/>
      <c r="M899" s="91" t="n"/>
      <c r="N899" s="102" t="n"/>
      <c r="O899" s="102" t="n"/>
      <c r="P899" s="102" t="n"/>
      <c r="Q899" s="102" t="n"/>
      <c r="R899" s="102" t="n"/>
      <c r="S899" s="102" t="n"/>
      <c r="T899" s="102" t="n"/>
      <c r="U899" s="102" t="n"/>
      <c r="V899" s="102" t="n"/>
      <c r="W899" s="102" t="n"/>
      <c r="X899" s="102" t="n"/>
      <c r="Y899" s="102" t="n"/>
      <c r="Z899" s="102" t="n"/>
      <c r="AA899" s="102" t="n"/>
      <c r="AB899" s="102" t="n"/>
      <c r="AC899" s="102" t="n"/>
      <c r="AD899" s="102" t="n"/>
    </row>
    <row r="900" ht="15.75" customHeight="1" s="205">
      <c r="A900" s="102" t="n"/>
      <c r="B900" s="147" t="n"/>
      <c r="C900" s="144" t="n"/>
      <c r="D900" s="144" t="n"/>
      <c r="E900" s="144" t="n"/>
      <c r="F900" s="144" t="n"/>
      <c r="G900" s="144" t="n"/>
      <c r="H900" s="141">
        <f>IF(K900&lt;&gt;"", HYPERLINK("https://chatgpt.com/?prompt=" &amp; SUBSTITUTE(SUBSTITUTE(K900, " ", "+"), "&amp;", "dan") &amp; "&amp;force-refresh=true&amp;timestamp=" &amp; TEXT(NOW(), "yyyymmddhhmmss"), "👉 Klik untuk Generate Script! 🔥"), "")</f>
        <v/>
      </c>
      <c r="I900" s="144" t="n"/>
      <c r="J900" s="148" t="n"/>
      <c r="K900" s="140">
        <f>IF(AND(B900&lt;&gt;"", C900&lt;&gt;"", D900&lt;&gt;"", E900&lt;&gt;"", F900&lt;&gt;"", G900&lt;&gt;"", J900&lt;&gt;"", 'CONTENT PILLAR MAPPING'!C802&lt;&gt;"", 'CONTENT PILLAR MAPPING'!E802&lt;&gt;"", 'CONTENT PILLAR MAPPING'!F802&lt;&gt;"", 'CONTENT PILLAR MAPPING'!C805&lt;&gt;"", 'CONTENT PILLAR MAPPING'!C810&lt;&gt;"", 'CONTENT PILLAR MAPPING'!D810&lt;&gt;"", 'CONTENT PILLAR MAPPING'!E810&lt;&gt;"", 'CONTENT PILLAR MAPPING'!D818&lt;&gt;"", 'CONTENT PILLAR MAPPING'!D819&lt;&gt;""),
CONCATENATE(
"Sebagai seorang top konten kreator dengan niche utama '", 'CONTENT PILLAR MAPPING'!C802, "', spesifik kategori '", 'CONTENT PILLAR MAPPING'!E802, "', dan super spesifik '", 'CONTENT PILLAR MAPPING'!F802, "', yang dikenal sebagai '", 'CONTENT PILLAR MAPPING'!C805, "'.", CHAR(10),
"Saya memiliki Tone of Voice: '", 'CONTENT PILLAR MAPPING'!C810, "', Brand Archetype: '", 'CONTENT PILLAR MAPPING'!D810, "', dan Deskripsi Gaya Komunikasi: '", 'CONTENT PILLAR MAPPING'!E810, "'.", CHAR(10),
"Target audiens saya adalah: '", 'CONTENT PILLAR MAPPING'!D818, "', dengan segmentasi audiens: '", 'CONTENT PILLAR MAPPING'!D819, "'.", CHAR(10), CHAR(10),
"Mohon buatkan script konten yang **sangat powerful, menarik, inovatif, dan siap pakai** dengan judul ide '", B900, "'.", CHAR(10),
"Konten ini memiliki pilar '", C900, "', nilai tambah utama '", F900, "', dan akan menggunakan storytelling framework '", G900, "'.", CHAR(10),
"Gambaran singkat ide kontennya adalah: '", J900, "'.", CHAR(10),
"Konten ini akan diunggah di platform '", E900, "' dengan format '", D900,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MAPPING'!C805, "'.** Sesuaikan dengan gaya komunikasi saya, dengan fokus pada nilai tambah '", F900,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MAPPING'!D818, ", khusus ", 'CONTENT PILLAR MAPPING'!D819, ") dan membantu mereka menyelesaikan masalah atau mencapai tujuan mereka.", CHAR(10),
"✔ Membantuku membangun personal branding yang kuat dan sustainable, sesuai dengan Positioning saya sebagai '", 'CONTENT PILLAR MAPPING'!C805, "' dan Brand Archetype '", 'CONTENT PILLAR MAPPING'!D810, "'.", CHAR(10),
"✔ Kemas dalam bentuk tabel agar rapi, mudah di baca dan dipahami, dengan kolom 'Judul Konten', 'Pilar', 'Format', 'Draft Script', 'CTA', 'Saran Visual', dan 'Full Caption'. (Kosongkan kolom Link Prompt jika ada)."
),
"")</f>
        <v/>
      </c>
      <c r="L900" s="199" t="n"/>
      <c r="M900" s="199" t="n"/>
      <c r="N900" s="102" t="n"/>
      <c r="O900" s="102" t="n"/>
      <c r="P900" s="102" t="n"/>
      <c r="Q900" s="102" t="n"/>
      <c r="R900" s="102" t="n"/>
      <c r="S900" s="102" t="n"/>
      <c r="T900" s="102" t="n"/>
      <c r="U900" s="102" t="n"/>
      <c r="V900" s="102" t="n"/>
      <c r="W900" s="102" t="n"/>
      <c r="X900" s="102" t="n"/>
      <c r="Y900" s="102" t="n"/>
      <c r="Z900" s="102" t="n"/>
      <c r="AA900" s="102" t="n"/>
      <c r="AB900" s="102" t="n"/>
      <c r="AC900" s="102" t="n"/>
      <c r="AD900" s="102" t="n"/>
    </row>
    <row r="901" ht="15.75" customHeight="1" s="205">
      <c r="A901" s="102" t="n"/>
      <c r="B901" s="142" t="n"/>
      <c r="C901" s="143" t="n"/>
      <c r="D901" s="143" t="n"/>
      <c r="E901" s="143" t="n"/>
      <c r="F901" s="143" t="n"/>
      <c r="G901" s="144" t="n"/>
      <c r="H901" s="145">
        <f>IF(K901&lt;&gt;"", HYPERLINK("https://chatgpt.com/?prompt=" &amp; SUBSTITUTE(SUBSTITUTE(K901, " ", "+"), "&amp;", "dan") &amp; "&amp;force-refresh=true&amp;timestamp=" &amp; TEXT(NOW(), "yyyymmddhhmmss"), "👉 Klik untuk Generate Script! 🔥"), "")</f>
        <v/>
      </c>
      <c r="I901" s="143" t="n"/>
      <c r="J901" s="146" t="n"/>
      <c r="K901" s="130">
        <f>IF(AND(B901&lt;&gt;"", C901&lt;&gt;"", D901&lt;&gt;"", E901&lt;&gt;"", F901&lt;&gt;"", G901&lt;&gt;"", J901&lt;&gt;"", 'CONTENT PILLAR MAPPING'!C804&lt;&gt;"", 'CONTENT PILLAR MAPPING'!E804&lt;&gt;"", 'CONTENT PILLAR MAPPING'!F804&lt;&gt;"", 'CONTENT PILLAR MAPPING'!C807&lt;&gt;"", 'CONTENT PILLAR MAPPING'!C812&lt;&gt;"", 'CONTENT PILLAR MAPPING'!D812&lt;&gt;"", 'CONTENT PILLAR MAPPING'!E812&lt;&gt;"", 'CONTENT PILLAR MAPPING'!D820&lt;&gt;"", 'CONTENT PILLAR MAPPING'!D821&lt;&gt;""),
CONCATENATE(
"Sebagai seorang top konten kreator dengan niche utama '", 'CONTENT PILLAR MAPPING'!C804, "', spesifik kategori '", 'CONTENT PILLAR MAPPING'!E804, "', dan super spesifik '", 'CONTENT PILLAR MAPPING'!F804, "', yang dikenal sebagai '", 'CONTENT PILLAR MAPPING'!C807, "'.", CHAR(10),
"Saya memiliki Tone of Voice: '", 'CONTENT PILLAR MAPPING'!C812, "', Brand Archetype: '", 'CONTENT PILLAR MAPPING'!D812, "', dan Deskripsi Gaya Komunikasi: '", 'CONTENT PILLAR MAPPING'!E812, "'.", CHAR(10),
"Target audiens saya adalah: '", 'CONTENT PILLAR MAPPING'!D820, "', dengan segmentasi audiens: '", 'CONTENT PILLAR MAPPING'!D821, "'.", CHAR(10), CHAR(10),
"Mohon buatkan script konten yang **sangat powerful, menarik, inovatif, dan siap pakai** dengan judul ide '", B901, "'.", CHAR(10),
"Konten ini memiliki pilar '", C901, "', nilai tambah utama '", F901, "', dan akan menggunakan storytelling framework '", G901, "'.", CHAR(10),
"Gambaran singkat ide kontennya adalah: '", J901, "'.", CHAR(10),
"Konten ini akan diunggah di platform '", E901, "' dengan format '", D901,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MAPPING'!C807, "'.** Sesuaikan dengan gaya komunikasi saya, dengan fokus pada nilai tambah '", F901,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MAPPING'!D820, ", khusus ", 'CONTENT PILLAR MAPPING'!D821, ") dan membantu mereka menyelesaikan masalah atau mencapai tujuan mereka.", CHAR(10),
"✔ Membantuku membangun personal branding yang kuat dan sustainable, sesuai dengan Positioning saya sebagai '", 'CONTENT PILLAR MAPPING'!C807, "' dan Brand Archetype '", 'CONTENT PILLAR MAPPING'!D812, "'.", CHAR(10),
"✔ Kemas dalam bentuk tabel agar rapi, mudah di baca dan dipahami, dengan kolom 'Judul Konten', 'Pilar', 'Format', 'Draft Script', 'CTA', 'Saran Visual', dan 'Full Caption'. (Kosongkan kolom Link Prompt jika ada)."
),
"")</f>
        <v/>
      </c>
      <c r="L901" s="91" t="n"/>
      <c r="M901" s="91" t="n"/>
      <c r="N901" s="102" t="n"/>
      <c r="O901" s="102" t="n"/>
      <c r="P901" s="102" t="n"/>
      <c r="Q901" s="102" t="n"/>
      <c r="R901" s="102" t="n"/>
      <c r="S901" s="102" t="n"/>
      <c r="T901" s="102" t="n"/>
      <c r="U901" s="102" t="n"/>
      <c r="V901" s="102" t="n"/>
      <c r="W901" s="102" t="n"/>
      <c r="X901" s="102" t="n"/>
      <c r="Y901" s="102" t="n"/>
      <c r="Z901" s="102" t="n"/>
      <c r="AA901" s="102" t="n"/>
      <c r="AB901" s="102" t="n"/>
      <c r="AC901" s="102" t="n"/>
      <c r="AD901" s="102" t="n"/>
    </row>
    <row r="902" ht="15.75" customHeight="1" s="205">
      <c r="A902" s="102" t="n"/>
      <c r="B902" s="147" t="n"/>
      <c r="C902" s="144" t="n"/>
      <c r="D902" s="144" t="n"/>
      <c r="E902" s="144" t="n"/>
      <c r="F902" s="144" t="n"/>
      <c r="G902" s="144" t="n"/>
      <c r="H902" s="141">
        <f>IF(K902&lt;&gt;"", HYPERLINK("https://chatgpt.com/?prompt=" &amp; SUBSTITUTE(SUBSTITUTE(K902, " ", "+"), "&amp;", "dan") &amp; "&amp;force-refresh=true&amp;timestamp=" &amp; TEXT(NOW(), "yyyymmddhhmmss"), "👉 Klik untuk Generate Script! 🔥"), "")</f>
        <v/>
      </c>
      <c r="I902" s="144" t="n"/>
      <c r="J902" s="148" t="n"/>
      <c r="K902" s="140">
        <f>IF(AND(B902&lt;&gt;"", C902&lt;&gt;"", D902&lt;&gt;"", E902&lt;&gt;"", F902&lt;&gt;"", G902&lt;&gt;"", J902&lt;&gt;"", 'CONTENT PILLAR MAPPING'!C804&lt;&gt;"", 'CONTENT PILLAR MAPPING'!E804&lt;&gt;"", 'CONTENT PILLAR MAPPING'!F804&lt;&gt;"", 'CONTENT PILLAR MAPPING'!C807&lt;&gt;"", 'CONTENT PILLAR MAPPING'!C812&lt;&gt;"", 'CONTENT PILLAR MAPPING'!D812&lt;&gt;"", 'CONTENT PILLAR MAPPING'!E812&lt;&gt;"", 'CONTENT PILLAR MAPPING'!D820&lt;&gt;"", 'CONTENT PILLAR MAPPING'!D821&lt;&gt;""),
CONCATENATE(
"Sebagai seorang top konten kreator dengan niche utama '", 'CONTENT PILLAR MAPPING'!C804, "', spesifik kategori '", 'CONTENT PILLAR MAPPING'!E804, "', dan super spesifik '", 'CONTENT PILLAR MAPPING'!F804, "', yang dikenal sebagai '", 'CONTENT PILLAR MAPPING'!C807, "'.", CHAR(10),
"Saya memiliki Tone of Voice: '", 'CONTENT PILLAR MAPPING'!C812, "', Brand Archetype: '", 'CONTENT PILLAR MAPPING'!D812, "', dan Deskripsi Gaya Komunikasi: '", 'CONTENT PILLAR MAPPING'!E812, "'.", CHAR(10),
"Target audiens saya adalah: '", 'CONTENT PILLAR MAPPING'!D820, "', dengan segmentasi audiens: '", 'CONTENT PILLAR MAPPING'!D821, "'.", CHAR(10), CHAR(10),
"Mohon buatkan script konten yang **sangat powerful, menarik, inovatif, dan siap pakai** dengan judul ide '", B902, "'.", CHAR(10),
"Konten ini memiliki pilar '", C902, "', nilai tambah utama '", F902, "', dan akan menggunakan storytelling framework '", G902, "'.", CHAR(10),
"Gambaran singkat ide kontennya adalah: '", J902, "'.", CHAR(10),
"Konten ini akan diunggah di platform '", E902, "' dengan format '", D902,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MAPPING'!C807, "'.** Sesuaikan dengan gaya komunikasi saya, dengan fokus pada nilai tambah '", F902,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MAPPING'!D820, ", khusus ", 'CONTENT PILLAR MAPPING'!D821, ") dan membantu mereka menyelesaikan masalah atau mencapai tujuan mereka.", CHAR(10),
"✔ Membantuku membangun personal branding yang kuat dan sustainable, sesuai dengan Positioning saya sebagai '", 'CONTENT PILLAR MAPPING'!C807, "' dan Brand Archetype '", 'CONTENT PILLAR MAPPING'!D812, "'.", CHAR(10),
"✔ Kemas dalam bentuk tabel agar rapi, mudah di baca dan dipahami, dengan kolom 'Judul Konten', 'Pilar', 'Format', 'Draft Script', 'CTA', 'Saran Visual', dan 'Full Caption'. (Kosongkan kolom Link Prompt jika ada)."
),
"")</f>
        <v/>
      </c>
      <c r="L902" s="199" t="n"/>
      <c r="M902" s="199" t="n"/>
      <c r="N902" s="102" t="n"/>
      <c r="O902" s="102" t="n"/>
      <c r="P902" s="102" t="n"/>
      <c r="Q902" s="102" t="n"/>
      <c r="R902" s="102" t="n"/>
      <c r="S902" s="102" t="n"/>
      <c r="T902" s="102" t="n"/>
      <c r="U902" s="102" t="n"/>
      <c r="V902" s="102" t="n"/>
      <c r="W902" s="102" t="n"/>
      <c r="X902" s="102" t="n"/>
      <c r="Y902" s="102" t="n"/>
      <c r="Z902" s="102" t="n"/>
      <c r="AA902" s="102" t="n"/>
      <c r="AB902" s="102" t="n"/>
      <c r="AC902" s="102" t="n"/>
      <c r="AD902" s="102" t="n"/>
    </row>
    <row r="903" ht="15.75" customHeight="1" s="205">
      <c r="A903" s="102" t="n"/>
      <c r="B903" s="142" t="n"/>
      <c r="C903" s="143" t="n"/>
      <c r="D903" s="143" t="n"/>
      <c r="E903" s="143" t="n"/>
      <c r="F903" s="143" t="n"/>
      <c r="G903" s="144" t="n"/>
      <c r="H903" s="145">
        <f>IF(K903&lt;&gt;"", HYPERLINK("https://chatgpt.com/?prompt=" &amp; SUBSTITUTE(SUBSTITUTE(K903, " ", "+"), "&amp;", "dan") &amp; "&amp;force-refresh=true&amp;timestamp=" &amp; TEXT(NOW(), "yyyymmddhhmmss"), "👉 Klik untuk Generate Script! 🔥"), "")</f>
        <v/>
      </c>
      <c r="I903" s="143" t="n"/>
      <c r="J903" s="146" t="n"/>
      <c r="K903" s="130">
        <f>IF(AND(B903&lt;&gt;"", C903&lt;&gt;"", D903&lt;&gt;"", E903&lt;&gt;"", F903&lt;&gt;"", G903&lt;&gt;"", J903&lt;&gt;"", 'CONTENT PILLAR MAPPING'!C806&lt;&gt;"", 'CONTENT PILLAR MAPPING'!E806&lt;&gt;"", 'CONTENT PILLAR MAPPING'!F806&lt;&gt;"", 'CONTENT PILLAR MAPPING'!C809&lt;&gt;"", 'CONTENT PILLAR MAPPING'!C814&lt;&gt;"", 'CONTENT PILLAR MAPPING'!D814&lt;&gt;"", 'CONTENT PILLAR MAPPING'!E814&lt;&gt;"", 'CONTENT PILLAR MAPPING'!D822&lt;&gt;"", 'CONTENT PILLAR MAPPING'!D823&lt;&gt;""),
CONCATENATE(
"Sebagai seorang top konten kreator dengan niche utama '", 'CONTENT PILLAR MAPPING'!C806, "', spesifik kategori '", 'CONTENT PILLAR MAPPING'!E806, "', dan super spesifik '", 'CONTENT PILLAR MAPPING'!F806, "', yang dikenal sebagai '", 'CONTENT PILLAR MAPPING'!C809, "'.", CHAR(10),
"Saya memiliki Tone of Voice: '", 'CONTENT PILLAR MAPPING'!C814, "', Brand Archetype: '", 'CONTENT PILLAR MAPPING'!D814, "', dan Deskripsi Gaya Komunikasi: '", 'CONTENT PILLAR MAPPING'!E814, "'.", CHAR(10),
"Target audiens saya adalah: '", 'CONTENT PILLAR MAPPING'!D822, "', dengan segmentasi audiens: '", 'CONTENT PILLAR MAPPING'!D823, "'.", CHAR(10), CHAR(10),
"Mohon buatkan script konten yang **sangat powerful, menarik, inovatif, dan siap pakai** dengan judul ide '", B903, "'.", CHAR(10),
"Konten ini memiliki pilar '", C903, "', nilai tambah utama '", F903, "', dan akan menggunakan storytelling framework '", G903, "'.", CHAR(10),
"Gambaran singkat ide kontennya adalah: '", J903, "'.", CHAR(10),
"Konten ini akan diunggah di platform '", E903, "' dengan format '", D903,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MAPPING'!C809, "'.** Sesuaikan dengan gaya komunikasi saya, dengan fokus pada nilai tambah '", F903,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MAPPING'!D822, ", khusus ", 'CONTENT PILLAR MAPPING'!D823, ") dan membantu mereka menyelesaikan masalah atau mencapai tujuan mereka.", CHAR(10),
"✔ Membantuku membangun personal branding yang kuat dan sustainable, sesuai dengan Positioning saya sebagai '", 'CONTENT PILLAR MAPPING'!C809, "' dan Brand Archetype '", 'CONTENT PILLAR MAPPING'!D814, "'.", CHAR(10),
"✔ Kemas dalam bentuk tabel agar rapi, mudah di baca dan dipahami, dengan kolom 'Judul Konten', 'Pilar', 'Format', 'Draft Script', 'CTA', 'Saran Visual', dan 'Full Caption'. (Kosongkan kolom Link Prompt jika ada)."
),
"")</f>
        <v/>
      </c>
      <c r="L903" s="91" t="n"/>
      <c r="M903" s="91" t="n"/>
      <c r="N903" s="102" t="n"/>
      <c r="O903" s="102" t="n"/>
      <c r="P903" s="102" t="n"/>
      <c r="Q903" s="102" t="n"/>
      <c r="R903" s="102" t="n"/>
      <c r="S903" s="102" t="n"/>
      <c r="T903" s="102" t="n"/>
      <c r="U903" s="102" t="n"/>
      <c r="V903" s="102" t="n"/>
      <c r="W903" s="102" t="n"/>
      <c r="X903" s="102" t="n"/>
      <c r="Y903" s="102" t="n"/>
      <c r="Z903" s="102" t="n"/>
      <c r="AA903" s="102" t="n"/>
      <c r="AB903" s="102" t="n"/>
      <c r="AC903" s="102" t="n"/>
      <c r="AD903" s="102" t="n"/>
    </row>
    <row r="904" ht="15.75" customHeight="1" s="205">
      <c r="A904" s="102" t="n"/>
      <c r="B904" s="147" t="n"/>
      <c r="C904" s="144" t="n"/>
      <c r="D904" s="144" t="n"/>
      <c r="E904" s="144" t="n"/>
      <c r="F904" s="144" t="n"/>
      <c r="G904" s="144" t="n"/>
      <c r="H904" s="141">
        <f>IF(K904&lt;&gt;"", HYPERLINK("https://chatgpt.com/?prompt=" &amp; SUBSTITUTE(SUBSTITUTE(K904, " ", "+"), "&amp;", "dan") &amp; "&amp;force-refresh=true&amp;timestamp=" &amp; TEXT(NOW(), "yyyymmddhhmmss"), "👉 Klik untuk Generate Script! 🔥"), "")</f>
        <v/>
      </c>
      <c r="I904" s="144" t="n"/>
      <c r="J904" s="148" t="n"/>
      <c r="K904" s="140">
        <f>IF(AND(B904&lt;&gt;"", C904&lt;&gt;"", D904&lt;&gt;"", E904&lt;&gt;"", F904&lt;&gt;"", G904&lt;&gt;"", J904&lt;&gt;"", 'CONTENT PILLAR MAPPING'!C806&lt;&gt;"", 'CONTENT PILLAR MAPPING'!E806&lt;&gt;"", 'CONTENT PILLAR MAPPING'!F806&lt;&gt;"", 'CONTENT PILLAR MAPPING'!C809&lt;&gt;"", 'CONTENT PILLAR MAPPING'!C814&lt;&gt;"", 'CONTENT PILLAR MAPPING'!D814&lt;&gt;"", 'CONTENT PILLAR MAPPING'!E814&lt;&gt;"", 'CONTENT PILLAR MAPPING'!D822&lt;&gt;"", 'CONTENT PILLAR MAPPING'!D823&lt;&gt;""),
CONCATENATE(
"Sebagai seorang top konten kreator dengan niche utama '", 'CONTENT PILLAR MAPPING'!C806, "', spesifik kategori '", 'CONTENT PILLAR MAPPING'!E806, "', dan super spesifik '", 'CONTENT PILLAR MAPPING'!F806, "', yang dikenal sebagai '", 'CONTENT PILLAR MAPPING'!C809, "'.", CHAR(10),
"Saya memiliki Tone of Voice: '", 'CONTENT PILLAR MAPPING'!C814, "', Brand Archetype: '", 'CONTENT PILLAR MAPPING'!D814, "', dan Deskripsi Gaya Komunikasi: '", 'CONTENT PILLAR MAPPING'!E814, "'.", CHAR(10),
"Target audiens saya adalah: '", 'CONTENT PILLAR MAPPING'!D822, "', dengan segmentasi audiens: '", 'CONTENT PILLAR MAPPING'!D823, "'.", CHAR(10), CHAR(10),
"Mohon buatkan script konten yang **sangat powerful, menarik, inovatif, dan siap pakai** dengan judul ide '", B904, "'.", CHAR(10),
"Konten ini memiliki pilar '", C904, "', nilai tambah utama '", F904, "', dan akan menggunakan storytelling framework '", G904, "'.", CHAR(10),
"Gambaran singkat ide kontennya adalah: '", J904, "'.", CHAR(10),
"Konten ini akan diunggah di platform '", E904, "' dengan format '", D904,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MAPPING'!C809, "'.** Sesuaikan dengan gaya komunikasi saya, dengan fokus pada nilai tambah '", F904,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MAPPING'!D822, ", khusus ", 'CONTENT PILLAR MAPPING'!D823, ") dan membantu mereka menyelesaikan masalah atau mencapai tujuan mereka.", CHAR(10),
"✔ Membantuku membangun personal branding yang kuat dan sustainable, sesuai dengan Positioning saya sebagai '", 'CONTENT PILLAR MAPPING'!C809, "' dan Brand Archetype '", 'CONTENT PILLAR MAPPING'!D814, "'.", CHAR(10),
"✔ Kemas dalam bentuk tabel agar rapi, mudah di baca dan dipahami, dengan kolom 'Judul Konten', 'Pilar', 'Format', 'Draft Script', 'CTA', 'Saran Visual', dan 'Full Caption'. (Kosongkan kolom Link Prompt jika ada)."
),
"")</f>
        <v/>
      </c>
      <c r="L904" s="199" t="n"/>
      <c r="M904" s="199" t="n"/>
      <c r="N904" s="102" t="n"/>
      <c r="O904" s="102" t="n"/>
      <c r="P904" s="102" t="n"/>
      <c r="Q904" s="102" t="n"/>
      <c r="R904" s="102" t="n"/>
      <c r="S904" s="102" t="n"/>
      <c r="T904" s="102" t="n"/>
      <c r="U904" s="102" t="n"/>
      <c r="V904" s="102" t="n"/>
      <c r="W904" s="102" t="n"/>
      <c r="X904" s="102" t="n"/>
      <c r="Y904" s="102" t="n"/>
      <c r="Z904" s="102" t="n"/>
      <c r="AA904" s="102" t="n"/>
      <c r="AB904" s="102" t="n"/>
      <c r="AC904" s="102" t="n"/>
      <c r="AD904" s="102" t="n"/>
    </row>
    <row r="905" ht="15.75" customHeight="1" s="205">
      <c r="A905" s="102" t="n"/>
      <c r="B905" s="142" t="n"/>
      <c r="C905" s="143" t="n"/>
      <c r="D905" s="143" t="n"/>
      <c r="E905" s="143" t="n"/>
      <c r="F905" s="143" t="n"/>
      <c r="G905" s="144" t="n"/>
      <c r="H905" s="145">
        <f>IF(K905&lt;&gt;"", HYPERLINK("https://chatgpt.com/?prompt=" &amp; SUBSTITUTE(SUBSTITUTE(K905, " ", "+"), "&amp;", "dan") &amp; "&amp;force-refresh=true&amp;timestamp=" &amp; TEXT(NOW(), "yyyymmddhhmmss"), "👉 Klik untuk Generate Script! 🔥"), "")</f>
        <v/>
      </c>
      <c r="I905" s="143" t="n"/>
      <c r="J905" s="146" t="n"/>
      <c r="K905" s="130">
        <f>IF(AND(B905&lt;&gt;"", C905&lt;&gt;"", D905&lt;&gt;"", E905&lt;&gt;"", F905&lt;&gt;"", G905&lt;&gt;"", J905&lt;&gt;"", 'CONTENT PILLAR MAPPING'!C808&lt;&gt;"", 'CONTENT PILLAR MAPPING'!E808&lt;&gt;"", 'CONTENT PILLAR MAPPING'!F808&lt;&gt;"", 'CONTENT PILLAR MAPPING'!C811&lt;&gt;"", 'CONTENT PILLAR MAPPING'!C816&lt;&gt;"", 'CONTENT PILLAR MAPPING'!D816&lt;&gt;"", 'CONTENT PILLAR MAPPING'!E816&lt;&gt;"", 'CONTENT PILLAR MAPPING'!D824&lt;&gt;"", 'CONTENT PILLAR MAPPING'!D825&lt;&gt;""),
CONCATENATE(
"Sebagai seorang top konten kreator dengan niche utama '", 'CONTENT PILLAR MAPPING'!C808, "', spesifik kategori '", 'CONTENT PILLAR MAPPING'!E808, "', dan super spesifik '", 'CONTENT PILLAR MAPPING'!F808, "', yang dikenal sebagai '", 'CONTENT PILLAR MAPPING'!C811, "'.", CHAR(10),
"Saya memiliki Tone of Voice: '", 'CONTENT PILLAR MAPPING'!C816, "', Brand Archetype: '", 'CONTENT PILLAR MAPPING'!D816, "', dan Deskripsi Gaya Komunikasi: '", 'CONTENT PILLAR MAPPING'!E816, "'.", CHAR(10),
"Target audiens saya adalah: '", 'CONTENT PILLAR MAPPING'!D824, "', dengan segmentasi audiens: '", 'CONTENT PILLAR MAPPING'!D825, "'.", CHAR(10), CHAR(10),
"Mohon buatkan script konten yang **sangat powerful, menarik, inovatif, dan siap pakai** dengan judul ide '", B905, "'.", CHAR(10),
"Konten ini memiliki pilar '", C905, "', nilai tambah utama '", F905, "', dan akan menggunakan storytelling framework '", G905, "'.", CHAR(10),
"Gambaran singkat ide kontennya adalah: '", J905, "'.", CHAR(10),
"Konten ini akan diunggah di platform '", E905, "' dengan format '", D905,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MAPPING'!C811, "'.** Sesuaikan dengan gaya komunikasi saya, dengan fokus pada nilai tambah '", F905,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MAPPING'!D824, ", khusus ", 'CONTENT PILLAR MAPPING'!D825, ") dan membantu mereka menyelesaikan masalah atau mencapai tujuan mereka.", CHAR(10),
"✔ Membantuku membangun personal branding yang kuat dan sustainable, sesuai dengan Positioning saya sebagai '", 'CONTENT PILLAR MAPPING'!C811, "' dan Brand Archetype '", 'CONTENT PILLAR MAPPING'!D816, "'.", CHAR(10),
"✔ Kemas dalam bentuk tabel agar rapi, mudah di baca dan dipahami, dengan kolom 'Judul Konten', 'Pilar', 'Format', 'Draft Script', 'CTA', 'Saran Visual', dan 'Full Caption'. (Kosongkan kolom Link Prompt jika ada)."
),
"")</f>
        <v/>
      </c>
      <c r="L905" s="91" t="n"/>
      <c r="M905" s="91" t="n"/>
      <c r="N905" s="102" t="n"/>
      <c r="O905" s="102" t="n"/>
      <c r="P905" s="102" t="n"/>
      <c r="Q905" s="102" t="n"/>
      <c r="R905" s="102" t="n"/>
      <c r="S905" s="102" t="n"/>
      <c r="T905" s="102" t="n"/>
      <c r="U905" s="102" t="n"/>
      <c r="V905" s="102" t="n"/>
      <c r="W905" s="102" t="n"/>
      <c r="X905" s="102" t="n"/>
      <c r="Y905" s="102" t="n"/>
      <c r="Z905" s="102" t="n"/>
      <c r="AA905" s="102" t="n"/>
      <c r="AB905" s="102" t="n"/>
      <c r="AC905" s="102" t="n"/>
      <c r="AD905" s="102" t="n"/>
    </row>
    <row r="906" ht="15.75" customHeight="1" s="205">
      <c r="A906" s="102" t="n"/>
      <c r="B906" s="147" t="n"/>
      <c r="C906" s="144" t="n"/>
      <c r="D906" s="144" t="n"/>
      <c r="E906" s="144" t="n"/>
      <c r="F906" s="144" t="n"/>
      <c r="G906" s="144" t="n"/>
      <c r="H906" s="141">
        <f>IF(K906&lt;&gt;"", HYPERLINK("https://chatgpt.com/?prompt=" &amp; SUBSTITUTE(SUBSTITUTE(K906, " ", "+"), "&amp;", "dan") &amp; "&amp;force-refresh=true&amp;timestamp=" &amp; TEXT(NOW(), "yyyymmddhhmmss"), "👉 Klik untuk Generate Script! 🔥"), "")</f>
        <v/>
      </c>
      <c r="I906" s="144" t="n"/>
      <c r="J906" s="148" t="n"/>
      <c r="K906" s="140">
        <f>IF(AND(B906&lt;&gt;"", C906&lt;&gt;"", D906&lt;&gt;"", E906&lt;&gt;"", F906&lt;&gt;"", G906&lt;&gt;"", J906&lt;&gt;"", 'CONTENT PILLAR MAPPING'!C808&lt;&gt;"", 'CONTENT PILLAR MAPPING'!E808&lt;&gt;"", 'CONTENT PILLAR MAPPING'!F808&lt;&gt;"", 'CONTENT PILLAR MAPPING'!C811&lt;&gt;"", 'CONTENT PILLAR MAPPING'!C816&lt;&gt;"", 'CONTENT PILLAR MAPPING'!D816&lt;&gt;"", 'CONTENT PILLAR MAPPING'!E816&lt;&gt;"", 'CONTENT PILLAR MAPPING'!D824&lt;&gt;"", 'CONTENT PILLAR MAPPING'!D825&lt;&gt;""),
CONCATENATE(
"Sebagai seorang top konten kreator dengan niche utama '", 'CONTENT PILLAR MAPPING'!C808, "', spesifik kategori '", 'CONTENT PILLAR MAPPING'!E808, "', dan super spesifik '", 'CONTENT PILLAR MAPPING'!F808, "', yang dikenal sebagai '", 'CONTENT PILLAR MAPPING'!C811, "'.", CHAR(10),
"Saya memiliki Tone of Voice: '", 'CONTENT PILLAR MAPPING'!C816, "', Brand Archetype: '", 'CONTENT PILLAR MAPPING'!D816, "', dan Deskripsi Gaya Komunikasi: '", 'CONTENT PILLAR MAPPING'!E816, "'.", CHAR(10),
"Target audiens saya adalah: '", 'CONTENT PILLAR MAPPING'!D824, "', dengan segmentasi audiens: '", 'CONTENT PILLAR MAPPING'!D825, "'.", CHAR(10), CHAR(10),
"Mohon buatkan script konten yang **sangat powerful, menarik, inovatif, dan siap pakai** dengan judul ide '", B906, "'.", CHAR(10),
"Konten ini memiliki pilar '", C906, "', nilai tambah utama '", F906, "', dan akan menggunakan storytelling framework '", G906, "'.", CHAR(10),
"Gambaran singkat ide kontennya adalah: '", J906, "'.", CHAR(10),
"Konten ini akan diunggah di platform '", E906, "' dengan format '", D906,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MAPPING'!C811, "'.** Sesuaikan dengan gaya komunikasi saya, dengan fokus pada nilai tambah '", F906,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MAPPING'!D824, ", khusus ", 'CONTENT PILLAR MAPPING'!D825, ") dan membantu mereka menyelesaikan masalah atau mencapai tujuan mereka.", CHAR(10),
"✔ Membantuku membangun personal branding yang kuat dan sustainable, sesuai dengan Positioning saya sebagai '", 'CONTENT PILLAR MAPPING'!C811, "' dan Brand Archetype '", 'CONTENT PILLAR MAPPING'!D816, "'.", CHAR(10),
"✔ Kemas dalam bentuk tabel agar rapi, mudah di baca dan dipahami, dengan kolom 'Judul Konten', 'Pilar', 'Format', 'Draft Script', 'CTA', 'Saran Visual', dan 'Full Caption'. (Kosongkan kolom Link Prompt jika ada)."
),
"")</f>
        <v/>
      </c>
      <c r="L906" s="199" t="n"/>
      <c r="M906" s="199" t="n"/>
      <c r="N906" s="102" t="n"/>
      <c r="O906" s="102" t="n"/>
      <c r="P906" s="102" t="n"/>
      <c r="Q906" s="102" t="n"/>
      <c r="R906" s="102" t="n"/>
      <c r="S906" s="102" t="n"/>
      <c r="T906" s="102" t="n"/>
      <c r="U906" s="102" t="n"/>
      <c r="V906" s="102" t="n"/>
      <c r="W906" s="102" t="n"/>
      <c r="X906" s="102" t="n"/>
      <c r="Y906" s="102" t="n"/>
      <c r="Z906" s="102" t="n"/>
      <c r="AA906" s="102" t="n"/>
      <c r="AB906" s="102" t="n"/>
      <c r="AC906" s="102" t="n"/>
      <c r="AD906" s="102" t="n"/>
    </row>
    <row r="907" ht="15.75" customHeight="1" s="205">
      <c r="A907" s="102" t="n"/>
      <c r="B907" s="142" t="n"/>
      <c r="C907" s="143" t="n"/>
      <c r="D907" s="143" t="n"/>
      <c r="E907" s="143" t="n"/>
      <c r="F907" s="143" t="n"/>
      <c r="G907" s="144" t="n"/>
      <c r="H907" s="145">
        <f>IF(K907&lt;&gt;"", HYPERLINK("https://chatgpt.com/?prompt=" &amp; SUBSTITUTE(SUBSTITUTE(K907, " ", "+"), "&amp;", "dan") &amp; "&amp;force-refresh=true&amp;timestamp=" &amp; TEXT(NOW(), "yyyymmddhhmmss"), "👉 Klik untuk Generate Script! 🔥"), "")</f>
        <v/>
      </c>
      <c r="I907" s="143" t="n"/>
      <c r="J907" s="146" t="n"/>
      <c r="K907" s="130">
        <f>IF(AND(B907&lt;&gt;"", C907&lt;&gt;"", D907&lt;&gt;"", E907&lt;&gt;"", F907&lt;&gt;"", G907&lt;&gt;"", J907&lt;&gt;"", 'CONTENT PILLAR MAPPING'!C810&lt;&gt;"", 'CONTENT PILLAR MAPPING'!E810&lt;&gt;"", 'CONTENT PILLAR MAPPING'!F810&lt;&gt;"", 'CONTENT PILLAR MAPPING'!C813&lt;&gt;"", 'CONTENT PILLAR MAPPING'!C818&lt;&gt;"", 'CONTENT PILLAR MAPPING'!D818&lt;&gt;"", 'CONTENT PILLAR MAPPING'!E818&lt;&gt;"", 'CONTENT PILLAR MAPPING'!D826&lt;&gt;"", 'CONTENT PILLAR MAPPING'!D827&lt;&gt;""),
CONCATENATE(
"Sebagai seorang top konten kreator dengan niche utama '", 'CONTENT PILLAR MAPPING'!C810, "', spesifik kategori '", 'CONTENT PILLAR MAPPING'!E810, "', dan super spesifik '", 'CONTENT PILLAR MAPPING'!F810, "', yang dikenal sebagai '", 'CONTENT PILLAR MAPPING'!C813, "'.", CHAR(10),
"Saya memiliki Tone of Voice: '", 'CONTENT PILLAR MAPPING'!C818, "', Brand Archetype: '", 'CONTENT PILLAR MAPPING'!D818, "', dan Deskripsi Gaya Komunikasi: '", 'CONTENT PILLAR MAPPING'!E818, "'.", CHAR(10),
"Target audiens saya adalah: '", 'CONTENT PILLAR MAPPING'!D826, "', dengan segmentasi audiens: '", 'CONTENT PILLAR MAPPING'!D827, "'.", CHAR(10), CHAR(10),
"Mohon buatkan script konten yang **sangat powerful, menarik, inovatif, dan siap pakai** dengan judul ide '", B907, "'.", CHAR(10),
"Konten ini memiliki pilar '", C907, "', nilai tambah utama '", F907, "', dan akan menggunakan storytelling framework '", G907, "'.", CHAR(10),
"Gambaran singkat ide kontennya adalah: '", J907, "'.", CHAR(10),
"Konten ini akan diunggah di platform '", E907, "' dengan format '", D907,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MAPPING'!C813, "'.** Sesuaikan dengan gaya komunikasi saya, dengan fokus pada nilai tambah '", F907,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MAPPING'!D826, ", khusus ", 'CONTENT PILLAR MAPPING'!D827, ") dan membantu mereka menyelesaikan masalah atau mencapai tujuan mereka.", CHAR(10),
"✔ Membantuku membangun personal branding yang kuat dan sustainable, sesuai dengan Positioning saya sebagai '", 'CONTENT PILLAR MAPPING'!C813, "' dan Brand Archetype '", 'CONTENT PILLAR MAPPING'!D818, "'.", CHAR(10),
"✔ Kemas dalam bentuk tabel agar rapi, mudah di baca dan dipahami, dengan kolom 'Judul Konten', 'Pilar', 'Format', 'Draft Script', 'CTA', 'Saran Visual', dan 'Full Caption'. (Kosongkan kolom Link Prompt jika ada)."
),
"")</f>
        <v/>
      </c>
      <c r="L907" s="91" t="n"/>
      <c r="M907" s="91" t="n"/>
      <c r="N907" s="102" t="n"/>
      <c r="O907" s="102" t="n"/>
      <c r="P907" s="102" t="n"/>
      <c r="Q907" s="102" t="n"/>
      <c r="R907" s="102" t="n"/>
      <c r="S907" s="102" t="n"/>
      <c r="T907" s="102" t="n"/>
      <c r="U907" s="102" t="n"/>
      <c r="V907" s="102" t="n"/>
      <c r="W907" s="102" t="n"/>
      <c r="X907" s="102" t="n"/>
      <c r="Y907" s="102" t="n"/>
      <c r="Z907" s="102" t="n"/>
      <c r="AA907" s="102" t="n"/>
      <c r="AB907" s="102" t="n"/>
      <c r="AC907" s="102" t="n"/>
      <c r="AD907" s="102" t="n"/>
    </row>
    <row r="908" ht="15.75" customHeight="1" s="205">
      <c r="A908" s="102" t="n"/>
      <c r="B908" s="147" t="n"/>
      <c r="C908" s="144" t="n"/>
      <c r="D908" s="144" t="n"/>
      <c r="E908" s="144" t="n"/>
      <c r="F908" s="144" t="n"/>
      <c r="G908" s="144" t="n"/>
      <c r="H908" s="141">
        <f>IF(K908&lt;&gt;"", HYPERLINK("https://chatgpt.com/?prompt=" &amp; SUBSTITUTE(SUBSTITUTE(K908, " ", "+"), "&amp;", "dan") &amp; "&amp;force-refresh=true&amp;timestamp=" &amp; TEXT(NOW(), "yyyymmddhhmmss"), "👉 Klik untuk Generate Script! 🔥"), "")</f>
        <v/>
      </c>
      <c r="I908" s="144" t="n"/>
      <c r="J908" s="148" t="n"/>
      <c r="K908" s="140">
        <f>IF(AND(B908&lt;&gt;"", C908&lt;&gt;"", D908&lt;&gt;"", E908&lt;&gt;"", F908&lt;&gt;"", G908&lt;&gt;"", J908&lt;&gt;"", 'CONTENT PILLAR MAPPING'!C810&lt;&gt;"", 'CONTENT PILLAR MAPPING'!E810&lt;&gt;"", 'CONTENT PILLAR MAPPING'!F810&lt;&gt;"", 'CONTENT PILLAR MAPPING'!C813&lt;&gt;"", 'CONTENT PILLAR MAPPING'!C818&lt;&gt;"", 'CONTENT PILLAR MAPPING'!D818&lt;&gt;"", 'CONTENT PILLAR MAPPING'!E818&lt;&gt;"", 'CONTENT PILLAR MAPPING'!D826&lt;&gt;"", 'CONTENT PILLAR MAPPING'!D827&lt;&gt;""),
CONCATENATE(
"Sebagai seorang top konten kreator dengan niche utama '", 'CONTENT PILLAR MAPPING'!C810, "', spesifik kategori '", 'CONTENT PILLAR MAPPING'!E810, "', dan super spesifik '", 'CONTENT PILLAR MAPPING'!F810, "', yang dikenal sebagai '", 'CONTENT PILLAR MAPPING'!C813, "'.", CHAR(10),
"Saya memiliki Tone of Voice: '", 'CONTENT PILLAR MAPPING'!C818, "', Brand Archetype: '", 'CONTENT PILLAR MAPPING'!D818, "', dan Deskripsi Gaya Komunikasi: '", 'CONTENT PILLAR MAPPING'!E818, "'.", CHAR(10),
"Target audiens saya adalah: '", 'CONTENT PILLAR MAPPING'!D826, "', dengan segmentasi audiens: '", 'CONTENT PILLAR MAPPING'!D827, "'.", CHAR(10), CHAR(10),
"Mohon buatkan script konten yang **sangat powerful, menarik, inovatif, dan siap pakai** dengan judul ide '", B908, "'.", CHAR(10),
"Konten ini memiliki pilar '", C908, "', nilai tambah utama '", F908, "', dan akan menggunakan storytelling framework '", G908, "'.", CHAR(10),
"Gambaran singkat ide kontennya adalah: '", J908, "'.", CHAR(10),
"Konten ini akan diunggah di platform '", E908, "' dengan format '", D908,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MAPPING'!C813, "'.** Sesuaikan dengan gaya komunikasi saya, dengan fokus pada nilai tambah '", F908,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MAPPING'!D826, ", khusus ", 'CONTENT PILLAR MAPPING'!D827, ") dan membantu mereka menyelesaikan masalah atau mencapai tujuan mereka.", CHAR(10),
"✔ Membantuku membangun personal branding yang kuat dan sustainable, sesuai dengan Positioning saya sebagai '", 'CONTENT PILLAR MAPPING'!C813, "' dan Brand Archetype '", 'CONTENT PILLAR MAPPING'!D818, "'.", CHAR(10),
"✔ Kemas dalam bentuk tabel agar rapi, mudah di baca dan dipahami, dengan kolom 'Judul Konten', 'Pilar', 'Format', 'Draft Script', 'CTA', 'Saran Visual', dan 'Full Caption'. (Kosongkan kolom Link Prompt jika ada)."
),
"")</f>
        <v/>
      </c>
      <c r="L908" s="199" t="n"/>
      <c r="M908" s="199" t="n"/>
      <c r="N908" s="102" t="n"/>
      <c r="O908" s="102" t="n"/>
      <c r="P908" s="102" t="n"/>
      <c r="Q908" s="102" t="n"/>
      <c r="R908" s="102" t="n"/>
      <c r="S908" s="102" t="n"/>
      <c r="T908" s="102" t="n"/>
      <c r="U908" s="102" t="n"/>
      <c r="V908" s="102" t="n"/>
      <c r="W908" s="102" t="n"/>
      <c r="X908" s="102" t="n"/>
      <c r="Y908" s="102" t="n"/>
      <c r="Z908" s="102" t="n"/>
      <c r="AA908" s="102" t="n"/>
      <c r="AB908" s="102" t="n"/>
      <c r="AC908" s="102" t="n"/>
      <c r="AD908" s="102" t="n"/>
    </row>
    <row r="909" ht="15.75" customHeight="1" s="205">
      <c r="A909" s="102" t="n"/>
      <c r="B909" s="142" t="n"/>
      <c r="C909" s="143" t="n"/>
      <c r="D909" s="143" t="n"/>
      <c r="E909" s="143" t="n"/>
      <c r="F909" s="143" t="n"/>
      <c r="G909" s="144" t="n"/>
      <c r="H909" s="145">
        <f>IF(K909&lt;&gt;"", HYPERLINK("https://chatgpt.com/?prompt=" &amp; SUBSTITUTE(SUBSTITUTE(K909, " ", "+"), "&amp;", "dan") &amp; "&amp;force-refresh=true&amp;timestamp=" &amp; TEXT(NOW(), "yyyymmddhhmmss"), "👉 Klik untuk Generate Script! 🔥"), "")</f>
        <v/>
      </c>
      <c r="I909" s="143" t="n"/>
      <c r="J909" s="146" t="n"/>
      <c r="K909" s="130">
        <f>IF(AND(B909&lt;&gt;"", C909&lt;&gt;"", D909&lt;&gt;"", E909&lt;&gt;"", F909&lt;&gt;"", G909&lt;&gt;"", J909&lt;&gt;"", 'CONTENT PILLAR MAPPING'!C812&lt;&gt;"", 'CONTENT PILLAR MAPPING'!E812&lt;&gt;"", 'CONTENT PILLAR MAPPING'!F812&lt;&gt;"", 'CONTENT PILLAR MAPPING'!C815&lt;&gt;"", 'CONTENT PILLAR MAPPING'!C820&lt;&gt;"", 'CONTENT PILLAR MAPPING'!D820&lt;&gt;"", 'CONTENT PILLAR MAPPING'!E820&lt;&gt;"", 'CONTENT PILLAR MAPPING'!D828&lt;&gt;"", 'CONTENT PILLAR MAPPING'!D829&lt;&gt;""),
CONCATENATE(
"Sebagai seorang top konten kreator dengan niche utama '", 'CONTENT PILLAR MAPPING'!C812, "', spesifik kategori '", 'CONTENT PILLAR MAPPING'!E812, "', dan super spesifik '", 'CONTENT PILLAR MAPPING'!F812, "', yang dikenal sebagai '", 'CONTENT PILLAR MAPPING'!C815, "'.", CHAR(10),
"Saya memiliki Tone of Voice: '", 'CONTENT PILLAR MAPPING'!C820, "', Brand Archetype: '", 'CONTENT PILLAR MAPPING'!D820, "', dan Deskripsi Gaya Komunikasi: '", 'CONTENT PILLAR MAPPING'!E820, "'.", CHAR(10),
"Target audiens saya adalah: '", 'CONTENT PILLAR MAPPING'!D828, "', dengan segmentasi audiens: '", 'CONTENT PILLAR MAPPING'!D829, "'.", CHAR(10), CHAR(10),
"Mohon buatkan script konten yang **sangat powerful, menarik, inovatif, dan siap pakai** dengan judul ide '", B909, "'.", CHAR(10),
"Konten ini memiliki pilar '", C909, "', nilai tambah utama '", F909, "', dan akan menggunakan storytelling framework '", G909, "'.", CHAR(10),
"Gambaran singkat ide kontennya adalah: '", J909, "'.", CHAR(10),
"Konten ini akan diunggah di platform '", E909, "' dengan format '", D909,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MAPPING'!C815, "'.** Sesuaikan dengan gaya komunikasi saya, dengan fokus pada nilai tambah '", F909,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MAPPING'!D828, ", khusus ", 'CONTENT PILLAR MAPPING'!D829, ") dan membantu mereka menyelesaikan masalah atau mencapai tujuan mereka.", CHAR(10),
"✔ Membantuku membangun personal branding yang kuat dan sustainable, sesuai dengan Positioning saya sebagai '", 'CONTENT PILLAR MAPPING'!C815, "' dan Brand Archetype '", 'CONTENT PILLAR MAPPING'!D820, "'.", CHAR(10),
"✔ Kemas dalam bentuk tabel agar rapi, mudah di baca dan dipahami, dengan kolom 'Judul Konten', 'Pilar', 'Format', 'Draft Script', 'CTA', 'Saran Visual', dan 'Full Caption'. (Kosongkan kolom Link Prompt jika ada)."
),
"")</f>
        <v/>
      </c>
      <c r="L909" s="91" t="n"/>
      <c r="M909" s="91" t="n"/>
      <c r="N909" s="102" t="n"/>
      <c r="O909" s="102" t="n"/>
      <c r="P909" s="102" t="n"/>
      <c r="Q909" s="102" t="n"/>
      <c r="R909" s="102" t="n"/>
      <c r="S909" s="102" t="n"/>
      <c r="T909" s="102" t="n"/>
      <c r="U909" s="102" t="n"/>
      <c r="V909" s="102" t="n"/>
      <c r="W909" s="102" t="n"/>
      <c r="X909" s="102" t="n"/>
      <c r="Y909" s="102" t="n"/>
      <c r="Z909" s="102" t="n"/>
      <c r="AA909" s="102" t="n"/>
      <c r="AB909" s="102" t="n"/>
      <c r="AC909" s="102" t="n"/>
      <c r="AD909" s="102" t="n"/>
    </row>
    <row r="910" ht="15.75" customHeight="1" s="205">
      <c r="A910" s="102" t="n"/>
      <c r="B910" s="147" t="n"/>
      <c r="C910" s="144" t="n"/>
      <c r="D910" s="144" t="n"/>
      <c r="E910" s="144" t="n"/>
      <c r="F910" s="144" t="n"/>
      <c r="G910" s="144" t="n"/>
      <c r="H910" s="141">
        <f>IF(K910&lt;&gt;"", HYPERLINK("https://chatgpt.com/?prompt=" &amp; SUBSTITUTE(SUBSTITUTE(K910, " ", "+"), "&amp;", "dan") &amp; "&amp;force-refresh=true&amp;timestamp=" &amp; TEXT(NOW(), "yyyymmddhhmmss"), "👉 Klik untuk Generate Script! 🔥"), "")</f>
        <v/>
      </c>
      <c r="I910" s="144" t="n"/>
      <c r="J910" s="148" t="n"/>
      <c r="K910" s="140">
        <f>IF(AND(B910&lt;&gt;"", C910&lt;&gt;"", D910&lt;&gt;"", E910&lt;&gt;"", F910&lt;&gt;"", G910&lt;&gt;"", J910&lt;&gt;"", 'CONTENT PILLAR MAPPING'!C812&lt;&gt;"", 'CONTENT PILLAR MAPPING'!E812&lt;&gt;"", 'CONTENT PILLAR MAPPING'!F812&lt;&gt;"", 'CONTENT PILLAR MAPPING'!C815&lt;&gt;"", 'CONTENT PILLAR MAPPING'!C820&lt;&gt;"", 'CONTENT PILLAR MAPPING'!D820&lt;&gt;"", 'CONTENT PILLAR MAPPING'!E820&lt;&gt;"", 'CONTENT PILLAR MAPPING'!D828&lt;&gt;"", 'CONTENT PILLAR MAPPING'!D829&lt;&gt;""),
CONCATENATE(
"Sebagai seorang top konten kreator dengan niche utama '", 'CONTENT PILLAR MAPPING'!C812, "', spesifik kategori '", 'CONTENT PILLAR MAPPING'!E812, "', dan super spesifik '", 'CONTENT PILLAR MAPPING'!F812, "', yang dikenal sebagai '", 'CONTENT PILLAR MAPPING'!C815, "'.", CHAR(10),
"Saya memiliki Tone of Voice: '", 'CONTENT PILLAR MAPPING'!C820, "', Brand Archetype: '", 'CONTENT PILLAR MAPPING'!D820, "', dan Deskripsi Gaya Komunikasi: '", 'CONTENT PILLAR MAPPING'!E820, "'.", CHAR(10),
"Target audiens saya adalah: '", 'CONTENT PILLAR MAPPING'!D828, "', dengan segmentasi audiens: '", 'CONTENT PILLAR MAPPING'!D829, "'.", CHAR(10), CHAR(10),
"Mohon buatkan script konten yang **sangat powerful, menarik, inovatif, dan siap pakai** dengan judul ide '", B910, "'.", CHAR(10),
"Konten ini memiliki pilar '", C910, "', nilai tambah utama '", F910, "', dan akan menggunakan storytelling framework '", G910, "'.", CHAR(10),
"Gambaran singkat ide kontennya adalah: '", J910, "'.", CHAR(10),
"Konten ini akan diunggah di platform '", E910, "' dengan format '", D910,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MAPPING'!C815, "'.** Sesuaikan dengan gaya komunikasi saya, dengan fokus pada nilai tambah '", F910,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MAPPING'!D828, ", khusus ", 'CONTENT PILLAR MAPPING'!D829, ") dan membantu mereka menyelesaikan masalah atau mencapai tujuan mereka.", CHAR(10),
"✔ Membantuku membangun personal branding yang kuat dan sustainable, sesuai dengan Positioning saya sebagai '", 'CONTENT PILLAR MAPPING'!C815, "' dan Brand Archetype '", 'CONTENT PILLAR MAPPING'!D820, "'.", CHAR(10),
"✔ Kemas dalam bentuk tabel agar rapi, mudah di baca dan dipahami, dengan kolom 'Judul Konten', 'Pilar', 'Format', 'Draft Script', 'CTA', 'Saran Visual', dan 'Full Caption'. (Kosongkan kolom Link Prompt jika ada)."
),
"")</f>
        <v/>
      </c>
      <c r="L910" s="199" t="n"/>
      <c r="M910" s="199" t="n"/>
      <c r="N910" s="102" t="n"/>
      <c r="O910" s="102" t="n"/>
      <c r="P910" s="102" t="n"/>
      <c r="Q910" s="102" t="n"/>
      <c r="R910" s="102" t="n"/>
      <c r="S910" s="102" t="n"/>
      <c r="T910" s="102" t="n"/>
      <c r="U910" s="102" t="n"/>
      <c r="V910" s="102" t="n"/>
      <c r="W910" s="102" t="n"/>
      <c r="X910" s="102" t="n"/>
      <c r="Y910" s="102" t="n"/>
      <c r="Z910" s="102" t="n"/>
      <c r="AA910" s="102" t="n"/>
      <c r="AB910" s="102" t="n"/>
      <c r="AC910" s="102" t="n"/>
      <c r="AD910" s="102" t="n"/>
    </row>
    <row r="911" ht="15.75" customHeight="1" s="205">
      <c r="A911" s="102" t="n"/>
      <c r="B911" s="142" t="n"/>
      <c r="C911" s="143" t="n"/>
      <c r="D911" s="143" t="n"/>
      <c r="E911" s="143" t="n"/>
      <c r="F911" s="143" t="n"/>
      <c r="G911" s="144" t="n"/>
      <c r="H911" s="145">
        <f>IF(K911&lt;&gt;"", HYPERLINK("https://chatgpt.com/?prompt=" &amp; SUBSTITUTE(SUBSTITUTE(K911, " ", "+"), "&amp;", "dan") &amp; "&amp;force-refresh=true&amp;timestamp=" &amp; TEXT(NOW(), "yyyymmddhhmmss"), "👉 Klik untuk Generate Script! 🔥"), "")</f>
        <v/>
      </c>
      <c r="I911" s="143" t="n"/>
      <c r="J911" s="146" t="n"/>
      <c r="K911" s="130">
        <f>IF(AND(B911&lt;&gt;"", C911&lt;&gt;"", D911&lt;&gt;"", E911&lt;&gt;"", F911&lt;&gt;"", G911&lt;&gt;"", J911&lt;&gt;"", 'CONTENT PILLAR MAPPING'!C814&lt;&gt;"", 'CONTENT PILLAR MAPPING'!E814&lt;&gt;"", 'CONTENT PILLAR MAPPING'!F814&lt;&gt;"", 'CONTENT PILLAR MAPPING'!C817&lt;&gt;"", 'CONTENT PILLAR MAPPING'!C822&lt;&gt;"", 'CONTENT PILLAR MAPPING'!D822&lt;&gt;"", 'CONTENT PILLAR MAPPING'!E822&lt;&gt;"", 'CONTENT PILLAR MAPPING'!D830&lt;&gt;"", 'CONTENT PILLAR MAPPING'!D831&lt;&gt;""),
CONCATENATE(
"Sebagai seorang top konten kreator dengan niche utama '", 'CONTENT PILLAR MAPPING'!C814, "', spesifik kategori '", 'CONTENT PILLAR MAPPING'!E814, "', dan super spesifik '", 'CONTENT PILLAR MAPPING'!F814, "', yang dikenal sebagai '", 'CONTENT PILLAR MAPPING'!C817, "'.", CHAR(10),
"Saya memiliki Tone of Voice: '", 'CONTENT PILLAR MAPPING'!C822, "', Brand Archetype: '", 'CONTENT PILLAR MAPPING'!D822, "', dan Deskripsi Gaya Komunikasi: '", 'CONTENT PILLAR MAPPING'!E822, "'.", CHAR(10),
"Target audiens saya adalah: '", 'CONTENT PILLAR MAPPING'!D830, "', dengan segmentasi audiens: '", 'CONTENT PILLAR MAPPING'!D831, "'.", CHAR(10), CHAR(10),
"Mohon buatkan script konten yang **sangat powerful, menarik, inovatif, dan siap pakai** dengan judul ide '", B911, "'.", CHAR(10),
"Konten ini memiliki pilar '", C911, "', nilai tambah utama '", F911, "', dan akan menggunakan storytelling framework '", G911, "'.", CHAR(10),
"Gambaran singkat ide kontennya adalah: '", J911, "'.", CHAR(10),
"Konten ini akan diunggah di platform '", E911, "' dengan format '", D911,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MAPPING'!C817, "'.** Sesuaikan dengan gaya komunikasi saya, dengan fokus pada nilai tambah '", F911,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MAPPING'!D830, ", khusus ", 'CONTENT PILLAR MAPPING'!D831, ") dan membantu mereka menyelesaikan masalah atau mencapai tujuan mereka.", CHAR(10),
"✔ Membantuku membangun personal branding yang kuat dan sustainable, sesuai dengan Positioning saya sebagai '", 'CONTENT PILLAR MAPPING'!C817, "' dan Brand Archetype '", 'CONTENT PILLAR MAPPING'!D822, "'.", CHAR(10),
"✔ Kemas dalam bentuk tabel agar rapi, mudah di baca dan dipahami, dengan kolom 'Judul Konten', 'Pilar', 'Format', 'Draft Script', 'CTA', 'Saran Visual', dan 'Full Caption'. (Kosongkan kolom Link Prompt jika ada)."
),
"")</f>
        <v/>
      </c>
      <c r="L911" s="91" t="n"/>
      <c r="M911" s="91" t="n"/>
      <c r="N911" s="102" t="n"/>
      <c r="O911" s="102" t="n"/>
      <c r="P911" s="102" t="n"/>
      <c r="Q911" s="102" t="n"/>
      <c r="R911" s="102" t="n"/>
      <c r="S911" s="102" t="n"/>
      <c r="T911" s="102" t="n"/>
      <c r="U911" s="102" t="n"/>
      <c r="V911" s="102" t="n"/>
      <c r="W911" s="102" t="n"/>
      <c r="X911" s="102" t="n"/>
      <c r="Y911" s="102" t="n"/>
      <c r="Z911" s="102" t="n"/>
      <c r="AA911" s="102" t="n"/>
      <c r="AB911" s="102" t="n"/>
      <c r="AC911" s="102" t="n"/>
      <c r="AD911" s="102" t="n"/>
    </row>
    <row r="912" ht="15.75" customHeight="1" s="205">
      <c r="A912" s="102" t="n"/>
      <c r="B912" s="147" t="n"/>
      <c r="C912" s="144" t="n"/>
      <c r="D912" s="144" t="n"/>
      <c r="E912" s="144" t="n"/>
      <c r="F912" s="144" t="n"/>
      <c r="G912" s="144" t="n"/>
      <c r="H912" s="141">
        <f>IF(K912&lt;&gt;"", HYPERLINK("https://chatgpt.com/?prompt=" &amp; SUBSTITUTE(SUBSTITUTE(K912, " ", "+"), "&amp;", "dan") &amp; "&amp;force-refresh=true&amp;timestamp=" &amp; TEXT(NOW(), "yyyymmddhhmmss"), "👉 Klik untuk Generate Script! 🔥"), "")</f>
        <v/>
      </c>
      <c r="I912" s="144" t="n"/>
      <c r="J912" s="148" t="n"/>
      <c r="K912" s="140">
        <f>IF(AND(B912&lt;&gt;"", C912&lt;&gt;"", D912&lt;&gt;"", E912&lt;&gt;"", F912&lt;&gt;"", G912&lt;&gt;"", J912&lt;&gt;"", 'CONTENT PILLAR MAPPING'!C814&lt;&gt;"", 'CONTENT PILLAR MAPPING'!E814&lt;&gt;"", 'CONTENT PILLAR MAPPING'!F814&lt;&gt;"", 'CONTENT PILLAR MAPPING'!C817&lt;&gt;"", 'CONTENT PILLAR MAPPING'!C822&lt;&gt;"", 'CONTENT PILLAR MAPPING'!D822&lt;&gt;"", 'CONTENT PILLAR MAPPING'!E822&lt;&gt;"", 'CONTENT PILLAR MAPPING'!D830&lt;&gt;"", 'CONTENT PILLAR MAPPING'!D831&lt;&gt;""),
CONCATENATE(
"Sebagai seorang top konten kreator dengan niche utama '", 'CONTENT PILLAR MAPPING'!C814, "', spesifik kategori '", 'CONTENT PILLAR MAPPING'!E814, "', dan super spesifik '", 'CONTENT PILLAR MAPPING'!F814, "', yang dikenal sebagai '", 'CONTENT PILLAR MAPPING'!C817, "'.", CHAR(10),
"Saya memiliki Tone of Voice: '", 'CONTENT PILLAR MAPPING'!C822, "', Brand Archetype: '", 'CONTENT PILLAR MAPPING'!D822, "', dan Deskripsi Gaya Komunikasi: '", 'CONTENT PILLAR MAPPING'!E822, "'.", CHAR(10),
"Target audiens saya adalah: '", 'CONTENT PILLAR MAPPING'!D830, "', dengan segmentasi audiens: '", 'CONTENT PILLAR MAPPING'!D831, "'.", CHAR(10), CHAR(10),
"Mohon buatkan script konten yang **sangat powerful, menarik, inovatif, dan siap pakai** dengan judul ide '", B912, "'.", CHAR(10),
"Konten ini memiliki pilar '", C912, "', nilai tambah utama '", F912, "', dan akan menggunakan storytelling framework '", G912, "'.", CHAR(10),
"Gambaran singkat ide kontennya adalah: '", J912, "'.", CHAR(10),
"Konten ini akan diunggah di platform '", E912, "' dengan format '", D912,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MAPPING'!C817, "'.** Sesuaikan dengan gaya komunikasi saya, dengan fokus pada nilai tambah '", F912,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MAPPING'!D830, ", khusus ", 'CONTENT PILLAR MAPPING'!D831, ") dan membantu mereka menyelesaikan masalah atau mencapai tujuan mereka.", CHAR(10),
"✔ Membantuku membangun personal branding yang kuat dan sustainable, sesuai dengan Positioning saya sebagai '", 'CONTENT PILLAR MAPPING'!C817, "' dan Brand Archetype '", 'CONTENT PILLAR MAPPING'!D822, "'.", CHAR(10),
"✔ Kemas dalam bentuk tabel agar rapi, mudah di baca dan dipahami, dengan kolom 'Judul Konten', 'Pilar', 'Format', 'Draft Script', 'CTA', 'Saran Visual', dan 'Full Caption'. (Kosongkan kolom Link Prompt jika ada)."
),
"")</f>
        <v/>
      </c>
      <c r="L912" s="199" t="n"/>
      <c r="M912" s="199" t="n"/>
      <c r="N912" s="102" t="n"/>
      <c r="O912" s="102" t="n"/>
      <c r="P912" s="102" t="n"/>
      <c r="Q912" s="102" t="n"/>
      <c r="R912" s="102" t="n"/>
      <c r="S912" s="102" t="n"/>
      <c r="T912" s="102" t="n"/>
      <c r="U912" s="102" t="n"/>
      <c r="V912" s="102" t="n"/>
      <c r="W912" s="102" t="n"/>
      <c r="X912" s="102" t="n"/>
      <c r="Y912" s="102" t="n"/>
      <c r="Z912" s="102" t="n"/>
      <c r="AA912" s="102" t="n"/>
      <c r="AB912" s="102" t="n"/>
      <c r="AC912" s="102" t="n"/>
      <c r="AD912" s="102" t="n"/>
    </row>
    <row r="913" ht="15.75" customHeight="1" s="205">
      <c r="A913" s="102" t="n"/>
      <c r="B913" s="142" t="n"/>
      <c r="C913" s="143" t="n"/>
      <c r="D913" s="143" t="n"/>
      <c r="E913" s="143" t="n"/>
      <c r="F913" s="143" t="n"/>
      <c r="G913" s="144" t="n"/>
      <c r="H913" s="145">
        <f>IF(K913&lt;&gt;"", HYPERLINK("https://chatgpt.com/?prompt=" &amp; SUBSTITUTE(SUBSTITUTE(K913, " ", "+"), "&amp;", "dan") &amp; "&amp;force-refresh=true&amp;timestamp=" &amp; TEXT(NOW(), "yyyymmddhhmmss"), "👉 Klik untuk Generate Script! 🔥"), "")</f>
        <v/>
      </c>
      <c r="I913" s="143" t="n"/>
      <c r="J913" s="146" t="n"/>
      <c r="K913" s="130">
        <f>IF(AND(B913&lt;&gt;"", C913&lt;&gt;"", D913&lt;&gt;"", E913&lt;&gt;"", F913&lt;&gt;"", G913&lt;&gt;"", J913&lt;&gt;"", 'CONTENT PILLAR MAPPING'!C816&lt;&gt;"", 'CONTENT PILLAR MAPPING'!E816&lt;&gt;"", 'CONTENT PILLAR MAPPING'!F816&lt;&gt;"", 'CONTENT PILLAR MAPPING'!C819&lt;&gt;"", 'CONTENT PILLAR MAPPING'!C824&lt;&gt;"", 'CONTENT PILLAR MAPPING'!D824&lt;&gt;"", 'CONTENT PILLAR MAPPING'!E824&lt;&gt;"", 'CONTENT PILLAR MAPPING'!D832&lt;&gt;"", 'CONTENT PILLAR MAPPING'!D833&lt;&gt;""),
CONCATENATE(
"Sebagai seorang top konten kreator dengan niche utama '", 'CONTENT PILLAR MAPPING'!C816, "', spesifik kategori '", 'CONTENT PILLAR MAPPING'!E816, "', dan super spesifik '", 'CONTENT PILLAR MAPPING'!F816, "', yang dikenal sebagai '", 'CONTENT PILLAR MAPPING'!C819, "'.", CHAR(10),
"Saya memiliki Tone of Voice: '", 'CONTENT PILLAR MAPPING'!C824, "', Brand Archetype: '", 'CONTENT PILLAR MAPPING'!D824, "', dan Deskripsi Gaya Komunikasi: '", 'CONTENT PILLAR MAPPING'!E824, "'.", CHAR(10),
"Target audiens saya adalah: '", 'CONTENT PILLAR MAPPING'!D832, "', dengan segmentasi audiens: '", 'CONTENT PILLAR MAPPING'!D833, "'.", CHAR(10), CHAR(10),
"Mohon buatkan script konten yang **sangat powerful, menarik, inovatif, dan siap pakai** dengan judul ide '", B913, "'.", CHAR(10),
"Konten ini memiliki pilar '", C913, "', nilai tambah utama '", F913, "', dan akan menggunakan storytelling framework '", G913, "'.", CHAR(10),
"Gambaran singkat ide kontennya adalah: '", J913, "'.", CHAR(10),
"Konten ini akan diunggah di platform '", E913, "' dengan format '", D913,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MAPPING'!C819, "'.** Sesuaikan dengan gaya komunikasi saya, dengan fokus pada nilai tambah '", F913,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MAPPING'!D832, ", khusus ", 'CONTENT PILLAR MAPPING'!D833, ") dan membantu mereka menyelesaikan masalah atau mencapai tujuan mereka.", CHAR(10),
"✔ Membantuku membangun personal branding yang kuat dan sustainable, sesuai dengan Positioning saya sebagai '", 'CONTENT PILLAR MAPPING'!C819, "' dan Brand Archetype '", 'CONTENT PILLAR MAPPING'!D824, "'.", CHAR(10),
"✔ Kemas dalam bentuk tabel agar rapi, mudah di baca dan dipahami, dengan kolom 'Judul Konten', 'Pilar', 'Format', 'Draft Script', 'CTA', 'Saran Visual', dan 'Full Caption'. (Kosongkan kolom Link Prompt jika ada)."
),
"")</f>
        <v/>
      </c>
      <c r="L913" s="91" t="n"/>
      <c r="M913" s="91" t="n"/>
      <c r="N913" s="102" t="n"/>
      <c r="O913" s="102" t="n"/>
      <c r="P913" s="102" t="n"/>
      <c r="Q913" s="102" t="n"/>
      <c r="R913" s="102" t="n"/>
      <c r="S913" s="102" t="n"/>
      <c r="T913" s="102" t="n"/>
      <c r="U913" s="102" t="n"/>
      <c r="V913" s="102" t="n"/>
      <c r="W913" s="102" t="n"/>
      <c r="X913" s="102" t="n"/>
      <c r="Y913" s="102" t="n"/>
      <c r="Z913" s="102" t="n"/>
      <c r="AA913" s="102" t="n"/>
      <c r="AB913" s="102" t="n"/>
      <c r="AC913" s="102" t="n"/>
      <c r="AD913" s="102" t="n"/>
    </row>
    <row r="914" ht="15.75" customHeight="1" s="205">
      <c r="A914" s="102" t="n"/>
      <c r="B914" s="147" t="n"/>
      <c r="C914" s="144" t="n"/>
      <c r="D914" s="144" t="n"/>
      <c r="E914" s="144" t="n"/>
      <c r="F914" s="144" t="n"/>
      <c r="G914" s="144" t="n"/>
      <c r="H914" s="141">
        <f>IF(K914&lt;&gt;"", HYPERLINK("https://chatgpt.com/?prompt=" &amp; SUBSTITUTE(SUBSTITUTE(K914, " ", "+"), "&amp;", "dan") &amp; "&amp;force-refresh=true&amp;timestamp=" &amp; TEXT(NOW(), "yyyymmddhhmmss"), "👉 Klik untuk Generate Script! 🔥"), "")</f>
        <v/>
      </c>
      <c r="I914" s="144" t="n"/>
      <c r="J914" s="148" t="n"/>
      <c r="K914" s="140">
        <f>IF(AND(B914&lt;&gt;"", C914&lt;&gt;"", D914&lt;&gt;"", E914&lt;&gt;"", F914&lt;&gt;"", G914&lt;&gt;"", J914&lt;&gt;"", 'CONTENT PILLAR MAPPING'!C816&lt;&gt;"", 'CONTENT PILLAR MAPPING'!E816&lt;&gt;"", 'CONTENT PILLAR MAPPING'!F816&lt;&gt;"", 'CONTENT PILLAR MAPPING'!C819&lt;&gt;"", 'CONTENT PILLAR MAPPING'!C824&lt;&gt;"", 'CONTENT PILLAR MAPPING'!D824&lt;&gt;"", 'CONTENT PILLAR MAPPING'!E824&lt;&gt;"", 'CONTENT PILLAR MAPPING'!D832&lt;&gt;"", 'CONTENT PILLAR MAPPING'!D833&lt;&gt;""),
CONCATENATE(
"Sebagai seorang top konten kreator dengan niche utama '", 'CONTENT PILLAR MAPPING'!C816, "', spesifik kategori '", 'CONTENT PILLAR MAPPING'!E816, "', dan super spesifik '", 'CONTENT PILLAR MAPPING'!F816, "', yang dikenal sebagai '", 'CONTENT PILLAR MAPPING'!C819, "'.", CHAR(10),
"Saya memiliki Tone of Voice: '", 'CONTENT PILLAR MAPPING'!C824, "', Brand Archetype: '", 'CONTENT PILLAR MAPPING'!D824, "', dan Deskripsi Gaya Komunikasi: '", 'CONTENT PILLAR MAPPING'!E824, "'.", CHAR(10),
"Target audiens saya adalah: '", 'CONTENT PILLAR MAPPING'!D832, "', dengan segmentasi audiens: '", 'CONTENT PILLAR MAPPING'!D833, "'.", CHAR(10), CHAR(10),
"Mohon buatkan script konten yang **sangat powerful, menarik, inovatif, dan siap pakai** dengan judul ide '", B914, "'.", CHAR(10),
"Konten ini memiliki pilar '", C914, "', nilai tambah utama '", F914, "', dan akan menggunakan storytelling framework '", G914, "'.", CHAR(10),
"Gambaran singkat ide kontennya adalah: '", J914, "'.", CHAR(10),
"Konten ini akan diunggah di platform '", E914, "' dengan format '", D914,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MAPPING'!C819, "'.** Sesuaikan dengan gaya komunikasi saya, dengan fokus pada nilai tambah '", F914,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MAPPING'!D832, ", khusus ", 'CONTENT PILLAR MAPPING'!D833, ") dan membantu mereka menyelesaikan masalah atau mencapai tujuan mereka.", CHAR(10),
"✔ Membantuku membangun personal branding yang kuat dan sustainable, sesuai dengan Positioning saya sebagai '", 'CONTENT PILLAR MAPPING'!C819, "' dan Brand Archetype '", 'CONTENT PILLAR MAPPING'!D824, "'.", CHAR(10),
"✔ Kemas dalam bentuk tabel agar rapi, mudah di baca dan dipahami, dengan kolom 'Judul Konten', 'Pilar', 'Format', 'Draft Script', 'CTA', 'Saran Visual', dan 'Full Caption'. (Kosongkan kolom Link Prompt jika ada)."
),
"")</f>
        <v/>
      </c>
      <c r="L914" s="199" t="n"/>
      <c r="M914" s="199" t="n"/>
      <c r="N914" s="102" t="n"/>
      <c r="O914" s="102" t="n"/>
      <c r="P914" s="102" t="n"/>
      <c r="Q914" s="102" t="n"/>
      <c r="R914" s="102" t="n"/>
      <c r="S914" s="102" t="n"/>
      <c r="T914" s="102" t="n"/>
      <c r="U914" s="102" t="n"/>
      <c r="V914" s="102" t="n"/>
      <c r="W914" s="102" t="n"/>
      <c r="X914" s="102" t="n"/>
      <c r="Y914" s="102" t="n"/>
      <c r="Z914" s="102" t="n"/>
      <c r="AA914" s="102" t="n"/>
      <c r="AB914" s="102" t="n"/>
      <c r="AC914" s="102" t="n"/>
      <c r="AD914" s="102" t="n"/>
    </row>
    <row r="915" ht="15.75" customHeight="1" s="205">
      <c r="A915" s="102" t="n"/>
      <c r="B915" s="142" t="n"/>
      <c r="C915" s="143" t="n"/>
      <c r="D915" s="143" t="n"/>
      <c r="E915" s="143" t="n"/>
      <c r="F915" s="143" t="n"/>
      <c r="G915" s="144" t="n"/>
      <c r="H915" s="145">
        <f>IF(K915&lt;&gt;"", HYPERLINK("https://chatgpt.com/?prompt=" &amp; SUBSTITUTE(SUBSTITUTE(K915, " ", "+"), "&amp;", "dan") &amp; "&amp;force-refresh=true&amp;timestamp=" &amp; TEXT(NOW(), "yyyymmddhhmmss"), "👉 Klik untuk Generate Script! 🔥"), "")</f>
        <v/>
      </c>
      <c r="I915" s="143" t="n"/>
      <c r="J915" s="146" t="n"/>
      <c r="K915" s="130">
        <f>IF(AND(B915&lt;&gt;"", C915&lt;&gt;"", D915&lt;&gt;"", E915&lt;&gt;"", F915&lt;&gt;"", G915&lt;&gt;"", J915&lt;&gt;"", 'CONTENT PILLAR MAPPING'!C818&lt;&gt;"", 'CONTENT PILLAR MAPPING'!E818&lt;&gt;"", 'CONTENT PILLAR MAPPING'!F818&lt;&gt;"", 'CONTENT PILLAR MAPPING'!C821&lt;&gt;"", 'CONTENT PILLAR MAPPING'!C826&lt;&gt;"", 'CONTENT PILLAR MAPPING'!D826&lt;&gt;"", 'CONTENT PILLAR MAPPING'!E826&lt;&gt;"", 'CONTENT PILLAR MAPPING'!D834&lt;&gt;"", 'CONTENT PILLAR MAPPING'!D835&lt;&gt;""),
CONCATENATE(
"Sebagai seorang top konten kreator dengan niche utama '", 'CONTENT PILLAR MAPPING'!C818, "', spesifik kategori '", 'CONTENT PILLAR MAPPING'!E818, "', dan super spesifik '", 'CONTENT PILLAR MAPPING'!F818, "', yang dikenal sebagai '", 'CONTENT PILLAR MAPPING'!C821, "'.", CHAR(10),
"Saya memiliki Tone of Voice: '", 'CONTENT PILLAR MAPPING'!C826, "', Brand Archetype: '", 'CONTENT PILLAR MAPPING'!D826, "', dan Deskripsi Gaya Komunikasi: '", 'CONTENT PILLAR MAPPING'!E826, "'.", CHAR(10),
"Target audiens saya adalah: '", 'CONTENT PILLAR MAPPING'!D834, "', dengan segmentasi audiens: '", 'CONTENT PILLAR MAPPING'!D835, "'.", CHAR(10), CHAR(10),
"Mohon buatkan script konten yang **sangat powerful, menarik, inovatif, dan siap pakai** dengan judul ide '", B915, "'.", CHAR(10),
"Konten ini memiliki pilar '", C915, "', nilai tambah utama '", F915, "', dan akan menggunakan storytelling framework '", G915, "'.", CHAR(10),
"Gambaran singkat ide kontennya adalah: '", J915, "'.", CHAR(10),
"Konten ini akan diunggah di platform '", E915, "' dengan format '", D915,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MAPPING'!C821, "'.** Sesuaikan dengan gaya komunikasi saya, dengan fokus pada nilai tambah '", F915,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MAPPING'!D834, ", khusus ", 'CONTENT PILLAR MAPPING'!D835, ") dan membantu mereka menyelesaikan masalah atau mencapai tujuan mereka.", CHAR(10),
"✔ Membantuku membangun personal branding yang kuat dan sustainable, sesuai dengan Positioning saya sebagai '", 'CONTENT PILLAR MAPPING'!C821, "' dan Brand Archetype '", 'CONTENT PILLAR MAPPING'!D826, "'.", CHAR(10),
"✔ Kemas dalam bentuk tabel agar rapi, mudah di baca dan dipahami, dengan kolom 'Judul Konten', 'Pilar', 'Format', 'Draft Script', 'CTA', 'Saran Visual', dan 'Full Caption'. (Kosongkan kolom Link Prompt jika ada)."
),
"")</f>
        <v/>
      </c>
      <c r="L915" s="91" t="n"/>
      <c r="M915" s="91" t="n"/>
      <c r="N915" s="102" t="n"/>
      <c r="O915" s="102" t="n"/>
      <c r="P915" s="102" t="n"/>
      <c r="Q915" s="102" t="n"/>
      <c r="R915" s="102" t="n"/>
      <c r="S915" s="102" t="n"/>
      <c r="T915" s="102" t="n"/>
      <c r="U915" s="102" t="n"/>
      <c r="V915" s="102" t="n"/>
      <c r="W915" s="102" t="n"/>
      <c r="X915" s="102" t="n"/>
      <c r="Y915" s="102" t="n"/>
      <c r="Z915" s="102" t="n"/>
      <c r="AA915" s="102" t="n"/>
      <c r="AB915" s="102" t="n"/>
      <c r="AC915" s="102" t="n"/>
      <c r="AD915" s="102" t="n"/>
    </row>
    <row r="916" ht="15.75" customHeight="1" s="205">
      <c r="A916" s="102" t="n"/>
      <c r="B916" s="147" t="n"/>
      <c r="C916" s="144" t="n"/>
      <c r="D916" s="144" t="n"/>
      <c r="E916" s="144" t="n"/>
      <c r="F916" s="144" t="n"/>
      <c r="G916" s="144" t="n"/>
      <c r="H916" s="141">
        <f>IF(K916&lt;&gt;"", HYPERLINK("https://chatgpt.com/?prompt=" &amp; SUBSTITUTE(SUBSTITUTE(K916, " ", "+"), "&amp;", "dan") &amp; "&amp;force-refresh=true&amp;timestamp=" &amp; TEXT(NOW(), "yyyymmddhhmmss"), "👉 Klik untuk Generate Script! 🔥"), "")</f>
        <v/>
      </c>
      <c r="I916" s="144" t="n"/>
      <c r="J916" s="148" t="n"/>
      <c r="K916" s="140">
        <f>IF(AND(B916&lt;&gt;"", C916&lt;&gt;"", D916&lt;&gt;"", E916&lt;&gt;"", F916&lt;&gt;"", G916&lt;&gt;"", J916&lt;&gt;"", 'CONTENT PILLAR MAPPING'!C818&lt;&gt;"", 'CONTENT PILLAR MAPPING'!E818&lt;&gt;"", 'CONTENT PILLAR MAPPING'!F818&lt;&gt;"", 'CONTENT PILLAR MAPPING'!C821&lt;&gt;"", 'CONTENT PILLAR MAPPING'!C826&lt;&gt;"", 'CONTENT PILLAR MAPPING'!D826&lt;&gt;"", 'CONTENT PILLAR MAPPING'!E826&lt;&gt;"", 'CONTENT PILLAR MAPPING'!D834&lt;&gt;"", 'CONTENT PILLAR MAPPING'!D835&lt;&gt;""),
CONCATENATE(
"Sebagai seorang top konten kreator dengan niche utama '", 'CONTENT PILLAR MAPPING'!C818, "', spesifik kategori '", 'CONTENT PILLAR MAPPING'!E818, "', dan super spesifik '", 'CONTENT PILLAR MAPPING'!F818, "', yang dikenal sebagai '", 'CONTENT PILLAR MAPPING'!C821, "'.", CHAR(10),
"Saya memiliki Tone of Voice: '", 'CONTENT PILLAR MAPPING'!C826, "', Brand Archetype: '", 'CONTENT PILLAR MAPPING'!D826, "', dan Deskripsi Gaya Komunikasi: '", 'CONTENT PILLAR MAPPING'!E826, "'.", CHAR(10),
"Target audiens saya adalah: '", 'CONTENT PILLAR MAPPING'!D834, "', dengan segmentasi audiens: '", 'CONTENT PILLAR MAPPING'!D835, "'.", CHAR(10), CHAR(10),
"Mohon buatkan script konten yang **sangat powerful, menarik, inovatif, dan siap pakai** dengan judul ide '", B916, "'.", CHAR(10),
"Konten ini memiliki pilar '", C916, "', nilai tambah utama '", F916, "', dan akan menggunakan storytelling framework '", G916, "'.", CHAR(10),
"Gambaran singkat ide kontennya adalah: '", J916, "'.", CHAR(10),
"Konten ini akan diunggah di platform '", E916, "' dengan format '", D916,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MAPPING'!C821, "'.** Sesuaikan dengan gaya komunikasi saya, dengan fokus pada nilai tambah '", F916,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MAPPING'!D834, ", khusus ", 'CONTENT PILLAR MAPPING'!D835, ") dan membantu mereka menyelesaikan masalah atau mencapai tujuan mereka.", CHAR(10),
"✔ Membantuku membangun personal branding yang kuat dan sustainable, sesuai dengan Positioning saya sebagai '", 'CONTENT PILLAR MAPPING'!C821, "' dan Brand Archetype '", 'CONTENT PILLAR MAPPING'!D826, "'.", CHAR(10),
"✔ Kemas dalam bentuk tabel agar rapi, mudah di baca dan dipahami, dengan kolom 'Judul Konten', 'Pilar', 'Format', 'Draft Script', 'CTA', 'Saran Visual', dan 'Full Caption'. (Kosongkan kolom Link Prompt jika ada)."
),
"")</f>
        <v/>
      </c>
      <c r="L916" s="199" t="n"/>
      <c r="M916" s="199" t="n"/>
      <c r="N916" s="102" t="n"/>
      <c r="O916" s="102" t="n"/>
      <c r="P916" s="102" t="n"/>
      <c r="Q916" s="102" t="n"/>
      <c r="R916" s="102" t="n"/>
      <c r="S916" s="102" t="n"/>
      <c r="T916" s="102" t="n"/>
      <c r="U916" s="102" t="n"/>
      <c r="V916" s="102" t="n"/>
      <c r="W916" s="102" t="n"/>
      <c r="X916" s="102" t="n"/>
      <c r="Y916" s="102" t="n"/>
      <c r="Z916" s="102" t="n"/>
      <c r="AA916" s="102" t="n"/>
      <c r="AB916" s="102" t="n"/>
      <c r="AC916" s="102" t="n"/>
      <c r="AD916" s="102" t="n"/>
    </row>
    <row r="917" ht="15.75" customHeight="1" s="205">
      <c r="A917" s="102" t="n"/>
      <c r="B917" s="142" t="n"/>
      <c r="C917" s="143" t="n"/>
      <c r="D917" s="143" t="n"/>
      <c r="E917" s="143" t="n"/>
      <c r="F917" s="143" t="n"/>
      <c r="G917" s="144" t="n"/>
      <c r="H917" s="145">
        <f>IF(K917&lt;&gt;"", HYPERLINK("https://chatgpt.com/?prompt=" &amp; SUBSTITUTE(SUBSTITUTE(K917, " ", "+"), "&amp;", "dan") &amp; "&amp;force-refresh=true&amp;timestamp=" &amp; TEXT(NOW(), "yyyymmddhhmmss"), "👉 Klik untuk Generate Script! 🔥"), "")</f>
        <v/>
      </c>
      <c r="I917" s="143" t="n"/>
      <c r="J917" s="146" t="n"/>
      <c r="K917" s="130">
        <f>IF(AND(B917&lt;&gt;"", C917&lt;&gt;"", D917&lt;&gt;"", E917&lt;&gt;"", F917&lt;&gt;"", G917&lt;&gt;"", J917&lt;&gt;"", 'CONTENT PILLAR MAPPING'!C820&lt;&gt;"", 'CONTENT PILLAR MAPPING'!E820&lt;&gt;"", 'CONTENT PILLAR MAPPING'!F820&lt;&gt;"", 'CONTENT PILLAR MAPPING'!C823&lt;&gt;"", 'CONTENT PILLAR MAPPING'!C828&lt;&gt;"", 'CONTENT PILLAR MAPPING'!D828&lt;&gt;"", 'CONTENT PILLAR MAPPING'!E828&lt;&gt;"", 'CONTENT PILLAR MAPPING'!D836&lt;&gt;"", 'CONTENT PILLAR MAPPING'!D837&lt;&gt;""),
CONCATENATE(
"Sebagai seorang top konten kreator dengan niche utama '", 'CONTENT PILLAR MAPPING'!C820, "', spesifik kategori '", 'CONTENT PILLAR MAPPING'!E820, "', dan super spesifik '", 'CONTENT PILLAR MAPPING'!F820, "', yang dikenal sebagai '", 'CONTENT PILLAR MAPPING'!C823, "'.", CHAR(10),
"Saya memiliki Tone of Voice: '", 'CONTENT PILLAR MAPPING'!C828, "', Brand Archetype: '", 'CONTENT PILLAR MAPPING'!D828, "', dan Deskripsi Gaya Komunikasi: '", 'CONTENT PILLAR MAPPING'!E828, "'.", CHAR(10),
"Target audiens saya adalah: '", 'CONTENT PILLAR MAPPING'!D836, "', dengan segmentasi audiens: '", 'CONTENT PILLAR MAPPING'!D837, "'.", CHAR(10), CHAR(10),
"Mohon buatkan script konten yang **sangat powerful, menarik, inovatif, dan siap pakai** dengan judul ide '", B917, "'.", CHAR(10),
"Konten ini memiliki pilar '", C917, "', nilai tambah utama '", F917, "', dan akan menggunakan storytelling framework '", G917, "'.", CHAR(10),
"Gambaran singkat ide kontennya adalah: '", J917, "'.", CHAR(10),
"Konten ini akan diunggah di platform '", E917, "' dengan format '", D917,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MAPPING'!C823, "'.** Sesuaikan dengan gaya komunikasi saya, dengan fokus pada nilai tambah '", F917,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MAPPING'!D836, ", khusus ", 'CONTENT PILLAR MAPPING'!D837, ") dan membantu mereka menyelesaikan masalah atau mencapai tujuan mereka.", CHAR(10),
"✔ Membantuku membangun personal branding yang kuat dan sustainable, sesuai dengan Positioning saya sebagai '", 'CONTENT PILLAR MAPPING'!C823, "' dan Brand Archetype '", 'CONTENT PILLAR MAPPING'!D828, "'.", CHAR(10),
"✔ Kemas dalam bentuk tabel agar rapi, mudah di baca dan dipahami, dengan kolom 'Judul Konten', 'Pilar', 'Format', 'Draft Script', 'CTA', 'Saran Visual', dan 'Full Caption'. (Kosongkan kolom Link Prompt jika ada)."
),
"")</f>
        <v/>
      </c>
      <c r="L917" s="91" t="n"/>
      <c r="M917" s="91" t="n"/>
      <c r="N917" s="102" t="n"/>
      <c r="O917" s="102" t="n"/>
      <c r="P917" s="102" t="n"/>
      <c r="Q917" s="102" t="n"/>
      <c r="R917" s="102" t="n"/>
      <c r="S917" s="102" t="n"/>
      <c r="T917" s="102" t="n"/>
      <c r="U917" s="102" t="n"/>
      <c r="V917" s="102" t="n"/>
      <c r="W917" s="102" t="n"/>
      <c r="X917" s="102" t="n"/>
      <c r="Y917" s="102" t="n"/>
      <c r="Z917" s="102" t="n"/>
      <c r="AA917" s="102" t="n"/>
      <c r="AB917" s="102" t="n"/>
      <c r="AC917" s="102" t="n"/>
      <c r="AD917" s="102" t="n"/>
    </row>
    <row r="918" ht="15.75" customHeight="1" s="205">
      <c r="A918" s="102" t="n"/>
      <c r="B918" s="147" t="n"/>
      <c r="C918" s="144" t="n"/>
      <c r="D918" s="144" t="n"/>
      <c r="E918" s="144" t="n"/>
      <c r="F918" s="144" t="n"/>
      <c r="G918" s="144" t="n"/>
      <c r="H918" s="141">
        <f>IF(K918&lt;&gt;"", HYPERLINK("https://chatgpt.com/?prompt=" &amp; SUBSTITUTE(SUBSTITUTE(K918, " ", "+"), "&amp;", "dan") &amp; "&amp;force-refresh=true&amp;timestamp=" &amp; TEXT(NOW(), "yyyymmddhhmmss"), "👉 Klik untuk Generate Script! 🔥"), "")</f>
        <v/>
      </c>
      <c r="I918" s="144" t="n"/>
      <c r="J918" s="148" t="n"/>
      <c r="K918" s="140">
        <f>IF(AND(B918&lt;&gt;"", C918&lt;&gt;"", D918&lt;&gt;"", E918&lt;&gt;"", F918&lt;&gt;"", G918&lt;&gt;"", J918&lt;&gt;"", 'CONTENT PILLAR MAPPING'!C820&lt;&gt;"", 'CONTENT PILLAR MAPPING'!E820&lt;&gt;"", 'CONTENT PILLAR MAPPING'!F820&lt;&gt;"", 'CONTENT PILLAR MAPPING'!C823&lt;&gt;"", 'CONTENT PILLAR MAPPING'!C828&lt;&gt;"", 'CONTENT PILLAR MAPPING'!D828&lt;&gt;"", 'CONTENT PILLAR MAPPING'!E828&lt;&gt;"", 'CONTENT PILLAR MAPPING'!D836&lt;&gt;"", 'CONTENT PILLAR MAPPING'!D837&lt;&gt;""),
CONCATENATE(
"Sebagai seorang top konten kreator dengan niche utama '", 'CONTENT PILLAR MAPPING'!C820, "', spesifik kategori '", 'CONTENT PILLAR MAPPING'!E820, "', dan super spesifik '", 'CONTENT PILLAR MAPPING'!F820, "', yang dikenal sebagai '", 'CONTENT PILLAR MAPPING'!C823, "'.", CHAR(10),
"Saya memiliki Tone of Voice: '", 'CONTENT PILLAR MAPPING'!C828, "', Brand Archetype: '", 'CONTENT PILLAR MAPPING'!D828, "', dan Deskripsi Gaya Komunikasi: '", 'CONTENT PILLAR MAPPING'!E828, "'.", CHAR(10),
"Target audiens saya adalah: '", 'CONTENT PILLAR MAPPING'!D836, "', dengan segmentasi audiens: '", 'CONTENT PILLAR MAPPING'!D837, "'.", CHAR(10), CHAR(10),
"Mohon buatkan script konten yang **sangat powerful, menarik, inovatif, dan siap pakai** dengan judul ide '", B918, "'.", CHAR(10),
"Konten ini memiliki pilar '", C918, "', nilai tambah utama '", F918, "', dan akan menggunakan storytelling framework '", G918, "'.", CHAR(10),
"Gambaran singkat ide kontennya adalah: '", J918, "'.", CHAR(10),
"Konten ini akan diunggah di platform '", E918, "' dengan format '", D918,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MAPPING'!C823, "'.** Sesuaikan dengan gaya komunikasi saya, dengan fokus pada nilai tambah '", F918,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MAPPING'!D836, ", khusus ", 'CONTENT PILLAR MAPPING'!D837, ") dan membantu mereka menyelesaikan masalah atau mencapai tujuan mereka.", CHAR(10),
"✔ Membantuku membangun personal branding yang kuat dan sustainable, sesuai dengan Positioning saya sebagai '", 'CONTENT PILLAR MAPPING'!C823, "' dan Brand Archetype '", 'CONTENT PILLAR MAPPING'!D828, "'.", CHAR(10),
"✔ Kemas dalam bentuk tabel agar rapi, mudah di baca dan dipahami, dengan kolom 'Judul Konten', 'Pilar', 'Format', 'Draft Script', 'CTA', 'Saran Visual', dan 'Full Caption'. (Kosongkan kolom Link Prompt jika ada)."
),
"")</f>
        <v/>
      </c>
      <c r="L918" s="199" t="n"/>
      <c r="M918" s="199" t="n"/>
      <c r="N918" s="102" t="n"/>
      <c r="O918" s="102" t="n"/>
      <c r="P918" s="102" t="n"/>
      <c r="Q918" s="102" t="n"/>
      <c r="R918" s="102" t="n"/>
      <c r="S918" s="102" t="n"/>
      <c r="T918" s="102" t="n"/>
      <c r="U918" s="102" t="n"/>
      <c r="V918" s="102" t="n"/>
      <c r="W918" s="102" t="n"/>
      <c r="X918" s="102" t="n"/>
      <c r="Y918" s="102" t="n"/>
      <c r="Z918" s="102" t="n"/>
      <c r="AA918" s="102" t="n"/>
      <c r="AB918" s="102" t="n"/>
      <c r="AC918" s="102" t="n"/>
      <c r="AD918" s="102" t="n"/>
    </row>
    <row r="919" ht="15.75" customHeight="1" s="205">
      <c r="A919" s="102" t="n"/>
      <c r="B919" s="142" t="n"/>
      <c r="C919" s="143" t="n"/>
      <c r="D919" s="143" t="n"/>
      <c r="E919" s="143" t="n"/>
      <c r="F919" s="143" t="n"/>
      <c r="G919" s="144" t="n"/>
      <c r="H919" s="145">
        <f>IF(K919&lt;&gt;"", HYPERLINK("https://chatgpt.com/?prompt=" &amp; SUBSTITUTE(SUBSTITUTE(K919, " ", "+"), "&amp;", "dan") &amp; "&amp;force-refresh=true&amp;timestamp=" &amp; TEXT(NOW(), "yyyymmddhhmmss"), "👉 Klik untuk Generate Script! 🔥"), "")</f>
        <v/>
      </c>
      <c r="I919" s="143" t="n"/>
      <c r="J919" s="146" t="n"/>
      <c r="K919" s="130">
        <f>IF(AND(B919&lt;&gt;"", C919&lt;&gt;"", D919&lt;&gt;"", E919&lt;&gt;"", F919&lt;&gt;"", G919&lt;&gt;"", J919&lt;&gt;"", 'CONTENT PILLAR MAPPING'!C822&lt;&gt;"", 'CONTENT PILLAR MAPPING'!E822&lt;&gt;"", 'CONTENT PILLAR MAPPING'!F822&lt;&gt;"", 'CONTENT PILLAR MAPPING'!C825&lt;&gt;"", 'CONTENT PILLAR MAPPING'!C830&lt;&gt;"", 'CONTENT PILLAR MAPPING'!D830&lt;&gt;"", 'CONTENT PILLAR MAPPING'!E830&lt;&gt;"", 'CONTENT PILLAR MAPPING'!D838&lt;&gt;"", 'CONTENT PILLAR MAPPING'!D839&lt;&gt;""),
CONCATENATE(
"Sebagai seorang top konten kreator dengan niche utama '", 'CONTENT PILLAR MAPPING'!C822, "', spesifik kategori '", 'CONTENT PILLAR MAPPING'!E822, "', dan super spesifik '", 'CONTENT PILLAR MAPPING'!F822, "', yang dikenal sebagai '", 'CONTENT PILLAR MAPPING'!C825, "'.", CHAR(10),
"Saya memiliki Tone of Voice: '", 'CONTENT PILLAR MAPPING'!C830, "', Brand Archetype: '", 'CONTENT PILLAR MAPPING'!D830, "', dan Deskripsi Gaya Komunikasi: '", 'CONTENT PILLAR MAPPING'!E830, "'.", CHAR(10),
"Target audiens saya adalah: '", 'CONTENT PILLAR MAPPING'!D838, "', dengan segmentasi audiens: '", 'CONTENT PILLAR MAPPING'!D839, "'.", CHAR(10), CHAR(10),
"Mohon buatkan script konten yang **sangat powerful, menarik, inovatif, dan siap pakai** dengan judul ide '", B919, "'.", CHAR(10),
"Konten ini memiliki pilar '", C919, "', nilai tambah utama '", F919, "', dan akan menggunakan storytelling framework '", G919, "'.", CHAR(10),
"Gambaran singkat ide kontennya adalah: '", J919, "'.", CHAR(10),
"Konten ini akan diunggah di platform '", E919, "' dengan format '", D919,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MAPPING'!C825, "'.** Sesuaikan dengan gaya komunikasi saya, dengan fokus pada nilai tambah '", F919,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MAPPING'!D838, ", khusus ", 'CONTENT PILLAR MAPPING'!D839, ") dan membantu mereka menyelesaikan masalah atau mencapai tujuan mereka.", CHAR(10),
"✔ Membantuku membangun personal branding yang kuat dan sustainable, sesuai dengan Positioning saya sebagai '", 'CONTENT PILLAR MAPPING'!C825, "' dan Brand Archetype '", 'CONTENT PILLAR MAPPING'!D830, "'.", CHAR(10),
"✔ Kemas dalam bentuk tabel agar rapi, mudah di baca dan dipahami, dengan kolom 'Judul Konten', 'Pilar', 'Format', 'Draft Script', 'CTA', 'Saran Visual', dan 'Full Caption'. (Kosongkan kolom Link Prompt jika ada)."
),
"")</f>
        <v/>
      </c>
      <c r="L919" s="91" t="n"/>
      <c r="M919" s="91" t="n"/>
      <c r="N919" s="102" t="n"/>
      <c r="O919" s="102" t="n"/>
      <c r="P919" s="102" t="n"/>
      <c r="Q919" s="102" t="n"/>
      <c r="R919" s="102" t="n"/>
      <c r="S919" s="102" t="n"/>
      <c r="T919" s="102" t="n"/>
      <c r="U919" s="102" t="n"/>
      <c r="V919" s="102" t="n"/>
      <c r="W919" s="102" t="n"/>
      <c r="X919" s="102" t="n"/>
      <c r="Y919" s="102" t="n"/>
      <c r="Z919" s="102" t="n"/>
      <c r="AA919" s="102" t="n"/>
      <c r="AB919" s="102" t="n"/>
      <c r="AC919" s="102" t="n"/>
      <c r="AD919" s="102" t="n"/>
    </row>
    <row r="920" ht="15.75" customHeight="1" s="205">
      <c r="A920" s="102" t="n"/>
      <c r="B920" s="147" t="n"/>
      <c r="C920" s="144" t="n"/>
      <c r="D920" s="144" t="n"/>
      <c r="E920" s="144" t="n"/>
      <c r="F920" s="144" t="n"/>
      <c r="G920" s="144" t="n"/>
      <c r="H920" s="141">
        <f>IF(K920&lt;&gt;"", HYPERLINK("https://chatgpt.com/?prompt=" &amp; SUBSTITUTE(SUBSTITUTE(K920, " ", "+"), "&amp;", "dan") &amp; "&amp;force-refresh=true&amp;timestamp=" &amp; TEXT(NOW(), "yyyymmddhhmmss"), "👉 Klik untuk Generate Script! 🔥"), "")</f>
        <v/>
      </c>
      <c r="I920" s="144" t="n"/>
      <c r="J920" s="148" t="n"/>
      <c r="K920" s="140">
        <f>IF(AND(B920&lt;&gt;"", C920&lt;&gt;"", D920&lt;&gt;"", E920&lt;&gt;"", F920&lt;&gt;"", G920&lt;&gt;"", J920&lt;&gt;"", 'CONTENT PILLAR MAPPING'!C822&lt;&gt;"", 'CONTENT PILLAR MAPPING'!E822&lt;&gt;"", 'CONTENT PILLAR MAPPING'!F822&lt;&gt;"", 'CONTENT PILLAR MAPPING'!C825&lt;&gt;"", 'CONTENT PILLAR MAPPING'!C830&lt;&gt;"", 'CONTENT PILLAR MAPPING'!D830&lt;&gt;"", 'CONTENT PILLAR MAPPING'!E830&lt;&gt;"", 'CONTENT PILLAR MAPPING'!D838&lt;&gt;"", 'CONTENT PILLAR MAPPING'!D839&lt;&gt;""),
CONCATENATE(
"Sebagai seorang top konten kreator dengan niche utama '", 'CONTENT PILLAR MAPPING'!C822, "', spesifik kategori '", 'CONTENT PILLAR MAPPING'!E822, "', dan super spesifik '", 'CONTENT PILLAR MAPPING'!F822, "', yang dikenal sebagai '", 'CONTENT PILLAR MAPPING'!C825, "'.", CHAR(10),
"Saya memiliki Tone of Voice: '", 'CONTENT PILLAR MAPPING'!C830, "', Brand Archetype: '", 'CONTENT PILLAR MAPPING'!D830, "', dan Deskripsi Gaya Komunikasi: '", 'CONTENT PILLAR MAPPING'!E830, "'.", CHAR(10),
"Target audiens saya adalah: '", 'CONTENT PILLAR MAPPING'!D838, "', dengan segmentasi audiens: '", 'CONTENT PILLAR MAPPING'!D839, "'.", CHAR(10), CHAR(10),
"Mohon buatkan script konten yang **sangat powerful, menarik, inovatif, dan siap pakai** dengan judul ide '", B920, "'.", CHAR(10),
"Konten ini memiliki pilar '", C920, "', nilai tambah utama '", F920, "', dan akan menggunakan storytelling framework '", G920, "'.", CHAR(10),
"Gambaran singkat ide kontennya adalah: '", J920, "'.", CHAR(10),
"Konten ini akan diunggah di platform '", E920, "' dengan format '", D920,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MAPPING'!C825, "'.** Sesuaikan dengan gaya komunikasi saya, dengan fokus pada nilai tambah '", F920,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MAPPING'!D838, ", khusus ", 'CONTENT PILLAR MAPPING'!D839, ") dan membantu mereka menyelesaikan masalah atau mencapai tujuan mereka.", CHAR(10),
"✔ Membantuku membangun personal branding yang kuat dan sustainable, sesuai dengan Positioning saya sebagai '", 'CONTENT PILLAR MAPPING'!C825, "' dan Brand Archetype '", 'CONTENT PILLAR MAPPING'!D830, "'.", CHAR(10),
"✔ Kemas dalam bentuk tabel agar rapi, mudah di baca dan dipahami, dengan kolom 'Judul Konten', 'Pilar', 'Format', 'Draft Script', 'CTA', 'Saran Visual', dan 'Full Caption'. (Kosongkan kolom Link Prompt jika ada)."
),
"")</f>
        <v/>
      </c>
      <c r="L920" s="199" t="n"/>
      <c r="M920" s="199" t="n"/>
      <c r="N920" s="102" t="n"/>
      <c r="O920" s="102" t="n"/>
      <c r="P920" s="102" t="n"/>
      <c r="Q920" s="102" t="n"/>
      <c r="R920" s="102" t="n"/>
      <c r="S920" s="102" t="n"/>
      <c r="T920" s="102" t="n"/>
      <c r="U920" s="102" t="n"/>
      <c r="V920" s="102" t="n"/>
      <c r="W920" s="102" t="n"/>
      <c r="X920" s="102" t="n"/>
      <c r="Y920" s="102" t="n"/>
      <c r="Z920" s="102" t="n"/>
      <c r="AA920" s="102" t="n"/>
      <c r="AB920" s="102" t="n"/>
      <c r="AC920" s="102" t="n"/>
      <c r="AD920" s="102" t="n"/>
    </row>
    <row r="921" ht="15.75" customHeight="1" s="205">
      <c r="A921" s="102" t="n"/>
      <c r="B921" s="142" t="n"/>
      <c r="C921" s="143" t="n"/>
      <c r="D921" s="143" t="n"/>
      <c r="E921" s="143" t="n"/>
      <c r="F921" s="143" t="n"/>
      <c r="G921" s="144" t="n"/>
      <c r="H921" s="145">
        <f>IF(K921&lt;&gt;"", HYPERLINK("https://chatgpt.com/?prompt=" &amp; SUBSTITUTE(SUBSTITUTE(K921, " ", "+"), "&amp;", "dan") &amp; "&amp;force-refresh=true&amp;timestamp=" &amp; TEXT(NOW(), "yyyymmddhhmmss"), "👉 Klik untuk Generate Script! 🔥"), "")</f>
        <v/>
      </c>
      <c r="I921" s="143" t="n"/>
      <c r="J921" s="146" t="n"/>
      <c r="K921" s="130">
        <f>IF(AND(B921&lt;&gt;"", C921&lt;&gt;"", D921&lt;&gt;"", E921&lt;&gt;"", F921&lt;&gt;"", G921&lt;&gt;"", J921&lt;&gt;"", 'CONTENT PILLAR MAPPING'!C824&lt;&gt;"", 'CONTENT PILLAR MAPPING'!E824&lt;&gt;"", 'CONTENT PILLAR MAPPING'!F824&lt;&gt;"", 'CONTENT PILLAR MAPPING'!C827&lt;&gt;"", 'CONTENT PILLAR MAPPING'!C832&lt;&gt;"", 'CONTENT PILLAR MAPPING'!D832&lt;&gt;"", 'CONTENT PILLAR MAPPING'!E832&lt;&gt;"", 'CONTENT PILLAR MAPPING'!D840&lt;&gt;"", 'CONTENT PILLAR MAPPING'!D841&lt;&gt;""),
CONCATENATE(
"Sebagai seorang top konten kreator dengan niche utama '", 'CONTENT PILLAR MAPPING'!C824, "', spesifik kategori '", 'CONTENT PILLAR MAPPING'!E824, "', dan super spesifik '", 'CONTENT PILLAR MAPPING'!F824, "', yang dikenal sebagai '", 'CONTENT PILLAR MAPPING'!C827, "'.", CHAR(10),
"Saya memiliki Tone of Voice: '", 'CONTENT PILLAR MAPPING'!C832, "', Brand Archetype: '", 'CONTENT PILLAR MAPPING'!D832, "', dan Deskripsi Gaya Komunikasi: '", 'CONTENT PILLAR MAPPING'!E832, "'.", CHAR(10),
"Target audiens saya adalah: '", 'CONTENT PILLAR MAPPING'!D840, "', dengan segmentasi audiens: '", 'CONTENT PILLAR MAPPING'!D841, "'.", CHAR(10), CHAR(10),
"Mohon buatkan script konten yang **sangat powerful, menarik, inovatif, dan siap pakai** dengan judul ide '", B921, "'.", CHAR(10),
"Konten ini memiliki pilar '", C921, "', nilai tambah utama '", F921, "', dan akan menggunakan storytelling framework '", G921, "'.", CHAR(10),
"Gambaran singkat ide kontennya adalah: '", J921, "'.", CHAR(10),
"Konten ini akan diunggah di platform '", E921, "' dengan format '", D921,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MAPPING'!C827, "'.** Sesuaikan dengan gaya komunikasi saya, dengan fokus pada nilai tambah '", F921,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MAPPING'!D840, ", khusus ", 'CONTENT PILLAR MAPPING'!D841, ") dan membantu mereka menyelesaikan masalah atau mencapai tujuan mereka.", CHAR(10),
"✔ Membantuku membangun personal branding yang kuat dan sustainable, sesuai dengan Positioning saya sebagai '", 'CONTENT PILLAR MAPPING'!C827, "' dan Brand Archetype '", 'CONTENT PILLAR MAPPING'!D832, "'.", CHAR(10),
"✔ Kemas dalam bentuk tabel agar rapi, mudah di baca dan dipahami, dengan kolom 'Judul Konten', 'Pilar', 'Format', 'Draft Script', 'CTA', 'Saran Visual', dan 'Full Caption'. (Kosongkan kolom Link Prompt jika ada)."
),
"")</f>
        <v/>
      </c>
      <c r="L921" s="91" t="n"/>
      <c r="M921" s="91" t="n"/>
      <c r="N921" s="102" t="n"/>
      <c r="O921" s="102" t="n"/>
      <c r="P921" s="102" t="n"/>
      <c r="Q921" s="102" t="n"/>
      <c r="R921" s="102" t="n"/>
      <c r="S921" s="102" t="n"/>
      <c r="T921" s="102" t="n"/>
      <c r="U921" s="102" t="n"/>
      <c r="V921" s="102" t="n"/>
      <c r="W921" s="102" t="n"/>
      <c r="X921" s="102" t="n"/>
      <c r="Y921" s="102" t="n"/>
      <c r="Z921" s="102" t="n"/>
      <c r="AA921" s="102" t="n"/>
      <c r="AB921" s="102" t="n"/>
      <c r="AC921" s="102" t="n"/>
      <c r="AD921" s="102" t="n"/>
    </row>
    <row r="922" ht="15.75" customHeight="1" s="205">
      <c r="A922" s="102" t="n"/>
      <c r="B922" s="147" t="n"/>
      <c r="C922" s="144" t="n"/>
      <c r="D922" s="144" t="n"/>
      <c r="E922" s="144" t="n"/>
      <c r="F922" s="144" t="n"/>
      <c r="G922" s="144" t="n"/>
      <c r="H922" s="141">
        <f>IF(K922&lt;&gt;"", HYPERLINK("https://chatgpt.com/?prompt=" &amp; SUBSTITUTE(SUBSTITUTE(K922, " ", "+"), "&amp;", "dan") &amp; "&amp;force-refresh=true&amp;timestamp=" &amp; TEXT(NOW(), "yyyymmddhhmmss"), "👉 Klik untuk Generate Script! 🔥"), "")</f>
        <v/>
      </c>
      <c r="I922" s="144" t="n"/>
      <c r="J922" s="148" t="n"/>
      <c r="K922" s="140">
        <f>IF(AND(B922&lt;&gt;"", C922&lt;&gt;"", D922&lt;&gt;"", E922&lt;&gt;"", F922&lt;&gt;"", G922&lt;&gt;"", J922&lt;&gt;"", 'CONTENT PILLAR MAPPING'!C824&lt;&gt;"", 'CONTENT PILLAR MAPPING'!E824&lt;&gt;"", 'CONTENT PILLAR MAPPING'!F824&lt;&gt;"", 'CONTENT PILLAR MAPPING'!C827&lt;&gt;"", 'CONTENT PILLAR MAPPING'!C832&lt;&gt;"", 'CONTENT PILLAR MAPPING'!D832&lt;&gt;"", 'CONTENT PILLAR MAPPING'!E832&lt;&gt;"", 'CONTENT PILLAR MAPPING'!D840&lt;&gt;"", 'CONTENT PILLAR MAPPING'!D841&lt;&gt;""),
CONCATENATE(
"Sebagai seorang top konten kreator dengan niche utama '", 'CONTENT PILLAR MAPPING'!C824, "', spesifik kategori '", 'CONTENT PILLAR MAPPING'!E824, "', dan super spesifik '", 'CONTENT PILLAR MAPPING'!F824, "', yang dikenal sebagai '", 'CONTENT PILLAR MAPPING'!C827, "'.", CHAR(10),
"Saya memiliki Tone of Voice: '", 'CONTENT PILLAR MAPPING'!C832, "', Brand Archetype: '", 'CONTENT PILLAR MAPPING'!D832, "', dan Deskripsi Gaya Komunikasi: '", 'CONTENT PILLAR MAPPING'!E832, "'.", CHAR(10),
"Target audiens saya adalah: '", 'CONTENT PILLAR MAPPING'!D840, "', dengan segmentasi audiens: '", 'CONTENT PILLAR MAPPING'!D841, "'.", CHAR(10), CHAR(10),
"Mohon buatkan script konten yang **sangat powerful, menarik, inovatif, dan siap pakai** dengan judul ide '", B922, "'.", CHAR(10),
"Konten ini memiliki pilar '", C922, "', nilai tambah utama '", F922, "', dan akan menggunakan storytelling framework '", G922, "'.", CHAR(10),
"Gambaran singkat ide kontennya adalah: '", J922, "'.", CHAR(10),
"Konten ini akan diunggah di platform '", E922, "' dengan format '", D922,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MAPPING'!C827, "'.** Sesuaikan dengan gaya komunikasi saya, dengan fokus pada nilai tambah '", F922,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MAPPING'!D840, ", khusus ", 'CONTENT PILLAR MAPPING'!D841, ") dan membantu mereka menyelesaikan masalah atau mencapai tujuan mereka.", CHAR(10),
"✔ Membantuku membangun personal branding yang kuat dan sustainable, sesuai dengan Positioning saya sebagai '", 'CONTENT PILLAR MAPPING'!C827, "' dan Brand Archetype '", 'CONTENT PILLAR MAPPING'!D832, "'.", CHAR(10),
"✔ Kemas dalam bentuk tabel agar rapi, mudah di baca dan dipahami, dengan kolom 'Judul Konten', 'Pilar', 'Format', 'Draft Script', 'CTA', 'Saran Visual', dan 'Full Caption'. (Kosongkan kolom Link Prompt jika ada)."
),
"")</f>
        <v/>
      </c>
      <c r="L922" s="199" t="n"/>
      <c r="M922" s="199" t="n"/>
      <c r="N922" s="102" t="n"/>
      <c r="O922" s="102" t="n"/>
      <c r="P922" s="102" t="n"/>
      <c r="Q922" s="102" t="n"/>
      <c r="R922" s="102" t="n"/>
      <c r="S922" s="102" t="n"/>
      <c r="T922" s="102" t="n"/>
      <c r="U922" s="102" t="n"/>
      <c r="V922" s="102" t="n"/>
      <c r="W922" s="102" t="n"/>
      <c r="X922" s="102" t="n"/>
      <c r="Y922" s="102" t="n"/>
      <c r="Z922" s="102" t="n"/>
      <c r="AA922" s="102" t="n"/>
      <c r="AB922" s="102" t="n"/>
      <c r="AC922" s="102" t="n"/>
      <c r="AD922" s="102" t="n"/>
    </row>
    <row r="923" ht="15.75" customHeight="1" s="205">
      <c r="A923" s="102" t="n"/>
      <c r="B923" s="142" t="n"/>
      <c r="C923" s="143" t="n"/>
      <c r="D923" s="143" t="n"/>
      <c r="E923" s="143" t="n"/>
      <c r="F923" s="143" t="n"/>
      <c r="G923" s="144" t="n"/>
      <c r="H923" s="145">
        <f>IF(K923&lt;&gt;"", HYPERLINK("https://chatgpt.com/?prompt=" &amp; SUBSTITUTE(SUBSTITUTE(K923, " ", "+"), "&amp;", "dan") &amp; "&amp;force-refresh=true&amp;timestamp=" &amp; TEXT(NOW(), "yyyymmddhhmmss"), "👉 Klik untuk Generate Script! 🔥"), "")</f>
        <v/>
      </c>
      <c r="I923" s="143" t="n"/>
      <c r="J923" s="146" t="n"/>
      <c r="K923" s="130">
        <f>IF(AND(B923&lt;&gt;"", C923&lt;&gt;"", D923&lt;&gt;"", E923&lt;&gt;"", F923&lt;&gt;"", G923&lt;&gt;"", J923&lt;&gt;"", 'CONTENT PILLAR MAPPING'!C826&lt;&gt;"", 'CONTENT PILLAR MAPPING'!E826&lt;&gt;"", 'CONTENT PILLAR MAPPING'!F826&lt;&gt;"", 'CONTENT PILLAR MAPPING'!C829&lt;&gt;"", 'CONTENT PILLAR MAPPING'!C834&lt;&gt;"", 'CONTENT PILLAR MAPPING'!D834&lt;&gt;"", 'CONTENT PILLAR MAPPING'!E834&lt;&gt;"", 'CONTENT PILLAR MAPPING'!D842&lt;&gt;"", 'CONTENT PILLAR MAPPING'!D843&lt;&gt;""),
CONCATENATE(
"Sebagai seorang top konten kreator dengan niche utama '", 'CONTENT PILLAR MAPPING'!C826, "', spesifik kategori '", 'CONTENT PILLAR MAPPING'!E826, "', dan super spesifik '", 'CONTENT PILLAR MAPPING'!F826, "', yang dikenal sebagai '", 'CONTENT PILLAR MAPPING'!C829, "'.", CHAR(10),
"Saya memiliki Tone of Voice: '", 'CONTENT PILLAR MAPPING'!C834, "', Brand Archetype: '", 'CONTENT PILLAR MAPPING'!D834, "', dan Deskripsi Gaya Komunikasi: '", 'CONTENT PILLAR MAPPING'!E834, "'.", CHAR(10),
"Target audiens saya adalah: '", 'CONTENT PILLAR MAPPING'!D842, "', dengan segmentasi audiens: '", 'CONTENT PILLAR MAPPING'!D843, "'.", CHAR(10), CHAR(10),
"Mohon buatkan script konten yang **sangat powerful, menarik, inovatif, dan siap pakai** dengan judul ide '", B923, "'.", CHAR(10),
"Konten ini memiliki pilar '", C923, "', nilai tambah utama '", F923, "', dan akan menggunakan storytelling framework '", G923, "'.", CHAR(10),
"Gambaran singkat ide kontennya adalah: '", J923, "'.", CHAR(10),
"Konten ini akan diunggah di platform '", E923, "' dengan format '", D923,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MAPPING'!C829, "'.** Sesuaikan dengan gaya komunikasi saya, dengan fokus pada nilai tambah '", F923,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MAPPING'!D842, ", khusus ", 'CONTENT PILLAR MAPPING'!D843, ") dan membantu mereka menyelesaikan masalah atau mencapai tujuan mereka.", CHAR(10),
"✔ Membantuku membangun personal branding yang kuat dan sustainable, sesuai dengan Positioning saya sebagai '", 'CONTENT PILLAR MAPPING'!C829, "' dan Brand Archetype '", 'CONTENT PILLAR MAPPING'!D834, "'.", CHAR(10),
"✔ Kemas dalam bentuk tabel agar rapi, mudah di baca dan dipahami, dengan kolom 'Judul Konten', 'Pilar', 'Format', 'Draft Script', 'CTA', 'Saran Visual', dan 'Full Caption'. (Kosongkan kolom Link Prompt jika ada)."
),
"")</f>
        <v/>
      </c>
      <c r="L923" s="91" t="n"/>
      <c r="M923" s="91" t="n"/>
      <c r="N923" s="102" t="n"/>
      <c r="O923" s="102" t="n"/>
      <c r="P923" s="102" t="n"/>
      <c r="Q923" s="102" t="n"/>
      <c r="R923" s="102" t="n"/>
      <c r="S923" s="102" t="n"/>
      <c r="T923" s="102" t="n"/>
      <c r="U923" s="102" t="n"/>
      <c r="V923" s="102" t="n"/>
      <c r="W923" s="102" t="n"/>
      <c r="X923" s="102" t="n"/>
      <c r="Y923" s="102" t="n"/>
      <c r="Z923" s="102" t="n"/>
      <c r="AA923" s="102" t="n"/>
      <c r="AB923" s="102" t="n"/>
      <c r="AC923" s="102" t="n"/>
      <c r="AD923" s="102" t="n"/>
    </row>
    <row r="924" ht="15.75" customHeight="1" s="205">
      <c r="A924" s="102" t="n"/>
      <c r="B924" s="147" t="n"/>
      <c r="C924" s="144" t="n"/>
      <c r="D924" s="144" t="n"/>
      <c r="E924" s="144" t="n"/>
      <c r="F924" s="144" t="n"/>
      <c r="G924" s="144" t="n"/>
      <c r="H924" s="141">
        <f>IF(K924&lt;&gt;"", HYPERLINK("https://chatgpt.com/?prompt=" &amp; SUBSTITUTE(SUBSTITUTE(K924, " ", "+"), "&amp;", "dan") &amp; "&amp;force-refresh=true&amp;timestamp=" &amp; TEXT(NOW(), "yyyymmddhhmmss"), "👉 Klik untuk Generate Script! 🔥"), "")</f>
        <v/>
      </c>
      <c r="I924" s="144" t="n"/>
      <c r="J924" s="148" t="n"/>
      <c r="K924" s="140">
        <f>IF(AND(B924&lt;&gt;"", C924&lt;&gt;"", D924&lt;&gt;"", E924&lt;&gt;"", F924&lt;&gt;"", G924&lt;&gt;"", J924&lt;&gt;"", 'CONTENT PILLAR MAPPING'!C826&lt;&gt;"", 'CONTENT PILLAR MAPPING'!E826&lt;&gt;"", 'CONTENT PILLAR MAPPING'!F826&lt;&gt;"", 'CONTENT PILLAR MAPPING'!C829&lt;&gt;"", 'CONTENT PILLAR MAPPING'!C834&lt;&gt;"", 'CONTENT PILLAR MAPPING'!D834&lt;&gt;"", 'CONTENT PILLAR MAPPING'!E834&lt;&gt;"", 'CONTENT PILLAR MAPPING'!D842&lt;&gt;"", 'CONTENT PILLAR MAPPING'!D843&lt;&gt;""),
CONCATENATE(
"Sebagai seorang top konten kreator dengan niche utama '", 'CONTENT PILLAR MAPPING'!C826, "', spesifik kategori '", 'CONTENT PILLAR MAPPING'!E826, "', dan super spesifik '", 'CONTENT PILLAR MAPPING'!F826, "', yang dikenal sebagai '", 'CONTENT PILLAR MAPPING'!C829, "'.", CHAR(10),
"Saya memiliki Tone of Voice: '", 'CONTENT PILLAR MAPPING'!C834, "', Brand Archetype: '", 'CONTENT PILLAR MAPPING'!D834, "', dan Deskripsi Gaya Komunikasi: '", 'CONTENT PILLAR MAPPING'!E834, "'.", CHAR(10),
"Target audiens saya adalah: '", 'CONTENT PILLAR MAPPING'!D842, "', dengan segmentasi audiens: '", 'CONTENT PILLAR MAPPING'!D843, "'.", CHAR(10), CHAR(10),
"Mohon buatkan script konten yang **sangat powerful, menarik, inovatif, dan siap pakai** dengan judul ide '", B924, "'.", CHAR(10),
"Konten ini memiliki pilar '", C924, "', nilai tambah utama '", F924, "', dan akan menggunakan storytelling framework '", G924, "'.", CHAR(10),
"Gambaran singkat ide kontennya adalah: '", J924, "'.", CHAR(10),
"Konten ini akan diunggah di platform '", E924, "' dengan format '", D924,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MAPPING'!C829, "'.** Sesuaikan dengan gaya komunikasi saya, dengan fokus pada nilai tambah '", F924,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MAPPING'!D842, ", khusus ", 'CONTENT PILLAR MAPPING'!D843, ") dan membantu mereka menyelesaikan masalah atau mencapai tujuan mereka.", CHAR(10),
"✔ Membantuku membangun personal branding yang kuat dan sustainable, sesuai dengan Positioning saya sebagai '", 'CONTENT PILLAR MAPPING'!C829, "' dan Brand Archetype '", 'CONTENT PILLAR MAPPING'!D834, "'.", CHAR(10),
"✔ Kemas dalam bentuk tabel agar rapi, mudah di baca dan dipahami, dengan kolom 'Judul Konten', 'Pilar', 'Format', 'Draft Script', 'CTA', 'Saran Visual', dan 'Full Caption'. (Kosongkan kolom Link Prompt jika ada)."
),
"")</f>
        <v/>
      </c>
      <c r="L924" s="199" t="n"/>
      <c r="M924" s="199" t="n"/>
      <c r="N924" s="102" t="n"/>
      <c r="O924" s="102" t="n"/>
      <c r="P924" s="102" t="n"/>
      <c r="Q924" s="102" t="n"/>
      <c r="R924" s="102" t="n"/>
      <c r="S924" s="102" t="n"/>
      <c r="T924" s="102" t="n"/>
      <c r="U924" s="102" t="n"/>
      <c r="V924" s="102" t="n"/>
      <c r="W924" s="102" t="n"/>
      <c r="X924" s="102" t="n"/>
      <c r="Y924" s="102" t="n"/>
      <c r="Z924" s="102" t="n"/>
      <c r="AA924" s="102" t="n"/>
      <c r="AB924" s="102" t="n"/>
      <c r="AC924" s="102" t="n"/>
      <c r="AD924" s="102" t="n"/>
    </row>
    <row r="925" ht="15.75" customHeight="1" s="205">
      <c r="A925" s="102" t="n"/>
      <c r="B925" s="142" t="n"/>
      <c r="C925" s="143" t="n"/>
      <c r="D925" s="143" t="n"/>
      <c r="E925" s="143" t="n"/>
      <c r="F925" s="143" t="n"/>
      <c r="G925" s="144" t="n"/>
      <c r="H925" s="145">
        <f>IF(K925&lt;&gt;"", HYPERLINK("https://chatgpt.com/?prompt=" &amp; SUBSTITUTE(SUBSTITUTE(K925, " ", "+"), "&amp;", "dan") &amp; "&amp;force-refresh=true&amp;timestamp=" &amp; TEXT(NOW(), "yyyymmddhhmmss"), "👉 Klik untuk Generate Script! 🔥"), "")</f>
        <v/>
      </c>
      <c r="I925" s="143" t="n"/>
      <c r="J925" s="146" t="n"/>
      <c r="K925" s="130">
        <f>IF(AND(B925&lt;&gt;"", C925&lt;&gt;"", D925&lt;&gt;"", E925&lt;&gt;"", F925&lt;&gt;"", G925&lt;&gt;"", J925&lt;&gt;"", 'CONTENT PILLAR MAPPING'!C828&lt;&gt;"", 'CONTENT PILLAR MAPPING'!E828&lt;&gt;"", 'CONTENT PILLAR MAPPING'!F828&lt;&gt;"", 'CONTENT PILLAR MAPPING'!C831&lt;&gt;"", 'CONTENT PILLAR MAPPING'!C836&lt;&gt;"", 'CONTENT PILLAR MAPPING'!D836&lt;&gt;"", 'CONTENT PILLAR MAPPING'!E836&lt;&gt;"", 'CONTENT PILLAR MAPPING'!D844&lt;&gt;"", 'CONTENT PILLAR MAPPING'!D845&lt;&gt;""),
CONCATENATE(
"Sebagai seorang top konten kreator dengan niche utama '", 'CONTENT PILLAR MAPPING'!C828, "', spesifik kategori '", 'CONTENT PILLAR MAPPING'!E828, "', dan super spesifik '", 'CONTENT PILLAR MAPPING'!F828, "', yang dikenal sebagai '", 'CONTENT PILLAR MAPPING'!C831, "'.", CHAR(10),
"Saya memiliki Tone of Voice: '", 'CONTENT PILLAR MAPPING'!C836, "', Brand Archetype: '", 'CONTENT PILLAR MAPPING'!D836, "', dan Deskripsi Gaya Komunikasi: '", 'CONTENT PILLAR MAPPING'!E836, "'.", CHAR(10),
"Target audiens saya adalah: '", 'CONTENT PILLAR MAPPING'!D844, "', dengan segmentasi audiens: '", 'CONTENT PILLAR MAPPING'!D845, "'.", CHAR(10), CHAR(10),
"Mohon buatkan script konten yang **sangat powerful, menarik, inovatif, dan siap pakai** dengan judul ide '", B925, "'.", CHAR(10),
"Konten ini memiliki pilar '", C925, "', nilai tambah utama '", F925, "', dan akan menggunakan storytelling framework '", G925, "'.", CHAR(10),
"Gambaran singkat ide kontennya adalah: '", J925, "'.", CHAR(10),
"Konten ini akan diunggah di platform '", E925, "' dengan format '", D925,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MAPPING'!C831, "'.** Sesuaikan dengan gaya komunikasi saya, dengan fokus pada nilai tambah '", F925,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MAPPING'!D844, ", khusus ", 'CONTENT PILLAR MAPPING'!D845, ") dan membantu mereka menyelesaikan masalah atau mencapai tujuan mereka.", CHAR(10),
"✔ Membantuku membangun personal branding yang kuat dan sustainable, sesuai dengan Positioning saya sebagai '", 'CONTENT PILLAR MAPPING'!C831, "' dan Brand Archetype '", 'CONTENT PILLAR MAPPING'!D836, "'.", CHAR(10),
"✔ Kemas dalam bentuk tabel agar rapi, mudah di baca dan dipahami, dengan kolom 'Judul Konten', 'Pilar', 'Format', 'Draft Script', 'CTA', 'Saran Visual', dan 'Full Caption'. (Kosongkan kolom Link Prompt jika ada)."
),
"")</f>
        <v/>
      </c>
      <c r="L925" s="91" t="n"/>
      <c r="M925" s="91" t="n"/>
      <c r="N925" s="102" t="n"/>
      <c r="O925" s="102" t="n"/>
      <c r="P925" s="102" t="n"/>
      <c r="Q925" s="102" t="n"/>
      <c r="R925" s="102" t="n"/>
      <c r="S925" s="102" t="n"/>
      <c r="T925" s="102" t="n"/>
      <c r="U925" s="102" t="n"/>
      <c r="V925" s="102" t="n"/>
      <c r="W925" s="102" t="n"/>
      <c r="X925" s="102" t="n"/>
      <c r="Y925" s="102" t="n"/>
      <c r="Z925" s="102" t="n"/>
      <c r="AA925" s="102" t="n"/>
      <c r="AB925" s="102" t="n"/>
      <c r="AC925" s="102" t="n"/>
      <c r="AD925" s="102" t="n"/>
    </row>
    <row r="926" ht="15.75" customHeight="1" s="205">
      <c r="A926" s="102" t="n"/>
      <c r="B926" s="147" t="n"/>
      <c r="C926" s="144" t="n"/>
      <c r="D926" s="144" t="n"/>
      <c r="E926" s="144" t="n"/>
      <c r="F926" s="144" t="n"/>
      <c r="G926" s="144" t="n"/>
      <c r="H926" s="141">
        <f>IF(K926&lt;&gt;"", HYPERLINK("https://chatgpt.com/?prompt=" &amp; SUBSTITUTE(SUBSTITUTE(K926, " ", "+"), "&amp;", "dan") &amp; "&amp;force-refresh=true&amp;timestamp=" &amp; TEXT(NOW(), "yyyymmddhhmmss"), "👉 Klik untuk Generate Script! 🔥"), "")</f>
        <v/>
      </c>
      <c r="I926" s="144" t="n"/>
      <c r="J926" s="148" t="n"/>
      <c r="K926" s="140">
        <f>IF(AND(B926&lt;&gt;"", C926&lt;&gt;"", D926&lt;&gt;"", E926&lt;&gt;"", F926&lt;&gt;"", G926&lt;&gt;"", J926&lt;&gt;"", 'CONTENT PILLAR MAPPING'!C828&lt;&gt;"", 'CONTENT PILLAR MAPPING'!E828&lt;&gt;"", 'CONTENT PILLAR MAPPING'!F828&lt;&gt;"", 'CONTENT PILLAR MAPPING'!C831&lt;&gt;"", 'CONTENT PILLAR MAPPING'!C836&lt;&gt;"", 'CONTENT PILLAR MAPPING'!D836&lt;&gt;"", 'CONTENT PILLAR MAPPING'!E836&lt;&gt;"", 'CONTENT PILLAR MAPPING'!D844&lt;&gt;"", 'CONTENT PILLAR MAPPING'!D845&lt;&gt;""),
CONCATENATE(
"Sebagai seorang top konten kreator dengan niche utama '", 'CONTENT PILLAR MAPPING'!C828, "', spesifik kategori '", 'CONTENT PILLAR MAPPING'!E828, "', dan super spesifik '", 'CONTENT PILLAR MAPPING'!F828, "', yang dikenal sebagai '", 'CONTENT PILLAR MAPPING'!C831, "'.", CHAR(10),
"Saya memiliki Tone of Voice: '", 'CONTENT PILLAR MAPPING'!C836, "', Brand Archetype: '", 'CONTENT PILLAR MAPPING'!D836, "', dan Deskripsi Gaya Komunikasi: '", 'CONTENT PILLAR MAPPING'!E836, "'.", CHAR(10),
"Target audiens saya adalah: '", 'CONTENT PILLAR MAPPING'!D844, "', dengan segmentasi audiens: '", 'CONTENT PILLAR MAPPING'!D845, "'.", CHAR(10), CHAR(10),
"Mohon buatkan script konten yang **sangat powerful, menarik, inovatif, dan siap pakai** dengan judul ide '", B926, "'.", CHAR(10),
"Konten ini memiliki pilar '", C926, "', nilai tambah utama '", F926, "', dan akan menggunakan storytelling framework '", G926, "'.", CHAR(10),
"Gambaran singkat ide kontennya adalah: '", J926, "'.", CHAR(10),
"Konten ini akan diunggah di platform '", E926, "' dengan format '", D926,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MAPPING'!C831, "'.** Sesuaikan dengan gaya komunikasi saya, dengan fokus pada nilai tambah '", F926,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MAPPING'!D844, ", khusus ", 'CONTENT PILLAR MAPPING'!D845, ") dan membantu mereka menyelesaikan masalah atau mencapai tujuan mereka.", CHAR(10),
"✔ Membantuku membangun personal branding yang kuat dan sustainable, sesuai dengan Positioning saya sebagai '", 'CONTENT PILLAR MAPPING'!C831, "' dan Brand Archetype '", 'CONTENT PILLAR MAPPING'!D836, "'.", CHAR(10),
"✔ Kemas dalam bentuk tabel agar rapi, mudah di baca dan dipahami, dengan kolom 'Judul Konten', 'Pilar', 'Format', 'Draft Script', 'CTA', 'Saran Visual', dan 'Full Caption'. (Kosongkan kolom Link Prompt jika ada)."
),
"")</f>
        <v/>
      </c>
      <c r="L926" s="199" t="n"/>
      <c r="M926" s="199" t="n"/>
      <c r="N926" s="102" t="n"/>
      <c r="O926" s="102" t="n"/>
      <c r="P926" s="102" t="n"/>
      <c r="Q926" s="102" t="n"/>
      <c r="R926" s="102" t="n"/>
      <c r="S926" s="102" t="n"/>
      <c r="T926" s="102" t="n"/>
      <c r="U926" s="102" t="n"/>
      <c r="V926" s="102" t="n"/>
      <c r="W926" s="102" t="n"/>
      <c r="X926" s="102" t="n"/>
      <c r="Y926" s="102" t="n"/>
      <c r="Z926" s="102" t="n"/>
      <c r="AA926" s="102" t="n"/>
      <c r="AB926" s="102" t="n"/>
      <c r="AC926" s="102" t="n"/>
      <c r="AD926" s="102" t="n"/>
    </row>
    <row r="927" ht="15.75" customHeight="1" s="205">
      <c r="A927" s="102" t="n"/>
      <c r="B927" s="142" t="n"/>
      <c r="C927" s="143" t="n"/>
      <c r="D927" s="143" t="n"/>
      <c r="E927" s="143" t="n"/>
      <c r="F927" s="143" t="n"/>
      <c r="G927" s="144" t="n"/>
      <c r="H927" s="145">
        <f>IF(K927&lt;&gt;"", HYPERLINK("https://chatgpt.com/?prompt=" &amp; SUBSTITUTE(SUBSTITUTE(K927, " ", "+"), "&amp;", "dan") &amp; "&amp;force-refresh=true&amp;timestamp=" &amp; TEXT(NOW(), "yyyymmddhhmmss"), "👉 Klik untuk Generate Script! 🔥"), "")</f>
        <v/>
      </c>
      <c r="I927" s="143" t="n"/>
      <c r="J927" s="146" t="n"/>
      <c r="K927" s="130">
        <f>IF(AND(B927&lt;&gt;"", C927&lt;&gt;"", D927&lt;&gt;"", E927&lt;&gt;"", F927&lt;&gt;"", G927&lt;&gt;"", J927&lt;&gt;"", 'CONTENT PILLAR MAPPING'!C830&lt;&gt;"", 'CONTENT PILLAR MAPPING'!E830&lt;&gt;"", 'CONTENT PILLAR MAPPING'!F830&lt;&gt;"", 'CONTENT PILLAR MAPPING'!C833&lt;&gt;"", 'CONTENT PILLAR MAPPING'!C838&lt;&gt;"", 'CONTENT PILLAR MAPPING'!D838&lt;&gt;"", 'CONTENT PILLAR MAPPING'!E838&lt;&gt;"", 'CONTENT PILLAR MAPPING'!D846&lt;&gt;"", 'CONTENT PILLAR MAPPING'!D847&lt;&gt;""),
CONCATENATE(
"Sebagai seorang top konten kreator dengan niche utama '", 'CONTENT PILLAR MAPPING'!C830, "', spesifik kategori '", 'CONTENT PILLAR MAPPING'!E830, "', dan super spesifik '", 'CONTENT PILLAR MAPPING'!F830, "', yang dikenal sebagai '", 'CONTENT PILLAR MAPPING'!C833, "'.", CHAR(10),
"Saya memiliki Tone of Voice: '", 'CONTENT PILLAR MAPPING'!C838, "', Brand Archetype: '", 'CONTENT PILLAR MAPPING'!D838, "', dan Deskripsi Gaya Komunikasi: '", 'CONTENT PILLAR MAPPING'!E838, "'.", CHAR(10),
"Target audiens saya adalah: '", 'CONTENT PILLAR MAPPING'!D846, "', dengan segmentasi audiens: '", 'CONTENT PILLAR MAPPING'!D847, "'.", CHAR(10), CHAR(10),
"Mohon buatkan script konten yang **sangat powerful, menarik, inovatif, dan siap pakai** dengan judul ide '", B927, "'.", CHAR(10),
"Konten ini memiliki pilar '", C927, "', nilai tambah utama '", F927, "', dan akan menggunakan storytelling framework '", G927, "'.", CHAR(10),
"Gambaran singkat ide kontennya adalah: '", J927, "'.", CHAR(10),
"Konten ini akan diunggah di platform '", E927, "' dengan format '", D927,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MAPPING'!C833, "'.** Sesuaikan dengan gaya komunikasi saya, dengan fokus pada nilai tambah '", F927,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MAPPING'!D846, ", khusus ", 'CONTENT PILLAR MAPPING'!D847, ") dan membantu mereka menyelesaikan masalah atau mencapai tujuan mereka.", CHAR(10),
"✔ Membantuku membangun personal branding yang kuat dan sustainable, sesuai dengan Positioning saya sebagai '", 'CONTENT PILLAR MAPPING'!C833, "' dan Brand Archetype '", 'CONTENT PILLAR MAPPING'!D838, "'.", CHAR(10),
"✔ Kemas dalam bentuk tabel agar rapi, mudah di baca dan dipahami, dengan kolom 'Judul Konten', 'Pilar', 'Format', 'Draft Script', 'CTA', 'Saran Visual', dan 'Full Caption'. (Kosongkan kolom Link Prompt jika ada)."
),
"")</f>
        <v/>
      </c>
      <c r="L927" s="91" t="n"/>
      <c r="M927" s="91" t="n"/>
      <c r="N927" s="102" t="n"/>
      <c r="O927" s="102" t="n"/>
      <c r="P927" s="102" t="n"/>
      <c r="Q927" s="102" t="n"/>
      <c r="R927" s="102" t="n"/>
      <c r="S927" s="102" t="n"/>
      <c r="T927" s="102" t="n"/>
      <c r="U927" s="102" t="n"/>
      <c r="V927" s="102" t="n"/>
      <c r="W927" s="102" t="n"/>
      <c r="X927" s="102" t="n"/>
      <c r="Y927" s="102" t="n"/>
      <c r="Z927" s="102" t="n"/>
      <c r="AA927" s="102" t="n"/>
      <c r="AB927" s="102" t="n"/>
      <c r="AC927" s="102" t="n"/>
      <c r="AD927" s="102" t="n"/>
    </row>
    <row r="928" ht="15.75" customHeight="1" s="205">
      <c r="A928" s="102" t="n"/>
      <c r="B928" s="147" t="n"/>
      <c r="C928" s="144" t="n"/>
      <c r="D928" s="144" t="n"/>
      <c r="E928" s="144" t="n"/>
      <c r="F928" s="144" t="n"/>
      <c r="G928" s="144" t="n"/>
      <c r="H928" s="141">
        <f>IF(K928&lt;&gt;"", HYPERLINK("https://chatgpt.com/?prompt=" &amp; SUBSTITUTE(SUBSTITUTE(K928, " ", "+"), "&amp;", "dan") &amp; "&amp;force-refresh=true&amp;timestamp=" &amp; TEXT(NOW(), "yyyymmddhhmmss"), "👉 Klik untuk Generate Script! 🔥"), "")</f>
        <v/>
      </c>
      <c r="I928" s="144" t="n"/>
      <c r="J928" s="148" t="n"/>
      <c r="K928" s="140">
        <f>IF(AND(B928&lt;&gt;"", C928&lt;&gt;"", D928&lt;&gt;"", E928&lt;&gt;"", F928&lt;&gt;"", G928&lt;&gt;"", J928&lt;&gt;"", 'CONTENT PILLAR MAPPING'!C830&lt;&gt;"", 'CONTENT PILLAR MAPPING'!E830&lt;&gt;"", 'CONTENT PILLAR MAPPING'!F830&lt;&gt;"", 'CONTENT PILLAR MAPPING'!C833&lt;&gt;"", 'CONTENT PILLAR MAPPING'!C838&lt;&gt;"", 'CONTENT PILLAR MAPPING'!D838&lt;&gt;"", 'CONTENT PILLAR MAPPING'!E838&lt;&gt;"", 'CONTENT PILLAR MAPPING'!D846&lt;&gt;"", 'CONTENT PILLAR MAPPING'!D847&lt;&gt;""),
CONCATENATE(
"Sebagai seorang top konten kreator dengan niche utama '", 'CONTENT PILLAR MAPPING'!C830, "', spesifik kategori '", 'CONTENT PILLAR MAPPING'!E830, "', dan super spesifik '", 'CONTENT PILLAR MAPPING'!F830, "', yang dikenal sebagai '", 'CONTENT PILLAR MAPPING'!C833, "'.", CHAR(10),
"Saya memiliki Tone of Voice: '", 'CONTENT PILLAR MAPPING'!C838, "', Brand Archetype: '", 'CONTENT PILLAR MAPPING'!D838, "', dan Deskripsi Gaya Komunikasi: '", 'CONTENT PILLAR MAPPING'!E838, "'.", CHAR(10),
"Target audiens saya adalah: '", 'CONTENT PILLAR MAPPING'!D846, "', dengan segmentasi audiens: '", 'CONTENT PILLAR MAPPING'!D847, "'.", CHAR(10), CHAR(10),
"Mohon buatkan script konten yang **sangat powerful, menarik, inovatif, dan siap pakai** dengan judul ide '", B928, "'.", CHAR(10),
"Konten ini memiliki pilar '", C928, "', nilai tambah utama '", F928, "', dan akan menggunakan storytelling framework '", G928, "'.", CHAR(10),
"Gambaran singkat ide kontennya adalah: '", J928, "'.", CHAR(10),
"Konten ini akan diunggah di platform '", E928, "' dengan format '", D928,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MAPPING'!C833, "'.** Sesuaikan dengan gaya komunikasi saya, dengan fokus pada nilai tambah '", F928,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MAPPING'!D846, ", khusus ", 'CONTENT PILLAR MAPPING'!D847, ") dan membantu mereka menyelesaikan masalah atau mencapai tujuan mereka.", CHAR(10),
"✔ Membantuku membangun personal branding yang kuat dan sustainable, sesuai dengan Positioning saya sebagai '", 'CONTENT PILLAR MAPPING'!C833, "' dan Brand Archetype '", 'CONTENT PILLAR MAPPING'!D838, "'.", CHAR(10),
"✔ Kemas dalam bentuk tabel agar rapi, mudah di baca dan dipahami, dengan kolom 'Judul Konten', 'Pilar', 'Format', 'Draft Script', 'CTA', 'Saran Visual', dan 'Full Caption'. (Kosongkan kolom Link Prompt jika ada)."
),
"")</f>
        <v/>
      </c>
      <c r="L928" s="199" t="n"/>
      <c r="M928" s="199" t="n"/>
      <c r="N928" s="102" t="n"/>
      <c r="O928" s="102" t="n"/>
      <c r="P928" s="102" t="n"/>
      <c r="Q928" s="102" t="n"/>
      <c r="R928" s="102" t="n"/>
      <c r="S928" s="102" t="n"/>
      <c r="T928" s="102" t="n"/>
      <c r="U928" s="102" t="n"/>
      <c r="V928" s="102" t="n"/>
      <c r="W928" s="102" t="n"/>
      <c r="X928" s="102" t="n"/>
      <c r="Y928" s="102" t="n"/>
      <c r="Z928" s="102" t="n"/>
      <c r="AA928" s="102" t="n"/>
      <c r="AB928" s="102" t="n"/>
      <c r="AC928" s="102" t="n"/>
      <c r="AD928" s="102" t="n"/>
    </row>
    <row r="929" ht="15.75" customHeight="1" s="205">
      <c r="A929" s="102" t="n"/>
      <c r="B929" s="142" t="n"/>
      <c r="C929" s="143" t="n"/>
      <c r="D929" s="143" t="n"/>
      <c r="E929" s="143" t="n"/>
      <c r="F929" s="143" t="n"/>
      <c r="G929" s="144" t="n"/>
      <c r="H929" s="145">
        <f>IF(K929&lt;&gt;"", HYPERLINK("https://chatgpt.com/?prompt=" &amp; SUBSTITUTE(SUBSTITUTE(K929, " ", "+"), "&amp;", "dan") &amp; "&amp;force-refresh=true&amp;timestamp=" &amp; TEXT(NOW(), "yyyymmddhhmmss"), "👉 Klik untuk Generate Script! 🔥"), "")</f>
        <v/>
      </c>
      <c r="I929" s="143" t="n"/>
      <c r="J929" s="146" t="n"/>
      <c r="K929" s="130">
        <f>IF(AND(B929&lt;&gt;"", C929&lt;&gt;"", D929&lt;&gt;"", E929&lt;&gt;"", F929&lt;&gt;"", G929&lt;&gt;"", J929&lt;&gt;"", 'CONTENT PILLAR MAPPING'!C832&lt;&gt;"", 'CONTENT PILLAR MAPPING'!E832&lt;&gt;"", 'CONTENT PILLAR MAPPING'!F832&lt;&gt;"", 'CONTENT PILLAR MAPPING'!C835&lt;&gt;"", 'CONTENT PILLAR MAPPING'!C840&lt;&gt;"", 'CONTENT PILLAR MAPPING'!D840&lt;&gt;"", 'CONTENT PILLAR MAPPING'!E840&lt;&gt;"", 'CONTENT PILLAR MAPPING'!D848&lt;&gt;"", 'CONTENT PILLAR MAPPING'!D849&lt;&gt;""),
CONCATENATE(
"Sebagai seorang top konten kreator dengan niche utama '", 'CONTENT PILLAR MAPPING'!C832, "', spesifik kategori '", 'CONTENT PILLAR MAPPING'!E832, "', dan super spesifik '", 'CONTENT PILLAR MAPPING'!F832, "', yang dikenal sebagai '", 'CONTENT PILLAR MAPPING'!C835, "'.", CHAR(10),
"Saya memiliki Tone of Voice: '", 'CONTENT PILLAR MAPPING'!C840, "', Brand Archetype: '", 'CONTENT PILLAR MAPPING'!D840, "', dan Deskripsi Gaya Komunikasi: '", 'CONTENT PILLAR MAPPING'!E840, "'.", CHAR(10),
"Target audiens saya adalah: '", 'CONTENT PILLAR MAPPING'!D848, "', dengan segmentasi audiens: '", 'CONTENT PILLAR MAPPING'!D849, "'.", CHAR(10), CHAR(10),
"Mohon buatkan script konten yang **sangat powerful, menarik, inovatif, dan siap pakai** dengan judul ide '", B929, "'.", CHAR(10),
"Konten ini memiliki pilar '", C929, "', nilai tambah utama '", F929, "', dan akan menggunakan storytelling framework '", G929, "'.", CHAR(10),
"Gambaran singkat ide kontennya adalah: '", J929, "'.", CHAR(10),
"Konten ini akan diunggah di platform '", E929, "' dengan format '", D929,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MAPPING'!C835, "'.** Sesuaikan dengan gaya komunikasi saya, dengan fokus pada nilai tambah '", F929,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MAPPING'!D848, ", khusus ", 'CONTENT PILLAR MAPPING'!D849, ") dan membantu mereka menyelesaikan masalah atau mencapai tujuan mereka.", CHAR(10),
"✔ Membantuku membangun personal branding yang kuat dan sustainable, sesuai dengan Positioning saya sebagai '", 'CONTENT PILLAR MAPPING'!C835, "' dan Brand Archetype '", 'CONTENT PILLAR MAPPING'!D840, "'.", CHAR(10),
"✔ Kemas dalam bentuk tabel agar rapi, mudah di baca dan dipahami, dengan kolom 'Judul Konten', 'Pilar', 'Format', 'Draft Script', 'CTA', 'Saran Visual', dan 'Full Caption'. (Kosongkan kolom Link Prompt jika ada)."
),
"")</f>
        <v/>
      </c>
      <c r="L929" s="91" t="n"/>
      <c r="M929" s="91" t="n"/>
      <c r="N929" s="102" t="n"/>
      <c r="O929" s="102" t="n"/>
      <c r="P929" s="102" t="n"/>
      <c r="Q929" s="102" t="n"/>
      <c r="R929" s="102" t="n"/>
      <c r="S929" s="102" t="n"/>
      <c r="T929" s="102" t="n"/>
      <c r="U929" s="102" t="n"/>
      <c r="V929" s="102" t="n"/>
      <c r="W929" s="102" t="n"/>
      <c r="X929" s="102" t="n"/>
      <c r="Y929" s="102" t="n"/>
      <c r="Z929" s="102" t="n"/>
      <c r="AA929" s="102" t="n"/>
      <c r="AB929" s="102" t="n"/>
      <c r="AC929" s="102" t="n"/>
      <c r="AD929" s="102" t="n"/>
    </row>
    <row r="930" ht="15.75" customHeight="1" s="205">
      <c r="A930" s="102" t="n"/>
      <c r="B930" s="147" t="n"/>
      <c r="C930" s="144" t="n"/>
      <c r="D930" s="144" t="n"/>
      <c r="E930" s="144" t="n"/>
      <c r="F930" s="144" t="n"/>
      <c r="G930" s="144" t="n"/>
      <c r="H930" s="141">
        <f>IF(K930&lt;&gt;"", HYPERLINK("https://chatgpt.com/?prompt=" &amp; SUBSTITUTE(SUBSTITUTE(K930, " ", "+"), "&amp;", "dan") &amp; "&amp;force-refresh=true&amp;timestamp=" &amp; TEXT(NOW(), "yyyymmddhhmmss"), "👉 Klik untuk Generate Script! 🔥"), "")</f>
        <v/>
      </c>
      <c r="I930" s="144" t="n"/>
      <c r="J930" s="148" t="n"/>
      <c r="K930" s="140">
        <f>IF(AND(B930&lt;&gt;"", C930&lt;&gt;"", D930&lt;&gt;"", E930&lt;&gt;"", F930&lt;&gt;"", G930&lt;&gt;"", J930&lt;&gt;"", 'CONTENT PILLAR MAPPING'!C832&lt;&gt;"", 'CONTENT PILLAR MAPPING'!E832&lt;&gt;"", 'CONTENT PILLAR MAPPING'!F832&lt;&gt;"", 'CONTENT PILLAR MAPPING'!C835&lt;&gt;"", 'CONTENT PILLAR MAPPING'!C840&lt;&gt;"", 'CONTENT PILLAR MAPPING'!D840&lt;&gt;"", 'CONTENT PILLAR MAPPING'!E840&lt;&gt;"", 'CONTENT PILLAR MAPPING'!D848&lt;&gt;"", 'CONTENT PILLAR MAPPING'!D849&lt;&gt;""),
CONCATENATE(
"Sebagai seorang top konten kreator dengan niche utama '", 'CONTENT PILLAR MAPPING'!C832, "', spesifik kategori '", 'CONTENT PILLAR MAPPING'!E832, "', dan super spesifik '", 'CONTENT PILLAR MAPPING'!F832, "', yang dikenal sebagai '", 'CONTENT PILLAR MAPPING'!C835, "'.", CHAR(10),
"Saya memiliki Tone of Voice: '", 'CONTENT PILLAR MAPPING'!C840, "', Brand Archetype: '", 'CONTENT PILLAR MAPPING'!D840, "', dan Deskripsi Gaya Komunikasi: '", 'CONTENT PILLAR MAPPING'!E840, "'.", CHAR(10),
"Target audiens saya adalah: '", 'CONTENT PILLAR MAPPING'!D848, "', dengan segmentasi audiens: '", 'CONTENT PILLAR MAPPING'!D849, "'.", CHAR(10), CHAR(10),
"Mohon buatkan script konten yang **sangat powerful, menarik, inovatif, dan siap pakai** dengan judul ide '", B930, "'.", CHAR(10),
"Konten ini memiliki pilar '", C930, "', nilai tambah utama '", F930, "', dan akan menggunakan storytelling framework '", G930, "'.", CHAR(10),
"Gambaran singkat ide kontennya adalah: '", J930, "'.", CHAR(10),
"Konten ini akan diunggah di platform '", E930, "' dengan format '", D930,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MAPPING'!C835, "'.** Sesuaikan dengan gaya komunikasi saya, dengan fokus pada nilai tambah '", F930,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MAPPING'!D848, ", khusus ", 'CONTENT PILLAR MAPPING'!D849, ") dan membantu mereka menyelesaikan masalah atau mencapai tujuan mereka.", CHAR(10),
"✔ Membantuku membangun personal branding yang kuat dan sustainable, sesuai dengan Positioning saya sebagai '", 'CONTENT PILLAR MAPPING'!C835, "' dan Brand Archetype '", 'CONTENT PILLAR MAPPING'!D840, "'.", CHAR(10),
"✔ Kemas dalam bentuk tabel agar rapi, mudah di baca dan dipahami, dengan kolom 'Judul Konten', 'Pilar', 'Format', 'Draft Script', 'CTA', 'Saran Visual', dan 'Full Caption'. (Kosongkan kolom Link Prompt jika ada)."
),
"")</f>
        <v/>
      </c>
      <c r="L930" s="199" t="n"/>
      <c r="M930" s="199" t="n"/>
      <c r="N930" s="102" t="n"/>
      <c r="O930" s="102" t="n"/>
      <c r="P930" s="102" t="n"/>
      <c r="Q930" s="102" t="n"/>
      <c r="R930" s="102" t="n"/>
      <c r="S930" s="102" t="n"/>
      <c r="T930" s="102" t="n"/>
      <c r="U930" s="102" t="n"/>
      <c r="V930" s="102" t="n"/>
      <c r="W930" s="102" t="n"/>
      <c r="X930" s="102" t="n"/>
      <c r="Y930" s="102" t="n"/>
      <c r="Z930" s="102" t="n"/>
      <c r="AA930" s="102" t="n"/>
      <c r="AB930" s="102" t="n"/>
      <c r="AC930" s="102" t="n"/>
      <c r="AD930" s="102" t="n"/>
    </row>
    <row r="931" ht="15.75" customHeight="1" s="205">
      <c r="A931" s="102" t="n"/>
      <c r="B931" s="142" t="n"/>
      <c r="C931" s="143" t="n"/>
      <c r="D931" s="143" t="n"/>
      <c r="E931" s="143" t="n"/>
      <c r="F931" s="143" t="n"/>
      <c r="G931" s="144" t="n"/>
      <c r="H931" s="145">
        <f>IF(K931&lt;&gt;"", HYPERLINK("https://chatgpt.com/?prompt=" &amp; SUBSTITUTE(SUBSTITUTE(K931, " ", "+"), "&amp;", "dan") &amp; "&amp;force-refresh=true&amp;timestamp=" &amp; TEXT(NOW(), "yyyymmddhhmmss"), "👉 Klik untuk Generate Script! 🔥"), "")</f>
        <v/>
      </c>
      <c r="I931" s="143" t="n"/>
      <c r="J931" s="146" t="n"/>
      <c r="K931" s="130">
        <f>IF(AND(B931&lt;&gt;"", C931&lt;&gt;"", D931&lt;&gt;"", E931&lt;&gt;"", F931&lt;&gt;"", G931&lt;&gt;"", J931&lt;&gt;"", 'CONTENT PILLAR MAPPING'!C834&lt;&gt;"", 'CONTENT PILLAR MAPPING'!E834&lt;&gt;"", 'CONTENT PILLAR MAPPING'!F834&lt;&gt;"", 'CONTENT PILLAR MAPPING'!C837&lt;&gt;"", 'CONTENT PILLAR MAPPING'!C842&lt;&gt;"", 'CONTENT PILLAR MAPPING'!D842&lt;&gt;"", 'CONTENT PILLAR MAPPING'!E842&lt;&gt;"", 'CONTENT PILLAR MAPPING'!D850&lt;&gt;"", 'CONTENT PILLAR MAPPING'!D851&lt;&gt;""),
CONCATENATE(
"Sebagai seorang top konten kreator dengan niche utama '", 'CONTENT PILLAR MAPPING'!C834, "', spesifik kategori '", 'CONTENT PILLAR MAPPING'!E834, "', dan super spesifik '", 'CONTENT PILLAR MAPPING'!F834, "', yang dikenal sebagai '", 'CONTENT PILLAR MAPPING'!C837, "'.", CHAR(10),
"Saya memiliki Tone of Voice: '", 'CONTENT PILLAR MAPPING'!C842, "', Brand Archetype: '", 'CONTENT PILLAR MAPPING'!D842, "', dan Deskripsi Gaya Komunikasi: '", 'CONTENT PILLAR MAPPING'!E842, "'.", CHAR(10),
"Target audiens saya adalah: '", 'CONTENT PILLAR MAPPING'!D850, "', dengan segmentasi audiens: '", 'CONTENT PILLAR MAPPING'!D851, "'.", CHAR(10), CHAR(10),
"Mohon buatkan script konten yang **sangat powerful, menarik, inovatif, dan siap pakai** dengan judul ide '", B931, "'.", CHAR(10),
"Konten ini memiliki pilar '", C931, "', nilai tambah utama '", F931, "', dan akan menggunakan storytelling framework '", G931, "'.", CHAR(10),
"Gambaran singkat ide kontennya adalah: '", J931, "'.", CHAR(10),
"Konten ini akan diunggah di platform '", E931, "' dengan format '", D931,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MAPPING'!C837, "'.** Sesuaikan dengan gaya komunikasi saya, dengan fokus pada nilai tambah '", F931,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MAPPING'!D850, ", khusus ", 'CONTENT PILLAR MAPPING'!D851, ") dan membantu mereka menyelesaikan masalah atau mencapai tujuan mereka.", CHAR(10),
"✔ Membantuku membangun personal branding yang kuat dan sustainable, sesuai dengan Positioning saya sebagai '", 'CONTENT PILLAR MAPPING'!C837, "' dan Brand Archetype '", 'CONTENT PILLAR MAPPING'!D842, "'.", CHAR(10),
"✔ Kemas dalam bentuk tabel agar rapi, mudah di baca dan dipahami, dengan kolom 'Judul Konten', 'Pilar', 'Format', 'Draft Script', 'CTA', 'Saran Visual', dan 'Full Caption'. (Kosongkan kolom Link Prompt jika ada)."
),
"")</f>
        <v/>
      </c>
      <c r="L931" s="91" t="n"/>
      <c r="M931" s="91" t="n"/>
      <c r="N931" s="102" t="n"/>
      <c r="O931" s="102" t="n"/>
      <c r="P931" s="102" t="n"/>
      <c r="Q931" s="102" t="n"/>
      <c r="R931" s="102" t="n"/>
      <c r="S931" s="102" t="n"/>
      <c r="T931" s="102" t="n"/>
      <c r="U931" s="102" t="n"/>
      <c r="V931" s="102" t="n"/>
      <c r="W931" s="102" t="n"/>
      <c r="X931" s="102" t="n"/>
      <c r="Y931" s="102" t="n"/>
      <c r="Z931" s="102" t="n"/>
      <c r="AA931" s="102" t="n"/>
      <c r="AB931" s="102" t="n"/>
      <c r="AC931" s="102" t="n"/>
      <c r="AD931" s="102" t="n"/>
    </row>
    <row r="932" ht="15.75" customHeight="1" s="205">
      <c r="A932" s="102" t="n"/>
      <c r="B932" s="147" t="n"/>
      <c r="C932" s="144" t="n"/>
      <c r="D932" s="144" t="n"/>
      <c r="E932" s="144" t="n"/>
      <c r="F932" s="144" t="n"/>
      <c r="G932" s="144" t="n"/>
      <c r="H932" s="141">
        <f>IF(K932&lt;&gt;"", HYPERLINK("https://chatgpt.com/?prompt=" &amp; SUBSTITUTE(SUBSTITUTE(K932, " ", "+"), "&amp;", "dan") &amp; "&amp;force-refresh=true&amp;timestamp=" &amp; TEXT(NOW(), "yyyymmddhhmmss"), "👉 Klik untuk Generate Script! 🔥"), "")</f>
        <v/>
      </c>
      <c r="I932" s="144" t="n"/>
      <c r="J932" s="148" t="n"/>
      <c r="K932" s="140">
        <f>IF(AND(B932&lt;&gt;"", C932&lt;&gt;"", D932&lt;&gt;"", E932&lt;&gt;"", F932&lt;&gt;"", G932&lt;&gt;"", J932&lt;&gt;"", 'CONTENT PILLAR MAPPING'!C834&lt;&gt;"", 'CONTENT PILLAR MAPPING'!E834&lt;&gt;"", 'CONTENT PILLAR MAPPING'!F834&lt;&gt;"", 'CONTENT PILLAR MAPPING'!C837&lt;&gt;"", 'CONTENT PILLAR MAPPING'!C842&lt;&gt;"", 'CONTENT PILLAR MAPPING'!D842&lt;&gt;"", 'CONTENT PILLAR MAPPING'!E842&lt;&gt;"", 'CONTENT PILLAR MAPPING'!D850&lt;&gt;"", 'CONTENT PILLAR MAPPING'!D851&lt;&gt;""),
CONCATENATE(
"Sebagai seorang top konten kreator dengan niche utama '", 'CONTENT PILLAR MAPPING'!C834, "', spesifik kategori '", 'CONTENT PILLAR MAPPING'!E834, "', dan super spesifik '", 'CONTENT PILLAR MAPPING'!F834, "', yang dikenal sebagai '", 'CONTENT PILLAR MAPPING'!C837, "'.", CHAR(10),
"Saya memiliki Tone of Voice: '", 'CONTENT PILLAR MAPPING'!C842, "', Brand Archetype: '", 'CONTENT PILLAR MAPPING'!D842, "', dan Deskripsi Gaya Komunikasi: '", 'CONTENT PILLAR MAPPING'!E842, "'.", CHAR(10),
"Target audiens saya adalah: '", 'CONTENT PILLAR MAPPING'!D850, "', dengan segmentasi audiens: '", 'CONTENT PILLAR MAPPING'!D851, "'.", CHAR(10), CHAR(10),
"Mohon buatkan script konten yang **sangat powerful, menarik, inovatif, dan siap pakai** dengan judul ide '", B932, "'.", CHAR(10),
"Konten ini memiliki pilar '", C932, "', nilai tambah utama '", F932, "', dan akan menggunakan storytelling framework '", G932, "'.", CHAR(10),
"Gambaran singkat ide kontennya adalah: '", J932, "'.", CHAR(10),
"Konten ini akan diunggah di platform '", E932, "' dengan format '", D932,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MAPPING'!C837, "'.** Sesuaikan dengan gaya komunikasi saya, dengan fokus pada nilai tambah '", F932,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MAPPING'!D850, ", khusus ", 'CONTENT PILLAR MAPPING'!D851, ") dan membantu mereka menyelesaikan masalah atau mencapai tujuan mereka.", CHAR(10),
"✔ Membantuku membangun personal branding yang kuat dan sustainable, sesuai dengan Positioning saya sebagai '", 'CONTENT PILLAR MAPPING'!C837, "' dan Brand Archetype '", 'CONTENT PILLAR MAPPING'!D842, "'.", CHAR(10),
"✔ Kemas dalam bentuk tabel agar rapi, mudah di baca dan dipahami, dengan kolom 'Judul Konten', 'Pilar', 'Format', 'Draft Script', 'CTA', 'Saran Visual', dan 'Full Caption'. (Kosongkan kolom Link Prompt jika ada)."
),
"")</f>
        <v/>
      </c>
      <c r="L932" s="199" t="n"/>
      <c r="M932" s="199" t="n"/>
      <c r="N932" s="102" t="n"/>
      <c r="O932" s="102" t="n"/>
      <c r="P932" s="102" t="n"/>
      <c r="Q932" s="102" t="n"/>
      <c r="R932" s="102" t="n"/>
      <c r="S932" s="102" t="n"/>
      <c r="T932" s="102" t="n"/>
      <c r="U932" s="102" t="n"/>
      <c r="V932" s="102" t="n"/>
      <c r="W932" s="102" t="n"/>
      <c r="X932" s="102" t="n"/>
      <c r="Y932" s="102" t="n"/>
      <c r="Z932" s="102" t="n"/>
      <c r="AA932" s="102" t="n"/>
      <c r="AB932" s="102" t="n"/>
      <c r="AC932" s="102" t="n"/>
      <c r="AD932" s="102" t="n"/>
    </row>
    <row r="933" ht="15.75" customHeight="1" s="205">
      <c r="A933" s="102" t="n"/>
      <c r="B933" s="142" t="n"/>
      <c r="C933" s="143" t="n"/>
      <c r="D933" s="143" t="n"/>
      <c r="E933" s="143" t="n"/>
      <c r="F933" s="143" t="n"/>
      <c r="G933" s="144" t="n"/>
      <c r="H933" s="145">
        <f>IF(K933&lt;&gt;"", HYPERLINK("https://chatgpt.com/?prompt=" &amp; SUBSTITUTE(SUBSTITUTE(K933, " ", "+"), "&amp;", "dan") &amp; "&amp;force-refresh=true&amp;timestamp=" &amp; TEXT(NOW(), "yyyymmddhhmmss"), "👉 Klik untuk Generate Script! 🔥"), "")</f>
        <v/>
      </c>
      <c r="I933" s="143" t="n"/>
      <c r="J933" s="146" t="n"/>
      <c r="K933" s="130">
        <f>IF(AND(B933&lt;&gt;"", C933&lt;&gt;"", D933&lt;&gt;"", E933&lt;&gt;"", F933&lt;&gt;"", G933&lt;&gt;"", J933&lt;&gt;"", 'CONTENT PILLAR MAPPING'!C836&lt;&gt;"", 'CONTENT PILLAR MAPPING'!E836&lt;&gt;"", 'CONTENT PILLAR MAPPING'!F836&lt;&gt;"", 'CONTENT PILLAR MAPPING'!C839&lt;&gt;"", 'CONTENT PILLAR MAPPING'!C844&lt;&gt;"", 'CONTENT PILLAR MAPPING'!D844&lt;&gt;"", 'CONTENT PILLAR MAPPING'!E844&lt;&gt;"", 'CONTENT PILLAR MAPPING'!D852&lt;&gt;"", 'CONTENT PILLAR MAPPING'!D853&lt;&gt;""),
CONCATENATE(
"Sebagai seorang top konten kreator dengan niche utama '", 'CONTENT PILLAR MAPPING'!C836, "', spesifik kategori '", 'CONTENT PILLAR MAPPING'!E836, "', dan super spesifik '", 'CONTENT PILLAR MAPPING'!F836, "', yang dikenal sebagai '", 'CONTENT PILLAR MAPPING'!C839, "'.", CHAR(10),
"Saya memiliki Tone of Voice: '", 'CONTENT PILLAR MAPPING'!C844, "', Brand Archetype: '", 'CONTENT PILLAR MAPPING'!D844, "', dan Deskripsi Gaya Komunikasi: '", 'CONTENT PILLAR MAPPING'!E844, "'.", CHAR(10),
"Target audiens saya adalah: '", 'CONTENT PILLAR MAPPING'!D852, "', dengan segmentasi audiens: '", 'CONTENT PILLAR MAPPING'!D853, "'.", CHAR(10), CHAR(10),
"Mohon buatkan script konten yang **sangat powerful, menarik, inovatif, dan siap pakai** dengan judul ide '", B933, "'.", CHAR(10),
"Konten ini memiliki pilar '", C933, "', nilai tambah utama '", F933, "', dan akan menggunakan storytelling framework '", G933, "'.", CHAR(10),
"Gambaran singkat ide kontennya adalah: '", J933, "'.", CHAR(10),
"Konten ini akan diunggah di platform '", E933, "' dengan format '", D933,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MAPPING'!C839, "'.** Sesuaikan dengan gaya komunikasi saya, dengan fokus pada nilai tambah '", F933,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MAPPING'!D852, ", khusus ", 'CONTENT PILLAR MAPPING'!D853, ") dan membantu mereka menyelesaikan masalah atau mencapai tujuan mereka.", CHAR(10),
"✔ Membantuku membangun personal branding yang kuat dan sustainable, sesuai dengan Positioning saya sebagai '", 'CONTENT PILLAR MAPPING'!C839, "' dan Brand Archetype '", 'CONTENT PILLAR MAPPING'!D844, "'.", CHAR(10),
"✔ Kemas dalam bentuk tabel agar rapi, mudah di baca dan dipahami, dengan kolom 'Judul Konten', 'Pilar', 'Format', 'Draft Script', 'CTA', 'Saran Visual', dan 'Full Caption'. (Kosongkan kolom Link Prompt jika ada)."
),
"")</f>
        <v/>
      </c>
      <c r="L933" s="91" t="n"/>
      <c r="M933" s="91" t="n"/>
      <c r="N933" s="102" t="n"/>
      <c r="O933" s="102" t="n"/>
      <c r="P933" s="102" t="n"/>
      <c r="Q933" s="102" t="n"/>
      <c r="R933" s="102" t="n"/>
      <c r="S933" s="102" t="n"/>
      <c r="T933" s="102" t="n"/>
      <c r="U933" s="102" t="n"/>
      <c r="V933" s="102" t="n"/>
      <c r="W933" s="102" t="n"/>
      <c r="X933" s="102" t="n"/>
      <c r="Y933" s="102" t="n"/>
      <c r="Z933" s="102" t="n"/>
      <c r="AA933" s="102" t="n"/>
      <c r="AB933" s="102" t="n"/>
      <c r="AC933" s="102" t="n"/>
      <c r="AD933" s="102" t="n"/>
    </row>
    <row r="934" ht="15.75" customHeight="1" s="205">
      <c r="A934" s="102" t="n"/>
      <c r="B934" s="147" t="n"/>
      <c r="C934" s="144" t="n"/>
      <c r="D934" s="144" t="n"/>
      <c r="E934" s="144" t="n"/>
      <c r="F934" s="144" t="n"/>
      <c r="G934" s="144" t="n"/>
      <c r="H934" s="141">
        <f>IF(K934&lt;&gt;"", HYPERLINK("https://chatgpt.com/?prompt=" &amp; SUBSTITUTE(SUBSTITUTE(K934, " ", "+"), "&amp;", "dan") &amp; "&amp;force-refresh=true&amp;timestamp=" &amp; TEXT(NOW(), "yyyymmddhhmmss"), "👉 Klik untuk Generate Script! 🔥"), "")</f>
        <v/>
      </c>
      <c r="I934" s="144" t="n"/>
      <c r="J934" s="148" t="n"/>
      <c r="K934" s="140">
        <f>IF(AND(B934&lt;&gt;"", C934&lt;&gt;"", D934&lt;&gt;"", E934&lt;&gt;"", F934&lt;&gt;"", G934&lt;&gt;"", J934&lt;&gt;"", 'CONTENT PILLAR MAPPING'!C836&lt;&gt;"", 'CONTENT PILLAR MAPPING'!E836&lt;&gt;"", 'CONTENT PILLAR MAPPING'!F836&lt;&gt;"", 'CONTENT PILLAR MAPPING'!C839&lt;&gt;"", 'CONTENT PILLAR MAPPING'!C844&lt;&gt;"", 'CONTENT PILLAR MAPPING'!D844&lt;&gt;"", 'CONTENT PILLAR MAPPING'!E844&lt;&gt;"", 'CONTENT PILLAR MAPPING'!D852&lt;&gt;"", 'CONTENT PILLAR MAPPING'!D853&lt;&gt;""),
CONCATENATE(
"Sebagai seorang top konten kreator dengan niche utama '", 'CONTENT PILLAR MAPPING'!C836, "', spesifik kategori '", 'CONTENT PILLAR MAPPING'!E836, "', dan super spesifik '", 'CONTENT PILLAR MAPPING'!F836, "', yang dikenal sebagai '", 'CONTENT PILLAR MAPPING'!C839, "'.", CHAR(10),
"Saya memiliki Tone of Voice: '", 'CONTENT PILLAR MAPPING'!C844, "', Brand Archetype: '", 'CONTENT PILLAR MAPPING'!D844, "', dan Deskripsi Gaya Komunikasi: '", 'CONTENT PILLAR MAPPING'!E844, "'.", CHAR(10),
"Target audiens saya adalah: '", 'CONTENT PILLAR MAPPING'!D852, "', dengan segmentasi audiens: '", 'CONTENT PILLAR MAPPING'!D853, "'.", CHAR(10), CHAR(10),
"Mohon buatkan script konten yang **sangat powerful, menarik, inovatif, dan siap pakai** dengan judul ide '", B934, "'.", CHAR(10),
"Konten ini memiliki pilar '", C934, "', nilai tambah utama '", F934, "', dan akan menggunakan storytelling framework '", G934, "'.", CHAR(10),
"Gambaran singkat ide kontennya adalah: '", J934, "'.", CHAR(10),
"Konten ini akan diunggah di platform '", E934, "' dengan format '", D934,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MAPPING'!C839, "'.** Sesuaikan dengan gaya komunikasi saya, dengan fokus pada nilai tambah '", F934,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MAPPING'!D852, ", khusus ", 'CONTENT PILLAR MAPPING'!D853, ") dan membantu mereka menyelesaikan masalah atau mencapai tujuan mereka.", CHAR(10),
"✔ Membantuku membangun personal branding yang kuat dan sustainable, sesuai dengan Positioning saya sebagai '", 'CONTENT PILLAR MAPPING'!C839, "' dan Brand Archetype '", 'CONTENT PILLAR MAPPING'!D844, "'.", CHAR(10),
"✔ Kemas dalam bentuk tabel agar rapi, mudah di baca dan dipahami, dengan kolom 'Judul Konten', 'Pilar', 'Format', 'Draft Script', 'CTA', 'Saran Visual', dan 'Full Caption'. (Kosongkan kolom Link Prompt jika ada)."
),
"")</f>
        <v/>
      </c>
      <c r="L934" s="199" t="n"/>
      <c r="M934" s="199" t="n"/>
      <c r="N934" s="102" t="n"/>
      <c r="O934" s="102" t="n"/>
      <c r="P934" s="102" t="n"/>
      <c r="Q934" s="102" t="n"/>
      <c r="R934" s="102" t="n"/>
      <c r="S934" s="102" t="n"/>
      <c r="T934" s="102" t="n"/>
      <c r="U934" s="102" t="n"/>
      <c r="V934" s="102" t="n"/>
      <c r="W934" s="102" t="n"/>
      <c r="X934" s="102" t="n"/>
      <c r="Y934" s="102" t="n"/>
      <c r="Z934" s="102" t="n"/>
      <c r="AA934" s="102" t="n"/>
      <c r="AB934" s="102" t="n"/>
      <c r="AC934" s="102" t="n"/>
      <c r="AD934" s="102" t="n"/>
    </row>
    <row r="935" ht="15.75" customHeight="1" s="205">
      <c r="A935" s="102" t="n"/>
      <c r="B935" s="142" t="n"/>
      <c r="C935" s="143" t="n"/>
      <c r="D935" s="143" t="n"/>
      <c r="E935" s="143" t="n"/>
      <c r="F935" s="143" t="n"/>
      <c r="G935" s="144" t="n"/>
      <c r="H935" s="145">
        <f>IF(K935&lt;&gt;"", HYPERLINK("https://chatgpt.com/?prompt=" &amp; SUBSTITUTE(SUBSTITUTE(K935, " ", "+"), "&amp;", "dan") &amp; "&amp;force-refresh=true&amp;timestamp=" &amp; TEXT(NOW(), "yyyymmddhhmmss"), "👉 Klik untuk Generate Script! 🔥"), "")</f>
        <v/>
      </c>
      <c r="I935" s="143" t="n"/>
      <c r="J935" s="146" t="n"/>
      <c r="K935" s="130">
        <f>IF(AND(B935&lt;&gt;"", C935&lt;&gt;"", D935&lt;&gt;"", E935&lt;&gt;"", F935&lt;&gt;"", G935&lt;&gt;"", J935&lt;&gt;"", 'CONTENT PILLAR MAPPING'!C838&lt;&gt;"", 'CONTENT PILLAR MAPPING'!E838&lt;&gt;"", 'CONTENT PILLAR MAPPING'!F838&lt;&gt;"", 'CONTENT PILLAR MAPPING'!C841&lt;&gt;"", 'CONTENT PILLAR MAPPING'!C846&lt;&gt;"", 'CONTENT PILLAR MAPPING'!D846&lt;&gt;"", 'CONTENT PILLAR MAPPING'!E846&lt;&gt;"", 'CONTENT PILLAR MAPPING'!D854&lt;&gt;"", 'CONTENT PILLAR MAPPING'!D855&lt;&gt;""),
CONCATENATE(
"Sebagai seorang top konten kreator dengan niche utama '", 'CONTENT PILLAR MAPPING'!C838, "', spesifik kategori '", 'CONTENT PILLAR MAPPING'!E838, "', dan super spesifik '", 'CONTENT PILLAR MAPPING'!F838, "', yang dikenal sebagai '", 'CONTENT PILLAR MAPPING'!C841, "'.", CHAR(10),
"Saya memiliki Tone of Voice: '", 'CONTENT PILLAR MAPPING'!C846, "', Brand Archetype: '", 'CONTENT PILLAR MAPPING'!D846, "', dan Deskripsi Gaya Komunikasi: '", 'CONTENT PILLAR MAPPING'!E846, "'.", CHAR(10),
"Target audiens saya adalah: '", 'CONTENT PILLAR MAPPING'!D854, "', dengan segmentasi audiens: '", 'CONTENT PILLAR MAPPING'!D855, "'.", CHAR(10), CHAR(10),
"Mohon buatkan script konten yang **sangat powerful, menarik, inovatif, dan siap pakai** dengan judul ide '", B935, "'.", CHAR(10),
"Konten ini memiliki pilar '", C935, "', nilai tambah utama '", F935, "', dan akan menggunakan storytelling framework '", G935, "'.", CHAR(10),
"Gambaran singkat ide kontennya adalah: '", J935, "'.", CHAR(10),
"Konten ini akan diunggah di platform '", E935, "' dengan format '", D935,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MAPPING'!C841, "'.** Sesuaikan dengan gaya komunikasi saya, dengan fokus pada nilai tambah '", F935,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MAPPING'!D854, ", khusus ", 'CONTENT PILLAR MAPPING'!D855, ") dan membantu mereka menyelesaikan masalah atau mencapai tujuan mereka.", CHAR(10),
"✔ Membantuku membangun personal branding yang kuat dan sustainable, sesuai dengan Positioning saya sebagai '", 'CONTENT PILLAR MAPPING'!C841, "' dan Brand Archetype '", 'CONTENT PILLAR MAPPING'!D846, "'.", CHAR(10),
"✔ Kemas dalam bentuk tabel agar rapi, mudah di baca dan dipahami, dengan kolom 'Judul Konten', 'Pilar', 'Format', 'Draft Script', 'CTA', 'Saran Visual', dan 'Full Caption'. (Kosongkan kolom Link Prompt jika ada)."
),
"")</f>
        <v/>
      </c>
      <c r="L935" s="91" t="n"/>
      <c r="M935" s="91" t="n"/>
      <c r="N935" s="102" t="n"/>
      <c r="O935" s="102" t="n"/>
      <c r="P935" s="102" t="n"/>
      <c r="Q935" s="102" t="n"/>
      <c r="R935" s="102" t="n"/>
      <c r="S935" s="102" t="n"/>
      <c r="T935" s="102" t="n"/>
      <c r="U935" s="102" t="n"/>
      <c r="V935" s="102" t="n"/>
      <c r="W935" s="102" t="n"/>
      <c r="X935" s="102" t="n"/>
      <c r="Y935" s="102" t="n"/>
      <c r="Z935" s="102" t="n"/>
      <c r="AA935" s="102" t="n"/>
      <c r="AB935" s="102" t="n"/>
      <c r="AC935" s="102" t="n"/>
      <c r="AD935" s="102" t="n"/>
    </row>
    <row r="936" ht="15.75" customHeight="1" s="205">
      <c r="A936" s="102" t="n"/>
      <c r="B936" s="147" t="n"/>
      <c r="C936" s="144" t="n"/>
      <c r="D936" s="144" t="n"/>
      <c r="E936" s="144" t="n"/>
      <c r="F936" s="144" t="n"/>
      <c r="G936" s="144" t="n"/>
      <c r="H936" s="141">
        <f>IF(K936&lt;&gt;"", HYPERLINK("https://chatgpt.com/?prompt=" &amp; SUBSTITUTE(SUBSTITUTE(K936, " ", "+"), "&amp;", "dan") &amp; "&amp;force-refresh=true&amp;timestamp=" &amp; TEXT(NOW(), "yyyymmddhhmmss"), "👉 Klik untuk Generate Script! 🔥"), "")</f>
        <v/>
      </c>
      <c r="I936" s="144" t="n"/>
      <c r="J936" s="148" t="n"/>
      <c r="K936" s="140">
        <f>IF(AND(B936&lt;&gt;"", C936&lt;&gt;"", D936&lt;&gt;"", E936&lt;&gt;"", F936&lt;&gt;"", G936&lt;&gt;"", J936&lt;&gt;"", 'CONTENT PILLAR MAPPING'!C838&lt;&gt;"", 'CONTENT PILLAR MAPPING'!E838&lt;&gt;"", 'CONTENT PILLAR MAPPING'!F838&lt;&gt;"", 'CONTENT PILLAR MAPPING'!C841&lt;&gt;"", 'CONTENT PILLAR MAPPING'!C846&lt;&gt;"", 'CONTENT PILLAR MAPPING'!D846&lt;&gt;"", 'CONTENT PILLAR MAPPING'!E846&lt;&gt;"", 'CONTENT PILLAR MAPPING'!D854&lt;&gt;"", 'CONTENT PILLAR MAPPING'!D855&lt;&gt;""),
CONCATENATE(
"Sebagai seorang top konten kreator dengan niche utama '", 'CONTENT PILLAR MAPPING'!C838, "', spesifik kategori '", 'CONTENT PILLAR MAPPING'!E838, "', dan super spesifik '", 'CONTENT PILLAR MAPPING'!F838, "', yang dikenal sebagai '", 'CONTENT PILLAR MAPPING'!C841, "'.", CHAR(10),
"Saya memiliki Tone of Voice: '", 'CONTENT PILLAR MAPPING'!C846, "', Brand Archetype: '", 'CONTENT PILLAR MAPPING'!D846, "', dan Deskripsi Gaya Komunikasi: '", 'CONTENT PILLAR MAPPING'!E846, "'.", CHAR(10),
"Target audiens saya adalah: '", 'CONTENT PILLAR MAPPING'!D854, "', dengan segmentasi audiens: '", 'CONTENT PILLAR MAPPING'!D855, "'.", CHAR(10), CHAR(10),
"Mohon buatkan script konten yang **sangat powerful, menarik, inovatif, dan siap pakai** dengan judul ide '", B936, "'.", CHAR(10),
"Konten ini memiliki pilar '", C936, "', nilai tambah utama '", F936, "', dan akan menggunakan storytelling framework '", G936, "'.", CHAR(10),
"Gambaran singkat ide kontennya adalah: '", J936, "'.", CHAR(10),
"Konten ini akan diunggah di platform '", E936, "' dengan format '", D936,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MAPPING'!C841, "'.** Sesuaikan dengan gaya komunikasi saya, dengan fokus pada nilai tambah '", F936,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MAPPING'!D854, ", khusus ", 'CONTENT PILLAR MAPPING'!D855, ") dan membantu mereka menyelesaikan masalah atau mencapai tujuan mereka.", CHAR(10),
"✔ Membantuku membangun personal branding yang kuat dan sustainable, sesuai dengan Positioning saya sebagai '", 'CONTENT PILLAR MAPPING'!C841, "' dan Brand Archetype '", 'CONTENT PILLAR MAPPING'!D846, "'.", CHAR(10),
"✔ Kemas dalam bentuk tabel agar rapi, mudah di baca dan dipahami, dengan kolom 'Judul Konten', 'Pilar', 'Format', 'Draft Script', 'CTA', 'Saran Visual', dan 'Full Caption'. (Kosongkan kolom Link Prompt jika ada)."
),
"")</f>
        <v/>
      </c>
      <c r="L936" s="199" t="n"/>
      <c r="M936" s="199" t="n"/>
      <c r="N936" s="102" t="n"/>
      <c r="O936" s="102" t="n"/>
      <c r="P936" s="102" t="n"/>
      <c r="Q936" s="102" t="n"/>
      <c r="R936" s="102" t="n"/>
      <c r="S936" s="102" t="n"/>
      <c r="T936" s="102" t="n"/>
      <c r="U936" s="102" t="n"/>
      <c r="V936" s="102" t="n"/>
      <c r="W936" s="102" t="n"/>
      <c r="X936" s="102" t="n"/>
      <c r="Y936" s="102" t="n"/>
      <c r="Z936" s="102" t="n"/>
      <c r="AA936" s="102" t="n"/>
      <c r="AB936" s="102" t="n"/>
      <c r="AC936" s="102" t="n"/>
      <c r="AD936" s="102" t="n"/>
    </row>
    <row r="937" ht="15.75" customHeight="1" s="205">
      <c r="A937" s="102" t="n"/>
      <c r="B937" s="142" t="n"/>
      <c r="C937" s="143" t="n"/>
      <c r="D937" s="143" t="n"/>
      <c r="E937" s="143" t="n"/>
      <c r="F937" s="143" t="n"/>
      <c r="G937" s="144" t="n"/>
      <c r="H937" s="145">
        <f>IF(K937&lt;&gt;"", HYPERLINK("https://chatgpt.com/?prompt=" &amp; SUBSTITUTE(SUBSTITUTE(K937, " ", "+"), "&amp;", "dan") &amp; "&amp;force-refresh=true&amp;timestamp=" &amp; TEXT(NOW(), "yyyymmddhhmmss"), "👉 Klik untuk Generate Script! 🔥"), "")</f>
        <v/>
      </c>
      <c r="I937" s="143" t="n"/>
      <c r="J937" s="146" t="n"/>
      <c r="K937" s="130">
        <f>IF(AND(B937&lt;&gt;"", C937&lt;&gt;"", D937&lt;&gt;"", E937&lt;&gt;"", F937&lt;&gt;"", G937&lt;&gt;"", J937&lt;&gt;"", 'CONTENT PILLAR MAPPING'!C840&lt;&gt;"", 'CONTENT PILLAR MAPPING'!E840&lt;&gt;"", 'CONTENT PILLAR MAPPING'!F840&lt;&gt;"", 'CONTENT PILLAR MAPPING'!C843&lt;&gt;"", 'CONTENT PILLAR MAPPING'!C848&lt;&gt;"", 'CONTENT PILLAR MAPPING'!D848&lt;&gt;"", 'CONTENT PILLAR MAPPING'!E848&lt;&gt;"", 'CONTENT PILLAR MAPPING'!D856&lt;&gt;"", 'CONTENT PILLAR MAPPING'!D857&lt;&gt;""),
CONCATENATE(
"Sebagai seorang top konten kreator dengan niche utama '", 'CONTENT PILLAR MAPPING'!C840, "', spesifik kategori '", 'CONTENT PILLAR MAPPING'!E840, "', dan super spesifik '", 'CONTENT PILLAR MAPPING'!F840, "', yang dikenal sebagai '", 'CONTENT PILLAR MAPPING'!C843, "'.", CHAR(10),
"Saya memiliki Tone of Voice: '", 'CONTENT PILLAR MAPPING'!C848, "', Brand Archetype: '", 'CONTENT PILLAR MAPPING'!D848, "', dan Deskripsi Gaya Komunikasi: '", 'CONTENT PILLAR MAPPING'!E848, "'.", CHAR(10),
"Target audiens saya adalah: '", 'CONTENT PILLAR MAPPING'!D856, "', dengan segmentasi audiens: '", 'CONTENT PILLAR MAPPING'!D857, "'.", CHAR(10), CHAR(10),
"Mohon buatkan script konten yang **sangat powerful, menarik, inovatif, dan siap pakai** dengan judul ide '", B937, "'.", CHAR(10),
"Konten ini memiliki pilar '", C937, "', nilai tambah utama '", F937, "', dan akan menggunakan storytelling framework '", G937, "'.", CHAR(10),
"Gambaran singkat ide kontennya adalah: '", J937, "'.", CHAR(10),
"Konten ini akan diunggah di platform '", E937, "' dengan format '", D937,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MAPPING'!C843, "'.** Sesuaikan dengan gaya komunikasi saya, dengan fokus pada nilai tambah '", F937,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MAPPING'!D856, ", khusus ", 'CONTENT PILLAR MAPPING'!D857, ") dan membantu mereka menyelesaikan masalah atau mencapai tujuan mereka.", CHAR(10),
"✔ Membantuku membangun personal branding yang kuat dan sustainable, sesuai dengan Positioning saya sebagai '", 'CONTENT PILLAR MAPPING'!C843, "' dan Brand Archetype '", 'CONTENT PILLAR MAPPING'!D848, "'.", CHAR(10),
"✔ Kemas dalam bentuk tabel agar rapi, mudah di baca dan dipahami, dengan kolom 'Judul Konten', 'Pilar', 'Format', 'Draft Script', 'CTA', 'Saran Visual', dan 'Full Caption'. (Kosongkan kolom Link Prompt jika ada)."
),
"")</f>
        <v/>
      </c>
      <c r="L937" s="91" t="n"/>
      <c r="M937" s="91" t="n"/>
      <c r="N937" s="102" t="n"/>
      <c r="O937" s="102" t="n"/>
      <c r="P937" s="102" t="n"/>
      <c r="Q937" s="102" t="n"/>
      <c r="R937" s="102" t="n"/>
      <c r="S937" s="102" t="n"/>
      <c r="T937" s="102" t="n"/>
      <c r="U937" s="102" t="n"/>
      <c r="V937" s="102" t="n"/>
      <c r="W937" s="102" t="n"/>
      <c r="X937" s="102" t="n"/>
      <c r="Y937" s="102" t="n"/>
      <c r="Z937" s="102" t="n"/>
      <c r="AA937" s="102" t="n"/>
      <c r="AB937" s="102" t="n"/>
      <c r="AC937" s="102" t="n"/>
      <c r="AD937" s="102" t="n"/>
    </row>
    <row r="938" ht="15.75" customHeight="1" s="205">
      <c r="A938" s="102" t="n"/>
      <c r="B938" s="147" t="n"/>
      <c r="C938" s="144" t="n"/>
      <c r="D938" s="144" t="n"/>
      <c r="E938" s="144" t="n"/>
      <c r="F938" s="144" t="n"/>
      <c r="G938" s="144" t="n"/>
      <c r="H938" s="141">
        <f>IF(K938&lt;&gt;"", HYPERLINK("https://chatgpt.com/?prompt=" &amp; SUBSTITUTE(SUBSTITUTE(K938, " ", "+"), "&amp;", "dan") &amp; "&amp;force-refresh=true&amp;timestamp=" &amp; TEXT(NOW(), "yyyymmddhhmmss"), "👉 Klik untuk Generate Script! 🔥"), "")</f>
        <v/>
      </c>
      <c r="I938" s="144" t="n"/>
      <c r="J938" s="148" t="n"/>
      <c r="K938" s="140">
        <f>IF(AND(B938&lt;&gt;"", C938&lt;&gt;"", D938&lt;&gt;"", E938&lt;&gt;"", F938&lt;&gt;"", G938&lt;&gt;"", J938&lt;&gt;"", 'CONTENT PILLAR MAPPING'!C840&lt;&gt;"", 'CONTENT PILLAR MAPPING'!E840&lt;&gt;"", 'CONTENT PILLAR MAPPING'!F840&lt;&gt;"", 'CONTENT PILLAR MAPPING'!C843&lt;&gt;"", 'CONTENT PILLAR MAPPING'!C848&lt;&gt;"", 'CONTENT PILLAR MAPPING'!D848&lt;&gt;"", 'CONTENT PILLAR MAPPING'!E848&lt;&gt;"", 'CONTENT PILLAR MAPPING'!D856&lt;&gt;"", 'CONTENT PILLAR MAPPING'!D857&lt;&gt;""),
CONCATENATE(
"Sebagai seorang top konten kreator dengan niche utama '", 'CONTENT PILLAR MAPPING'!C840, "', spesifik kategori '", 'CONTENT PILLAR MAPPING'!E840, "', dan super spesifik '", 'CONTENT PILLAR MAPPING'!F840, "', yang dikenal sebagai '", 'CONTENT PILLAR MAPPING'!C843, "'.", CHAR(10),
"Saya memiliki Tone of Voice: '", 'CONTENT PILLAR MAPPING'!C848, "', Brand Archetype: '", 'CONTENT PILLAR MAPPING'!D848, "', dan Deskripsi Gaya Komunikasi: '", 'CONTENT PILLAR MAPPING'!E848, "'.", CHAR(10),
"Target audiens saya adalah: '", 'CONTENT PILLAR MAPPING'!D856, "', dengan segmentasi audiens: '", 'CONTENT PILLAR MAPPING'!D857, "'.", CHAR(10), CHAR(10),
"Mohon buatkan script konten yang **sangat powerful, menarik, inovatif, dan siap pakai** dengan judul ide '", B938, "'.", CHAR(10),
"Konten ini memiliki pilar '", C938, "', nilai tambah utama '", F938, "', dan akan menggunakan storytelling framework '", G938, "'.", CHAR(10),
"Gambaran singkat ide kontennya adalah: '", J938, "'.", CHAR(10),
"Konten ini akan diunggah di platform '", E938, "' dengan format '", D938,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MAPPING'!C843, "'.** Sesuaikan dengan gaya komunikasi saya, dengan fokus pada nilai tambah '", F938,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MAPPING'!D856, ", khusus ", 'CONTENT PILLAR MAPPING'!D857, ") dan membantu mereka menyelesaikan masalah atau mencapai tujuan mereka.", CHAR(10),
"✔ Membantuku membangun personal branding yang kuat dan sustainable, sesuai dengan Positioning saya sebagai '", 'CONTENT PILLAR MAPPING'!C843, "' dan Brand Archetype '", 'CONTENT PILLAR MAPPING'!D848, "'.", CHAR(10),
"✔ Kemas dalam bentuk tabel agar rapi, mudah di baca dan dipahami, dengan kolom 'Judul Konten', 'Pilar', 'Format', 'Draft Script', 'CTA', 'Saran Visual', dan 'Full Caption'. (Kosongkan kolom Link Prompt jika ada)."
),
"")</f>
        <v/>
      </c>
      <c r="L938" s="199" t="n"/>
      <c r="M938" s="199" t="n"/>
      <c r="N938" s="102" t="n"/>
      <c r="O938" s="102" t="n"/>
      <c r="P938" s="102" t="n"/>
      <c r="Q938" s="102" t="n"/>
      <c r="R938" s="102" t="n"/>
      <c r="S938" s="102" t="n"/>
      <c r="T938" s="102" t="n"/>
      <c r="U938" s="102" t="n"/>
      <c r="V938" s="102" t="n"/>
      <c r="W938" s="102" t="n"/>
      <c r="X938" s="102" t="n"/>
      <c r="Y938" s="102" t="n"/>
      <c r="Z938" s="102" t="n"/>
      <c r="AA938" s="102" t="n"/>
      <c r="AB938" s="102" t="n"/>
      <c r="AC938" s="102" t="n"/>
      <c r="AD938" s="102" t="n"/>
    </row>
    <row r="939" ht="15.75" customHeight="1" s="205">
      <c r="A939" s="102" t="n"/>
      <c r="B939" s="142" t="n"/>
      <c r="C939" s="143" t="n"/>
      <c r="D939" s="143" t="n"/>
      <c r="E939" s="143" t="n"/>
      <c r="F939" s="143" t="n"/>
      <c r="G939" s="144" t="n"/>
      <c r="H939" s="145">
        <f>IF(K939&lt;&gt;"", HYPERLINK("https://chatgpt.com/?prompt=" &amp; SUBSTITUTE(SUBSTITUTE(K939, " ", "+"), "&amp;", "dan") &amp; "&amp;force-refresh=true&amp;timestamp=" &amp; TEXT(NOW(), "yyyymmddhhmmss"), "👉 Klik untuk Generate Script! 🔥"), "")</f>
        <v/>
      </c>
      <c r="I939" s="143" t="n"/>
      <c r="J939" s="146" t="n"/>
      <c r="K939" s="130">
        <f>IF(AND(B939&lt;&gt;"", C939&lt;&gt;"", D939&lt;&gt;"", E939&lt;&gt;"", F939&lt;&gt;"", G939&lt;&gt;"", J939&lt;&gt;"", 'CONTENT PILLAR MAPPING'!C842&lt;&gt;"", 'CONTENT PILLAR MAPPING'!E842&lt;&gt;"", 'CONTENT PILLAR MAPPING'!F842&lt;&gt;"", 'CONTENT PILLAR MAPPING'!C845&lt;&gt;"", 'CONTENT PILLAR MAPPING'!C850&lt;&gt;"", 'CONTENT PILLAR MAPPING'!D850&lt;&gt;"", 'CONTENT PILLAR MAPPING'!E850&lt;&gt;"", 'CONTENT PILLAR MAPPING'!D858&lt;&gt;"", 'CONTENT PILLAR MAPPING'!D859&lt;&gt;""),
CONCATENATE(
"Sebagai seorang top konten kreator dengan niche utama '", 'CONTENT PILLAR MAPPING'!C842, "', spesifik kategori '", 'CONTENT PILLAR MAPPING'!E842, "', dan super spesifik '", 'CONTENT PILLAR MAPPING'!F842, "', yang dikenal sebagai '", 'CONTENT PILLAR MAPPING'!C845, "'.", CHAR(10),
"Saya memiliki Tone of Voice: '", 'CONTENT PILLAR MAPPING'!C850, "', Brand Archetype: '", 'CONTENT PILLAR MAPPING'!D850, "', dan Deskripsi Gaya Komunikasi: '", 'CONTENT PILLAR MAPPING'!E850, "'.", CHAR(10),
"Target audiens saya adalah: '", 'CONTENT PILLAR MAPPING'!D858, "', dengan segmentasi audiens: '", 'CONTENT PILLAR MAPPING'!D859, "'.", CHAR(10), CHAR(10),
"Mohon buatkan script konten yang **sangat powerful, menarik, inovatif, dan siap pakai** dengan judul ide '", B939, "'.", CHAR(10),
"Konten ini memiliki pilar '", C939, "', nilai tambah utama '", F939, "', dan akan menggunakan storytelling framework '", G939, "'.", CHAR(10),
"Gambaran singkat ide kontennya adalah: '", J939, "'.", CHAR(10),
"Konten ini akan diunggah di platform '", E939, "' dengan format '", D939,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MAPPING'!C845, "'.** Sesuaikan dengan gaya komunikasi saya, dengan fokus pada nilai tambah '", F939,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MAPPING'!D858, ", khusus ", 'CONTENT PILLAR MAPPING'!D859, ") dan membantu mereka menyelesaikan masalah atau mencapai tujuan mereka.", CHAR(10),
"✔ Membantuku membangun personal branding yang kuat dan sustainable, sesuai dengan Positioning saya sebagai '", 'CONTENT PILLAR MAPPING'!C845, "' dan Brand Archetype '", 'CONTENT PILLAR MAPPING'!D850, "'.", CHAR(10),
"✔ Kemas dalam bentuk tabel agar rapi, mudah di baca dan dipahami, dengan kolom 'Judul Konten', 'Pilar', 'Format', 'Draft Script', 'CTA', 'Saran Visual', dan 'Full Caption'. (Kosongkan kolom Link Prompt jika ada)."
),
"")</f>
        <v/>
      </c>
      <c r="L939" s="91" t="n"/>
      <c r="M939" s="91" t="n"/>
      <c r="N939" s="102" t="n"/>
      <c r="O939" s="102" t="n"/>
      <c r="P939" s="102" t="n"/>
      <c r="Q939" s="102" t="n"/>
      <c r="R939" s="102" t="n"/>
      <c r="S939" s="102" t="n"/>
      <c r="T939" s="102" t="n"/>
      <c r="U939" s="102" t="n"/>
      <c r="V939" s="102" t="n"/>
      <c r="W939" s="102" t="n"/>
      <c r="X939" s="102" t="n"/>
      <c r="Y939" s="102" t="n"/>
      <c r="Z939" s="102" t="n"/>
      <c r="AA939" s="102" t="n"/>
      <c r="AB939" s="102" t="n"/>
      <c r="AC939" s="102" t="n"/>
      <c r="AD939" s="102" t="n"/>
    </row>
    <row r="940" ht="15.75" customHeight="1" s="205">
      <c r="A940" s="102" t="n"/>
      <c r="B940" s="147" t="n"/>
      <c r="C940" s="144" t="n"/>
      <c r="D940" s="144" t="n"/>
      <c r="E940" s="144" t="n"/>
      <c r="F940" s="144" t="n"/>
      <c r="G940" s="144" t="n"/>
      <c r="H940" s="141">
        <f>IF(K940&lt;&gt;"", HYPERLINK("https://chatgpt.com/?prompt=" &amp; SUBSTITUTE(SUBSTITUTE(K940, " ", "+"), "&amp;", "dan") &amp; "&amp;force-refresh=true&amp;timestamp=" &amp; TEXT(NOW(), "yyyymmddhhmmss"), "👉 Klik untuk Generate Script! 🔥"), "")</f>
        <v/>
      </c>
      <c r="I940" s="144" t="n"/>
      <c r="J940" s="148" t="n"/>
      <c r="K940" s="140">
        <f>IF(AND(B940&lt;&gt;"", C940&lt;&gt;"", D940&lt;&gt;"", E940&lt;&gt;"", F940&lt;&gt;"", G940&lt;&gt;"", J940&lt;&gt;"", 'CONTENT PILLAR MAPPING'!C842&lt;&gt;"", 'CONTENT PILLAR MAPPING'!E842&lt;&gt;"", 'CONTENT PILLAR MAPPING'!F842&lt;&gt;"", 'CONTENT PILLAR MAPPING'!C845&lt;&gt;"", 'CONTENT PILLAR MAPPING'!C850&lt;&gt;"", 'CONTENT PILLAR MAPPING'!D850&lt;&gt;"", 'CONTENT PILLAR MAPPING'!E850&lt;&gt;"", 'CONTENT PILLAR MAPPING'!D858&lt;&gt;"", 'CONTENT PILLAR MAPPING'!D859&lt;&gt;""),
CONCATENATE(
"Sebagai seorang top konten kreator dengan niche utama '", 'CONTENT PILLAR MAPPING'!C842, "', spesifik kategori '", 'CONTENT PILLAR MAPPING'!E842, "', dan super spesifik '", 'CONTENT PILLAR MAPPING'!F842, "', yang dikenal sebagai '", 'CONTENT PILLAR MAPPING'!C845, "'.", CHAR(10),
"Saya memiliki Tone of Voice: '", 'CONTENT PILLAR MAPPING'!C850, "', Brand Archetype: '", 'CONTENT PILLAR MAPPING'!D850, "', dan Deskripsi Gaya Komunikasi: '", 'CONTENT PILLAR MAPPING'!E850, "'.", CHAR(10),
"Target audiens saya adalah: '", 'CONTENT PILLAR MAPPING'!D858, "', dengan segmentasi audiens: '", 'CONTENT PILLAR MAPPING'!D859, "'.", CHAR(10), CHAR(10),
"Mohon buatkan script konten yang **sangat powerful, menarik, inovatif, dan siap pakai** dengan judul ide '", B940, "'.", CHAR(10),
"Konten ini memiliki pilar '", C940, "', nilai tambah utama '", F940, "', dan akan menggunakan storytelling framework '", G940, "'.", CHAR(10),
"Gambaran singkat ide kontennya adalah: '", J940, "'.", CHAR(10),
"Konten ini akan diunggah di platform '", E940, "' dengan format '", D940,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MAPPING'!C845, "'.** Sesuaikan dengan gaya komunikasi saya, dengan fokus pada nilai tambah '", F940,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MAPPING'!D858, ", khusus ", 'CONTENT PILLAR MAPPING'!D859, ") dan membantu mereka menyelesaikan masalah atau mencapai tujuan mereka.", CHAR(10),
"✔ Membantuku membangun personal branding yang kuat dan sustainable, sesuai dengan Positioning saya sebagai '", 'CONTENT PILLAR MAPPING'!C845, "' dan Brand Archetype '", 'CONTENT PILLAR MAPPING'!D850, "'.", CHAR(10),
"✔ Kemas dalam bentuk tabel agar rapi, mudah di baca dan dipahami, dengan kolom 'Judul Konten', 'Pilar', 'Format', 'Draft Script', 'CTA', 'Saran Visual', dan 'Full Caption'. (Kosongkan kolom Link Prompt jika ada)."
),
"")</f>
        <v/>
      </c>
      <c r="L940" s="199" t="n"/>
      <c r="M940" s="199" t="n"/>
      <c r="N940" s="102" t="n"/>
      <c r="O940" s="102" t="n"/>
      <c r="P940" s="102" t="n"/>
      <c r="Q940" s="102" t="n"/>
      <c r="R940" s="102" t="n"/>
      <c r="S940" s="102" t="n"/>
      <c r="T940" s="102" t="n"/>
      <c r="U940" s="102" t="n"/>
      <c r="V940" s="102" t="n"/>
      <c r="W940" s="102" t="n"/>
      <c r="X940" s="102" t="n"/>
      <c r="Y940" s="102" t="n"/>
      <c r="Z940" s="102" t="n"/>
      <c r="AA940" s="102" t="n"/>
      <c r="AB940" s="102" t="n"/>
      <c r="AC940" s="102" t="n"/>
      <c r="AD940" s="102" t="n"/>
    </row>
    <row r="941" ht="15.75" customHeight="1" s="205">
      <c r="A941" s="102" t="n"/>
      <c r="B941" s="142" t="n"/>
      <c r="C941" s="143" t="n"/>
      <c r="D941" s="143" t="n"/>
      <c r="E941" s="143" t="n"/>
      <c r="F941" s="143" t="n"/>
      <c r="G941" s="144" t="n"/>
      <c r="H941" s="145">
        <f>IF(K941&lt;&gt;"", HYPERLINK("https://chatgpt.com/?prompt=" &amp; SUBSTITUTE(SUBSTITUTE(K941, " ", "+"), "&amp;", "dan") &amp; "&amp;force-refresh=true&amp;timestamp=" &amp; TEXT(NOW(), "yyyymmddhhmmss"), "👉 Klik untuk Generate Script! 🔥"), "")</f>
        <v/>
      </c>
      <c r="I941" s="143" t="n"/>
      <c r="J941" s="146" t="n"/>
      <c r="K941" s="130">
        <f>IF(AND(B941&lt;&gt;"", C941&lt;&gt;"", D941&lt;&gt;"", E941&lt;&gt;"", F941&lt;&gt;"", G941&lt;&gt;"", J941&lt;&gt;"", 'CONTENT PILLAR MAPPING'!C844&lt;&gt;"", 'CONTENT PILLAR MAPPING'!E844&lt;&gt;"", 'CONTENT PILLAR MAPPING'!F844&lt;&gt;"", 'CONTENT PILLAR MAPPING'!C847&lt;&gt;"", 'CONTENT PILLAR MAPPING'!C852&lt;&gt;"", 'CONTENT PILLAR MAPPING'!D852&lt;&gt;"", 'CONTENT PILLAR MAPPING'!E852&lt;&gt;"", 'CONTENT PILLAR MAPPING'!D860&lt;&gt;"", 'CONTENT PILLAR MAPPING'!D861&lt;&gt;""),
CONCATENATE(
"Sebagai seorang top konten kreator dengan niche utama '", 'CONTENT PILLAR MAPPING'!C844, "', spesifik kategori '", 'CONTENT PILLAR MAPPING'!E844, "', dan super spesifik '", 'CONTENT PILLAR MAPPING'!F844, "', yang dikenal sebagai '", 'CONTENT PILLAR MAPPING'!C847, "'.", CHAR(10),
"Saya memiliki Tone of Voice: '", 'CONTENT PILLAR MAPPING'!C852, "', Brand Archetype: '", 'CONTENT PILLAR MAPPING'!D852, "', dan Deskripsi Gaya Komunikasi: '", 'CONTENT PILLAR MAPPING'!E852, "'.", CHAR(10),
"Target audiens saya adalah: '", 'CONTENT PILLAR MAPPING'!D860, "', dengan segmentasi audiens: '", 'CONTENT PILLAR MAPPING'!D861, "'.", CHAR(10), CHAR(10),
"Mohon buatkan script konten yang **sangat powerful, menarik, inovatif, dan siap pakai** dengan judul ide '", B941, "'.", CHAR(10),
"Konten ini memiliki pilar '", C941, "', nilai tambah utama '", F941, "', dan akan menggunakan storytelling framework '", G941, "'.", CHAR(10),
"Gambaran singkat ide kontennya adalah: '", J941, "'.", CHAR(10),
"Konten ini akan diunggah di platform '", E941, "' dengan format '", D941,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MAPPING'!C847, "'.** Sesuaikan dengan gaya komunikasi saya, dengan fokus pada nilai tambah '", F941,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MAPPING'!D860, ", khusus ", 'CONTENT PILLAR MAPPING'!D861, ") dan membantu mereka menyelesaikan masalah atau mencapai tujuan mereka.", CHAR(10),
"✔ Membantuku membangun personal branding yang kuat dan sustainable, sesuai dengan Positioning saya sebagai '", 'CONTENT PILLAR MAPPING'!C847, "' dan Brand Archetype '", 'CONTENT PILLAR MAPPING'!D852, "'.", CHAR(10),
"✔ Kemas dalam bentuk tabel agar rapi, mudah di baca dan dipahami, dengan kolom 'Judul Konten', 'Pilar', 'Format', 'Draft Script', 'CTA', 'Saran Visual', dan 'Full Caption'. (Kosongkan kolom Link Prompt jika ada)."
),
"")</f>
        <v/>
      </c>
      <c r="L941" s="91" t="n"/>
      <c r="M941" s="91" t="n"/>
      <c r="N941" s="102" t="n"/>
      <c r="O941" s="102" t="n"/>
      <c r="P941" s="102" t="n"/>
      <c r="Q941" s="102" t="n"/>
      <c r="R941" s="102" t="n"/>
      <c r="S941" s="102" t="n"/>
      <c r="T941" s="102" t="n"/>
      <c r="U941" s="102" t="n"/>
      <c r="V941" s="102" t="n"/>
      <c r="W941" s="102" t="n"/>
      <c r="X941" s="102" t="n"/>
      <c r="Y941" s="102" t="n"/>
      <c r="Z941" s="102" t="n"/>
      <c r="AA941" s="102" t="n"/>
      <c r="AB941" s="102" t="n"/>
      <c r="AC941" s="102" t="n"/>
      <c r="AD941" s="102" t="n"/>
    </row>
    <row r="942" ht="15.75" customHeight="1" s="205">
      <c r="A942" s="102" t="n"/>
      <c r="B942" s="147" t="n"/>
      <c r="C942" s="144" t="n"/>
      <c r="D942" s="144" t="n"/>
      <c r="E942" s="144" t="n"/>
      <c r="F942" s="144" t="n"/>
      <c r="G942" s="144" t="n"/>
      <c r="H942" s="141">
        <f>IF(K942&lt;&gt;"", HYPERLINK("https://chatgpt.com/?prompt=" &amp; SUBSTITUTE(SUBSTITUTE(K942, " ", "+"), "&amp;", "dan") &amp; "&amp;force-refresh=true&amp;timestamp=" &amp; TEXT(NOW(), "yyyymmddhhmmss"), "👉 Klik untuk Generate Script! 🔥"), "")</f>
        <v/>
      </c>
      <c r="I942" s="144" t="n"/>
      <c r="J942" s="148" t="n"/>
      <c r="K942" s="140">
        <f>IF(AND(B942&lt;&gt;"", C942&lt;&gt;"", D942&lt;&gt;"", E942&lt;&gt;"", F942&lt;&gt;"", G942&lt;&gt;"", J942&lt;&gt;"", 'CONTENT PILLAR MAPPING'!C844&lt;&gt;"", 'CONTENT PILLAR MAPPING'!E844&lt;&gt;"", 'CONTENT PILLAR MAPPING'!F844&lt;&gt;"", 'CONTENT PILLAR MAPPING'!C847&lt;&gt;"", 'CONTENT PILLAR MAPPING'!C852&lt;&gt;"", 'CONTENT PILLAR MAPPING'!D852&lt;&gt;"", 'CONTENT PILLAR MAPPING'!E852&lt;&gt;"", 'CONTENT PILLAR MAPPING'!D860&lt;&gt;"", 'CONTENT PILLAR MAPPING'!D861&lt;&gt;""),
CONCATENATE(
"Sebagai seorang top konten kreator dengan niche utama '", 'CONTENT PILLAR MAPPING'!C844, "', spesifik kategori '", 'CONTENT PILLAR MAPPING'!E844, "', dan super spesifik '", 'CONTENT PILLAR MAPPING'!F844, "', yang dikenal sebagai '", 'CONTENT PILLAR MAPPING'!C847, "'.", CHAR(10),
"Saya memiliki Tone of Voice: '", 'CONTENT PILLAR MAPPING'!C852, "', Brand Archetype: '", 'CONTENT PILLAR MAPPING'!D852, "', dan Deskripsi Gaya Komunikasi: '", 'CONTENT PILLAR MAPPING'!E852, "'.", CHAR(10),
"Target audiens saya adalah: '", 'CONTENT PILLAR MAPPING'!D860, "', dengan segmentasi audiens: '", 'CONTENT PILLAR MAPPING'!D861, "'.", CHAR(10), CHAR(10),
"Mohon buatkan script konten yang **sangat powerful, menarik, inovatif, dan siap pakai** dengan judul ide '", B942, "'.", CHAR(10),
"Konten ini memiliki pilar '", C942, "', nilai tambah utama '", F942, "', dan akan menggunakan storytelling framework '", G942, "'.", CHAR(10),
"Gambaran singkat ide kontennya adalah: '", J942, "'.", CHAR(10),
"Konten ini akan diunggah di platform '", E942, "' dengan format '", D942,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MAPPING'!C847, "'.** Sesuaikan dengan gaya komunikasi saya, dengan fokus pada nilai tambah '", F942,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MAPPING'!D860, ", khusus ", 'CONTENT PILLAR MAPPING'!D861, ") dan membantu mereka menyelesaikan masalah atau mencapai tujuan mereka.", CHAR(10),
"✔ Membantuku membangun personal branding yang kuat dan sustainable, sesuai dengan Positioning saya sebagai '", 'CONTENT PILLAR MAPPING'!C847, "' dan Brand Archetype '", 'CONTENT PILLAR MAPPING'!D852, "'.", CHAR(10),
"✔ Kemas dalam bentuk tabel agar rapi, mudah di baca dan dipahami, dengan kolom 'Judul Konten', 'Pilar', 'Format', 'Draft Script', 'CTA', 'Saran Visual', dan 'Full Caption'. (Kosongkan kolom Link Prompt jika ada)."
),
"")</f>
        <v/>
      </c>
      <c r="L942" s="199" t="n"/>
      <c r="M942" s="199" t="n"/>
      <c r="N942" s="102" t="n"/>
      <c r="O942" s="102" t="n"/>
      <c r="P942" s="102" t="n"/>
      <c r="Q942" s="102" t="n"/>
      <c r="R942" s="102" t="n"/>
      <c r="S942" s="102" t="n"/>
      <c r="T942" s="102" t="n"/>
      <c r="U942" s="102" t="n"/>
      <c r="V942" s="102" t="n"/>
      <c r="W942" s="102" t="n"/>
      <c r="X942" s="102" t="n"/>
      <c r="Y942" s="102" t="n"/>
      <c r="Z942" s="102" t="n"/>
      <c r="AA942" s="102" t="n"/>
      <c r="AB942" s="102" t="n"/>
      <c r="AC942" s="102" t="n"/>
      <c r="AD942" s="102" t="n"/>
    </row>
    <row r="943" ht="15.75" customHeight="1" s="205">
      <c r="A943" s="102" t="n"/>
      <c r="B943" s="142" t="n"/>
      <c r="C943" s="143" t="n"/>
      <c r="D943" s="143" t="n"/>
      <c r="E943" s="143" t="n"/>
      <c r="F943" s="143" t="n"/>
      <c r="G943" s="144" t="n"/>
      <c r="H943" s="145">
        <f>IF(K943&lt;&gt;"", HYPERLINK("https://chatgpt.com/?prompt=" &amp; SUBSTITUTE(SUBSTITUTE(K943, " ", "+"), "&amp;", "dan") &amp; "&amp;force-refresh=true&amp;timestamp=" &amp; TEXT(NOW(), "yyyymmddhhmmss"), "👉 Klik untuk Generate Script! 🔥"), "")</f>
        <v/>
      </c>
      <c r="I943" s="143" t="n"/>
      <c r="J943" s="146" t="n"/>
      <c r="K943" s="130">
        <f>IF(AND(B943&lt;&gt;"", C943&lt;&gt;"", D943&lt;&gt;"", E943&lt;&gt;"", F943&lt;&gt;"", G943&lt;&gt;"", J943&lt;&gt;"", 'CONTENT PILLAR MAPPING'!C846&lt;&gt;"", 'CONTENT PILLAR MAPPING'!E846&lt;&gt;"", 'CONTENT PILLAR MAPPING'!F846&lt;&gt;"", 'CONTENT PILLAR MAPPING'!C849&lt;&gt;"", 'CONTENT PILLAR MAPPING'!C854&lt;&gt;"", 'CONTENT PILLAR MAPPING'!D854&lt;&gt;"", 'CONTENT PILLAR MAPPING'!E854&lt;&gt;"", 'CONTENT PILLAR MAPPING'!D862&lt;&gt;"", 'CONTENT PILLAR MAPPING'!D863&lt;&gt;""),
CONCATENATE(
"Sebagai seorang top konten kreator dengan niche utama '", 'CONTENT PILLAR MAPPING'!C846, "', spesifik kategori '", 'CONTENT PILLAR MAPPING'!E846, "', dan super spesifik '", 'CONTENT PILLAR MAPPING'!F846, "', yang dikenal sebagai '", 'CONTENT PILLAR MAPPING'!C849, "'.", CHAR(10),
"Saya memiliki Tone of Voice: '", 'CONTENT PILLAR MAPPING'!C854, "', Brand Archetype: '", 'CONTENT PILLAR MAPPING'!D854, "', dan Deskripsi Gaya Komunikasi: '", 'CONTENT PILLAR MAPPING'!E854, "'.", CHAR(10),
"Target audiens saya adalah: '", 'CONTENT PILLAR MAPPING'!D862, "', dengan segmentasi audiens: '", 'CONTENT PILLAR MAPPING'!D863, "'.", CHAR(10), CHAR(10),
"Mohon buatkan script konten yang **sangat powerful, menarik, inovatif, dan siap pakai** dengan judul ide '", B943, "'.", CHAR(10),
"Konten ini memiliki pilar '", C943, "', nilai tambah utama '", F943, "', dan akan menggunakan storytelling framework '", G943, "'.", CHAR(10),
"Gambaran singkat ide kontennya adalah: '", J943, "'.", CHAR(10),
"Konten ini akan diunggah di platform '", E943, "' dengan format '", D943,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MAPPING'!C849, "'.** Sesuaikan dengan gaya komunikasi saya, dengan fokus pada nilai tambah '", F943,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MAPPING'!D862, ", khusus ", 'CONTENT PILLAR MAPPING'!D863, ") dan membantu mereka menyelesaikan masalah atau mencapai tujuan mereka.", CHAR(10),
"✔ Membantuku membangun personal branding yang kuat dan sustainable, sesuai dengan Positioning saya sebagai '", 'CONTENT PILLAR MAPPING'!C849, "' dan Brand Archetype '", 'CONTENT PILLAR MAPPING'!D854, "'.", CHAR(10),
"✔ Kemas dalam bentuk tabel agar rapi, mudah di baca dan dipahami, dengan kolom 'Judul Konten', 'Pilar', 'Format', 'Draft Script', 'CTA', 'Saran Visual', dan 'Full Caption'. (Kosongkan kolom Link Prompt jika ada)."
),
"")</f>
        <v/>
      </c>
      <c r="L943" s="91" t="n"/>
      <c r="M943" s="91" t="n"/>
      <c r="N943" s="102" t="n"/>
      <c r="O943" s="102" t="n"/>
      <c r="P943" s="102" t="n"/>
      <c r="Q943" s="102" t="n"/>
      <c r="R943" s="102" t="n"/>
      <c r="S943" s="102" t="n"/>
      <c r="T943" s="102" t="n"/>
      <c r="U943" s="102" t="n"/>
      <c r="V943" s="102" t="n"/>
      <c r="W943" s="102" t="n"/>
      <c r="X943" s="102" t="n"/>
      <c r="Y943" s="102" t="n"/>
      <c r="Z943" s="102" t="n"/>
      <c r="AA943" s="102" t="n"/>
      <c r="AB943" s="102" t="n"/>
      <c r="AC943" s="102" t="n"/>
      <c r="AD943" s="102" t="n"/>
    </row>
    <row r="944" ht="15.75" customHeight="1" s="205">
      <c r="A944" s="102" t="n"/>
      <c r="B944" s="147" t="n"/>
      <c r="C944" s="144" t="n"/>
      <c r="D944" s="144" t="n"/>
      <c r="E944" s="144" t="n"/>
      <c r="F944" s="144" t="n"/>
      <c r="G944" s="144" t="n"/>
      <c r="H944" s="141">
        <f>IF(K944&lt;&gt;"", HYPERLINK("https://chatgpt.com/?prompt=" &amp; SUBSTITUTE(SUBSTITUTE(K944, " ", "+"), "&amp;", "dan") &amp; "&amp;force-refresh=true&amp;timestamp=" &amp; TEXT(NOW(), "yyyymmddhhmmss"), "👉 Klik untuk Generate Script! 🔥"), "")</f>
        <v/>
      </c>
      <c r="I944" s="144" t="n"/>
      <c r="J944" s="148" t="n"/>
      <c r="K944" s="140">
        <f>IF(AND(B944&lt;&gt;"", C944&lt;&gt;"", D944&lt;&gt;"", E944&lt;&gt;"", F944&lt;&gt;"", G944&lt;&gt;"", J944&lt;&gt;"", 'CONTENT PILLAR MAPPING'!C846&lt;&gt;"", 'CONTENT PILLAR MAPPING'!E846&lt;&gt;"", 'CONTENT PILLAR MAPPING'!F846&lt;&gt;"", 'CONTENT PILLAR MAPPING'!C849&lt;&gt;"", 'CONTENT PILLAR MAPPING'!C854&lt;&gt;"", 'CONTENT PILLAR MAPPING'!D854&lt;&gt;"", 'CONTENT PILLAR MAPPING'!E854&lt;&gt;"", 'CONTENT PILLAR MAPPING'!D862&lt;&gt;"", 'CONTENT PILLAR MAPPING'!D863&lt;&gt;""),
CONCATENATE(
"Sebagai seorang top konten kreator dengan niche utama '", 'CONTENT PILLAR MAPPING'!C846, "', spesifik kategori '", 'CONTENT PILLAR MAPPING'!E846, "', dan super spesifik '", 'CONTENT PILLAR MAPPING'!F846, "', yang dikenal sebagai '", 'CONTENT PILLAR MAPPING'!C849, "'.", CHAR(10),
"Saya memiliki Tone of Voice: '", 'CONTENT PILLAR MAPPING'!C854, "', Brand Archetype: '", 'CONTENT PILLAR MAPPING'!D854, "', dan Deskripsi Gaya Komunikasi: '", 'CONTENT PILLAR MAPPING'!E854, "'.", CHAR(10),
"Target audiens saya adalah: '", 'CONTENT PILLAR MAPPING'!D862, "', dengan segmentasi audiens: '", 'CONTENT PILLAR MAPPING'!D863, "'.", CHAR(10), CHAR(10),
"Mohon buatkan script konten yang **sangat powerful, menarik, inovatif, dan siap pakai** dengan judul ide '", B944, "'.", CHAR(10),
"Konten ini memiliki pilar '", C944, "', nilai tambah utama '", F944, "', dan akan menggunakan storytelling framework '", G944, "'.", CHAR(10),
"Gambaran singkat ide kontennya adalah: '", J944, "'.", CHAR(10),
"Konten ini akan diunggah di platform '", E944, "' dengan format '", D944,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MAPPING'!C849, "'.** Sesuaikan dengan gaya komunikasi saya, dengan fokus pada nilai tambah '", F944,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MAPPING'!D862, ", khusus ", 'CONTENT PILLAR MAPPING'!D863, ") dan membantu mereka menyelesaikan masalah atau mencapai tujuan mereka.", CHAR(10),
"✔ Membantuku membangun personal branding yang kuat dan sustainable, sesuai dengan Positioning saya sebagai '", 'CONTENT PILLAR MAPPING'!C849, "' dan Brand Archetype '", 'CONTENT PILLAR MAPPING'!D854, "'.", CHAR(10),
"✔ Kemas dalam bentuk tabel agar rapi, mudah di baca dan dipahami, dengan kolom 'Judul Konten', 'Pilar', 'Format', 'Draft Script', 'CTA', 'Saran Visual', dan 'Full Caption'. (Kosongkan kolom Link Prompt jika ada)."
),
"")</f>
        <v/>
      </c>
      <c r="L944" s="199" t="n"/>
      <c r="M944" s="199" t="n"/>
      <c r="N944" s="102" t="n"/>
      <c r="O944" s="102" t="n"/>
      <c r="P944" s="102" t="n"/>
      <c r="Q944" s="102" t="n"/>
      <c r="R944" s="102" t="n"/>
      <c r="S944" s="102" t="n"/>
      <c r="T944" s="102" t="n"/>
      <c r="U944" s="102" t="n"/>
      <c r="V944" s="102" t="n"/>
      <c r="W944" s="102" t="n"/>
      <c r="X944" s="102" t="n"/>
      <c r="Y944" s="102" t="n"/>
      <c r="Z944" s="102" t="n"/>
      <c r="AA944" s="102" t="n"/>
      <c r="AB944" s="102" t="n"/>
      <c r="AC944" s="102" t="n"/>
      <c r="AD944" s="102" t="n"/>
    </row>
    <row r="945" ht="15.75" customHeight="1" s="205">
      <c r="A945" s="102" t="n"/>
      <c r="B945" s="142" t="n"/>
      <c r="C945" s="143" t="n"/>
      <c r="D945" s="143" t="n"/>
      <c r="E945" s="143" t="n"/>
      <c r="F945" s="143" t="n"/>
      <c r="G945" s="144" t="n"/>
      <c r="H945" s="145">
        <f>IF(K945&lt;&gt;"", HYPERLINK("https://chatgpt.com/?prompt=" &amp; SUBSTITUTE(SUBSTITUTE(K945, " ", "+"), "&amp;", "dan") &amp; "&amp;force-refresh=true&amp;timestamp=" &amp; TEXT(NOW(), "yyyymmddhhmmss"), "👉 Klik untuk Generate Script! 🔥"), "")</f>
        <v/>
      </c>
      <c r="I945" s="143" t="n"/>
      <c r="J945" s="146" t="n"/>
      <c r="K945" s="130">
        <f>IF(AND(B945&lt;&gt;"", C945&lt;&gt;"", D945&lt;&gt;"", E945&lt;&gt;"", F945&lt;&gt;"", G945&lt;&gt;"", J945&lt;&gt;"", 'CONTENT PILLAR MAPPING'!C848&lt;&gt;"", 'CONTENT PILLAR MAPPING'!E848&lt;&gt;"", 'CONTENT PILLAR MAPPING'!F848&lt;&gt;"", 'CONTENT PILLAR MAPPING'!C851&lt;&gt;"", 'CONTENT PILLAR MAPPING'!C856&lt;&gt;"", 'CONTENT PILLAR MAPPING'!D856&lt;&gt;"", 'CONTENT PILLAR MAPPING'!E856&lt;&gt;"", 'CONTENT PILLAR MAPPING'!D864&lt;&gt;"", 'CONTENT PILLAR MAPPING'!D865&lt;&gt;""),
CONCATENATE(
"Sebagai seorang top konten kreator dengan niche utama '", 'CONTENT PILLAR MAPPING'!C848, "', spesifik kategori '", 'CONTENT PILLAR MAPPING'!E848, "', dan super spesifik '", 'CONTENT PILLAR MAPPING'!F848, "', yang dikenal sebagai '", 'CONTENT PILLAR MAPPING'!C851, "'.", CHAR(10),
"Saya memiliki Tone of Voice: '", 'CONTENT PILLAR MAPPING'!C856, "', Brand Archetype: '", 'CONTENT PILLAR MAPPING'!D856, "', dan Deskripsi Gaya Komunikasi: '", 'CONTENT PILLAR MAPPING'!E856, "'.", CHAR(10),
"Target audiens saya adalah: '", 'CONTENT PILLAR MAPPING'!D864, "', dengan segmentasi audiens: '", 'CONTENT PILLAR MAPPING'!D865, "'.", CHAR(10), CHAR(10),
"Mohon buatkan script konten yang **sangat powerful, menarik, inovatif, dan siap pakai** dengan judul ide '", B945, "'.", CHAR(10),
"Konten ini memiliki pilar '", C945, "', nilai tambah utama '", F945, "', dan akan menggunakan storytelling framework '", G945, "'.", CHAR(10),
"Gambaran singkat ide kontennya adalah: '", J945, "'.", CHAR(10),
"Konten ini akan diunggah di platform '", E945, "' dengan format '", D945,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MAPPING'!C851, "'.** Sesuaikan dengan gaya komunikasi saya, dengan fokus pada nilai tambah '", F945,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MAPPING'!D864, ", khusus ", 'CONTENT PILLAR MAPPING'!D865, ") dan membantu mereka menyelesaikan masalah atau mencapai tujuan mereka.", CHAR(10),
"✔ Membantuku membangun personal branding yang kuat dan sustainable, sesuai dengan Positioning saya sebagai '", 'CONTENT PILLAR MAPPING'!C851, "' dan Brand Archetype '", 'CONTENT PILLAR MAPPING'!D856, "'.", CHAR(10),
"✔ Kemas dalam bentuk tabel agar rapi, mudah di baca dan dipahami, dengan kolom 'Judul Konten', 'Pilar', 'Format', 'Draft Script', 'CTA', 'Saran Visual', dan 'Full Caption'. (Kosongkan kolom Link Prompt jika ada)."
),
"")</f>
        <v/>
      </c>
      <c r="L945" s="91" t="n"/>
      <c r="M945" s="91" t="n"/>
      <c r="N945" s="102" t="n"/>
      <c r="O945" s="102" t="n"/>
      <c r="P945" s="102" t="n"/>
      <c r="Q945" s="102" t="n"/>
      <c r="R945" s="102" t="n"/>
      <c r="S945" s="102" t="n"/>
      <c r="T945" s="102" t="n"/>
      <c r="U945" s="102" t="n"/>
      <c r="V945" s="102" t="n"/>
      <c r="W945" s="102" t="n"/>
      <c r="X945" s="102" t="n"/>
      <c r="Y945" s="102" t="n"/>
      <c r="Z945" s="102" t="n"/>
      <c r="AA945" s="102" t="n"/>
      <c r="AB945" s="102" t="n"/>
      <c r="AC945" s="102" t="n"/>
      <c r="AD945" s="102" t="n"/>
    </row>
    <row r="946" ht="15.75" customHeight="1" s="205">
      <c r="A946" s="102" t="n"/>
      <c r="B946" s="147" t="n"/>
      <c r="C946" s="144" t="n"/>
      <c r="D946" s="144" t="n"/>
      <c r="E946" s="144" t="n"/>
      <c r="F946" s="144" t="n"/>
      <c r="G946" s="144" t="n"/>
      <c r="H946" s="141">
        <f>IF(K946&lt;&gt;"", HYPERLINK("https://chatgpt.com/?prompt=" &amp; SUBSTITUTE(SUBSTITUTE(K946, " ", "+"), "&amp;", "dan") &amp; "&amp;force-refresh=true&amp;timestamp=" &amp; TEXT(NOW(), "yyyymmddhhmmss"), "👉 Klik untuk Generate Script! 🔥"), "")</f>
        <v/>
      </c>
      <c r="I946" s="144" t="n"/>
      <c r="J946" s="148" t="n"/>
      <c r="K946" s="140">
        <f>IF(AND(B946&lt;&gt;"", C946&lt;&gt;"", D946&lt;&gt;"", E946&lt;&gt;"", F946&lt;&gt;"", G946&lt;&gt;"", J946&lt;&gt;"", 'CONTENT PILLAR MAPPING'!C848&lt;&gt;"", 'CONTENT PILLAR MAPPING'!E848&lt;&gt;"", 'CONTENT PILLAR MAPPING'!F848&lt;&gt;"", 'CONTENT PILLAR MAPPING'!C851&lt;&gt;"", 'CONTENT PILLAR MAPPING'!C856&lt;&gt;"", 'CONTENT PILLAR MAPPING'!D856&lt;&gt;"", 'CONTENT PILLAR MAPPING'!E856&lt;&gt;"", 'CONTENT PILLAR MAPPING'!D864&lt;&gt;"", 'CONTENT PILLAR MAPPING'!D865&lt;&gt;""),
CONCATENATE(
"Sebagai seorang top konten kreator dengan niche utama '", 'CONTENT PILLAR MAPPING'!C848, "', spesifik kategori '", 'CONTENT PILLAR MAPPING'!E848, "', dan super spesifik '", 'CONTENT PILLAR MAPPING'!F848, "', yang dikenal sebagai '", 'CONTENT PILLAR MAPPING'!C851, "'.", CHAR(10),
"Saya memiliki Tone of Voice: '", 'CONTENT PILLAR MAPPING'!C856, "', Brand Archetype: '", 'CONTENT PILLAR MAPPING'!D856, "', dan Deskripsi Gaya Komunikasi: '", 'CONTENT PILLAR MAPPING'!E856, "'.", CHAR(10),
"Target audiens saya adalah: '", 'CONTENT PILLAR MAPPING'!D864, "', dengan segmentasi audiens: '", 'CONTENT PILLAR MAPPING'!D865, "'.", CHAR(10), CHAR(10),
"Mohon buatkan script konten yang **sangat powerful, menarik, inovatif, dan siap pakai** dengan judul ide '", B946, "'.", CHAR(10),
"Konten ini memiliki pilar '", C946, "', nilai tambah utama '", F946, "', dan akan menggunakan storytelling framework '", G946, "'.", CHAR(10),
"Gambaran singkat ide kontennya adalah: '", J946, "'.", CHAR(10),
"Konten ini akan diunggah di platform '", E946, "' dengan format '", D946,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MAPPING'!C851, "'.** Sesuaikan dengan gaya komunikasi saya, dengan fokus pada nilai tambah '", F946,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MAPPING'!D864, ", khusus ", 'CONTENT PILLAR MAPPING'!D865, ") dan membantu mereka menyelesaikan masalah atau mencapai tujuan mereka.", CHAR(10),
"✔ Membantuku membangun personal branding yang kuat dan sustainable, sesuai dengan Positioning saya sebagai '", 'CONTENT PILLAR MAPPING'!C851, "' dan Brand Archetype '", 'CONTENT PILLAR MAPPING'!D856, "'.", CHAR(10),
"✔ Kemas dalam bentuk tabel agar rapi, mudah di baca dan dipahami, dengan kolom 'Judul Konten', 'Pilar', 'Format', 'Draft Script', 'CTA', 'Saran Visual', dan 'Full Caption'. (Kosongkan kolom Link Prompt jika ada)."
),
"")</f>
        <v/>
      </c>
      <c r="L946" s="199" t="n"/>
      <c r="M946" s="199" t="n"/>
      <c r="N946" s="102" t="n"/>
      <c r="O946" s="102" t="n"/>
      <c r="P946" s="102" t="n"/>
      <c r="Q946" s="102" t="n"/>
      <c r="R946" s="102" t="n"/>
      <c r="S946" s="102" t="n"/>
      <c r="T946" s="102" t="n"/>
      <c r="U946" s="102" t="n"/>
      <c r="V946" s="102" t="n"/>
      <c r="W946" s="102" t="n"/>
      <c r="X946" s="102" t="n"/>
      <c r="Y946" s="102" t="n"/>
      <c r="Z946" s="102" t="n"/>
      <c r="AA946" s="102" t="n"/>
      <c r="AB946" s="102" t="n"/>
      <c r="AC946" s="102" t="n"/>
      <c r="AD946" s="102" t="n"/>
    </row>
    <row r="947" ht="15.75" customHeight="1" s="205">
      <c r="A947" s="102" t="n"/>
      <c r="B947" s="142" t="n"/>
      <c r="C947" s="143" t="n"/>
      <c r="D947" s="143" t="n"/>
      <c r="E947" s="143" t="n"/>
      <c r="F947" s="143" t="n"/>
      <c r="G947" s="144" t="n"/>
      <c r="H947" s="145">
        <f>IF(K947&lt;&gt;"", HYPERLINK("https://chatgpt.com/?prompt=" &amp; SUBSTITUTE(SUBSTITUTE(K947, " ", "+"), "&amp;", "dan") &amp; "&amp;force-refresh=true&amp;timestamp=" &amp; TEXT(NOW(), "yyyymmddhhmmss"), "👉 Klik untuk Generate Script! 🔥"), "")</f>
        <v/>
      </c>
      <c r="I947" s="143" t="n"/>
      <c r="J947" s="146" t="n"/>
      <c r="K947" s="130">
        <f>IF(AND(B947&lt;&gt;"", C947&lt;&gt;"", D947&lt;&gt;"", E947&lt;&gt;"", F947&lt;&gt;"", G947&lt;&gt;"", J947&lt;&gt;"", 'CONTENT PILLAR MAPPING'!C850&lt;&gt;"", 'CONTENT PILLAR MAPPING'!E850&lt;&gt;"", 'CONTENT PILLAR MAPPING'!F850&lt;&gt;"", 'CONTENT PILLAR MAPPING'!C853&lt;&gt;"", 'CONTENT PILLAR MAPPING'!C858&lt;&gt;"", 'CONTENT PILLAR MAPPING'!D858&lt;&gt;"", 'CONTENT PILLAR MAPPING'!E858&lt;&gt;"", 'CONTENT PILLAR MAPPING'!D866&lt;&gt;"", 'CONTENT PILLAR MAPPING'!D867&lt;&gt;""),
CONCATENATE(
"Sebagai seorang top konten kreator dengan niche utama '", 'CONTENT PILLAR MAPPING'!C850, "', spesifik kategori '", 'CONTENT PILLAR MAPPING'!E850, "', dan super spesifik '", 'CONTENT PILLAR MAPPING'!F850, "', yang dikenal sebagai '", 'CONTENT PILLAR MAPPING'!C853, "'.", CHAR(10),
"Saya memiliki Tone of Voice: '", 'CONTENT PILLAR MAPPING'!C858, "', Brand Archetype: '", 'CONTENT PILLAR MAPPING'!D858, "', dan Deskripsi Gaya Komunikasi: '", 'CONTENT PILLAR MAPPING'!E858, "'.", CHAR(10),
"Target audiens saya adalah: '", 'CONTENT PILLAR MAPPING'!D866, "', dengan segmentasi audiens: '", 'CONTENT PILLAR MAPPING'!D867, "'.", CHAR(10), CHAR(10),
"Mohon buatkan script konten yang **sangat powerful, menarik, inovatif, dan siap pakai** dengan judul ide '", B947, "'.", CHAR(10),
"Konten ini memiliki pilar '", C947, "', nilai tambah utama '", F947, "', dan akan menggunakan storytelling framework '", G947, "'.", CHAR(10),
"Gambaran singkat ide kontennya adalah: '", J947, "'.", CHAR(10),
"Konten ini akan diunggah di platform '", E947, "' dengan format '", D947,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MAPPING'!C853, "'.** Sesuaikan dengan gaya komunikasi saya, dengan fokus pada nilai tambah '", F947,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MAPPING'!D866, ", khusus ", 'CONTENT PILLAR MAPPING'!D867, ") dan membantu mereka menyelesaikan masalah atau mencapai tujuan mereka.", CHAR(10),
"✔ Membantuku membangun personal branding yang kuat dan sustainable, sesuai dengan Positioning saya sebagai '", 'CONTENT PILLAR MAPPING'!C853, "' dan Brand Archetype '", 'CONTENT PILLAR MAPPING'!D858, "'.", CHAR(10),
"✔ Kemas dalam bentuk tabel agar rapi, mudah di baca dan dipahami, dengan kolom 'Judul Konten', 'Pilar', 'Format', 'Draft Script', 'CTA', 'Saran Visual', dan 'Full Caption'. (Kosongkan kolom Link Prompt jika ada)."
),
"")</f>
        <v/>
      </c>
      <c r="L947" s="91" t="n"/>
      <c r="M947" s="91" t="n"/>
      <c r="N947" s="102" t="n"/>
      <c r="O947" s="102" t="n"/>
      <c r="P947" s="102" t="n"/>
      <c r="Q947" s="102" t="n"/>
      <c r="R947" s="102" t="n"/>
      <c r="S947" s="102" t="n"/>
      <c r="T947" s="102" t="n"/>
      <c r="U947" s="102" t="n"/>
      <c r="V947" s="102" t="n"/>
      <c r="W947" s="102" t="n"/>
      <c r="X947" s="102" t="n"/>
      <c r="Y947" s="102" t="n"/>
      <c r="Z947" s="102" t="n"/>
      <c r="AA947" s="102" t="n"/>
      <c r="AB947" s="102" t="n"/>
      <c r="AC947" s="102" t="n"/>
      <c r="AD947" s="102" t="n"/>
    </row>
    <row r="948" ht="15.75" customHeight="1" s="205">
      <c r="A948" s="102" t="n"/>
      <c r="B948" s="147" t="n"/>
      <c r="C948" s="144" t="n"/>
      <c r="D948" s="144" t="n"/>
      <c r="E948" s="144" t="n"/>
      <c r="F948" s="144" t="n"/>
      <c r="G948" s="144" t="n"/>
      <c r="H948" s="141">
        <f>IF(K948&lt;&gt;"", HYPERLINK("https://chatgpt.com/?prompt=" &amp; SUBSTITUTE(SUBSTITUTE(K948, " ", "+"), "&amp;", "dan") &amp; "&amp;force-refresh=true&amp;timestamp=" &amp; TEXT(NOW(), "yyyymmddhhmmss"), "👉 Klik untuk Generate Script! 🔥"), "")</f>
        <v/>
      </c>
      <c r="I948" s="144" t="n"/>
      <c r="J948" s="148" t="n"/>
      <c r="K948" s="140">
        <f>IF(AND(B948&lt;&gt;"", C948&lt;&gt;"", D948&lt;&gt;"", E948&lt;&gt;"", F948&lt;&gt;"", G948&lt;&gt;"", J948&lt;&gt;"", 'CONTENT PILLAR MAPPING'!C850&lt;&gt;"", 'CONTENT PILLAR MAPPING'!E850&lt;&gt;"", 'CONTENT PILLAR MAPPING'!F850&lt;&gt;"", 'CONTENT PILLAR MAPPING'!C853&lt;&gt;"", 'CONTENT PILLAR MAPPING'!C858&lt;&gt;"", 'CONTENT PILLAR MAPPING'!D858&lt;&gt;"", 'CONTENT PILLAR MAPPING'!E858&lt;&gt;"", 'CONTENT PILLAR MAPPING'!D866&lt;&gt;"", 'CONTENT PILLAR MAPPING'!D867&lt;&gt;""),
CONCATENATE(
"Sebagai seorang top konten kreator dengan niche utama '", 'CONTENT PILLAR MAPPING'!C850, "', spesifik kategori '", 'CONTENT PILLAR MAPPING'!E850, "', dan super spesifik '", 'CONTENT PILLAR MAPPING'!F850, "', yang dikenal sebagai '", 'CONTENT PILLAR MAPPING'!C853, "'.", CHAR(10),
"Saya memiliki Tone of Voice: '", 'CONTENT PILLAR MAPPING'!C858, "', Brand Archetype: '", 'CONTENT PILLAR MAPPING'!D858, "', dan Deskripsi Gaya Komunikasi: '", 'CONTENT PILLAR MAPPING'!E858, "'.", CHAR(10),
"Target audiens saya adalah: '", 'CONTENT PILLAR MAPPING'!D866, "', dengan segmentasi audiens: '", 'CONTENT PILLAR MAPPING'!D867, "'.", CHAR(10), CHAR(10),
"Mohon buatkan script konten yang **sangat powerful, menarik, inovatif, dan siap pakai** dengan judul ide '", B948, "'.", CHAR(10),
"Konten ini memiliki pilar '", C948, "', nilai tambah utama '", F948, "', dan akan menggunakan storytelling framework '", G948, "'.", CHAR(10),
"Gambaran singkat ide kontennya adalah: '", J948, "'.", CHAR(10),
"Konten ini akan diunggah di platform '", E948, "' dengan format '", D948,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MAPPING'!C853, "'.** Sesuaikan dengan gaya komunikasi saya, dengan fokus pada nilai tambah '", F948,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MAPPING'!D866, ", khusus ", 'CONTENT PILLAR MAPPING'!D867, ") dan membantu mereka menyelesaikan masalah atau mencapai tujuan mereka.", CHAR(10),
"✔ Membantuku membangun personal branding yang kuat dan sustainable, sesuai dengan Positioning saya sebagai '", 'CONTENT PILLAR MAPPING'!C853, "' dan Brand Archetype '", 'CONTENT PILLAR MAPPING'!D858, "'.", CHAR(10),
"✔ Kemas dalam bentuk tabel agar rapi, mudah di baca dan dipahami, dengan kolom 'Judul Konten', 'Pilar', 'Format', 'Draft Script', 'CTA', 'Saran Visual', dan 'Full Caption'. (Kosongkan kolom Link Prompt jika ada)."
),
"")</f>
        <v/>
      </c>
      <c r="L948" s="199" t="n"/>
      <c r="M948" s="199" t="n"/>
      <c r="N948" s="102" t="n"/>
      <c r="O948" s="102" t="n"/>
      <c r="P948" s="102" t="n"/>
      <c r="Q948" s="102" t="n"/>
      <c r="R948" s="102" t="n"/>
      <c r="S948" s="102" t="n"/>
      <c r="T948" s="102" t="n"/>
      <c r="U948" s="102" t="n"/>
      <c r="V948" s="102" t="n"/>
      <c r="W948" s="102" t="n"/>
      <c r="X948" s="102" t="n"/>
      <c r="Y948" s="102" t="n"/>
      <c r="Z948" s="102" t="n"/>
      <c r="AA948" s="102" t="n"/>
      <c r="AB948" s="102" t="n"/>
      <c r="AC948" s="102" t="n"/>
      <c r="AD948" s="102" t="n"/>
    </row>
    <row r="949" ht="15.75" customHeight="1" s="205">
      <c r="A949" s="102" t="n"/>
      <c r="B949" s="142" t="n"/>
      <c r="C949" s="143" t="n"/>
      <c r="D949" s="143" t="n"/>
      <c r="E949" s="143" t="n"/>
      <c r="F949" s="143" t="n"/>
      <c r="G949" s="144" t="n"/>
      <c r="H949" s="145">
        <f>IF(K949&lt;&gt;"", HYPERLINK("https://chatgpt.com/?prompt=" &amp; SUBSTITUTE(SUBSTITUTE(K949, " ", "+"), "&amp;", "dan") &amp; "&amp;force-refresh=true&amp;timestamp=" &amp; TEXT(NOW(), "yyyymmddhhmmss"), "👉 Klik untuk Generate Script! 🔥"), "")</f>
        <v/>
      </c>
      <c r="I949" s="143" t="n"/>
      <c r="J949" s="146" t="n"/>
      <c r="K949" s="130">
        <f>IF(AND(B949&lt;&gt;"", C949&lt;&gt;"", D949&lt;&gt;"", E949&lt;&gt;"", F949&lt;&gt;"", G949&lt;&gt;"", J949&lt;&gt;"", 'CONTENT PILLAR MAPPING'!C852&lt;&gt;"", 'CONTENT PILLAR MAPPING'!E852&lt;&gt;"", 'CONTENT PILLAR MAPPING'!F852&lt;&gt;"", 'CONTENT PILLAR MAPPING'!C855&lt;&gt;"", 'CONTENT PILLAR MAPPING'!C860&lt;&gt;"", 'CONTENT PILLAR MAPPING'!D860&lt;&gt;"", 'CONTENT PILLAR MAPPING'!E860&lt;&gt;"", 'CONTENT PILLAR MAPPING'!D868&lt;&gt;"", 'CONTENT PILLAR MAPPING'!D869&lt;&gt;""),
CONCATENATE(
"Sebagai seorang top konten kreator dengan niche utama '", 'CONTENT PILLAR MAPPING'!C852, "', spesifik kategori '", 'CONTENT PILLAR MAPPING'!E852, "', dan super spesifik '", 'CONTENT PILLAR MAPPING'!F852, "', yang dikenal sebagai '", 'CONTENT PILLAR MAPPING'!C855, "'.", CHAR(10),
"Saya memiliki Tone of Voice: '", 'CONTENT PILLAR MAPPING'!C860, "', Brand Archetype: '", 'CONTENT PILLAR MAPPING'!D860, "', dan Deskripsi Gaya Komunikasi: '", 'CONTENT PILLAR MAPPING'!E860, "'.", CHAR(10),
"Target audiens saya adalah: '", 'CONTENT PILLAR MAPPING'!D868, "', dengan segmentasi audiens: '", 'CONTENT PILLAR MAPPING'!D869, "'.", CHAR(10), CHAR(10),
"Mohon buatkan script konten yang **sangat powerful, menarik, inovatif, dan siap pakai** dengan judul ide '", B949, "'.", CHAR(10),
"Konten ini memiliki pilar '", C949, "', nilai tambah utama '", F949, "', dan akan menggunakan storytelling framework '", G949, "'.", CHAR(10),
"Gambaran singkat ide kontennya adalah: '", J949, "'.", CHAR(10),
"Konten ini akan diunggah di platform '", E949, "' dengan format '", D949,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MAPPING'!C855, "'.** Sesuaikan dengan gaya komunikasi saya, dengan fokus pada nilai tambah '", F949,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MAPPING'!D868, ", khusus ", 'CONTENT PILLAR MAPPING'!D869, ") dan membantu mereka menyelesaikan masalah atau mencapai tujuan mereka.", CHAR(10),
"✔ Membantuku membangun personal branding yang kuat dan sustainable, sesuai dengan Positioning saya sebagai '", 'CONTENT PILLAR MAPPING'!C855, "' dan Brand Archetype '", 'CONTENT PILLAR MAPPING'!D860, "'.", CHAR(10),
"✔ Kemas dalam bentuk tabel agar rapi, mudah di baca dan dipahami, dengan kolom 'Judul Konten', 'Pilar', 'Format', 'Draft Script', 'CTA', 'Saran Visual', dan 'Full Caption'. (Kosongkan kolom Link Prompt jika ada)."
),
"")</f>
        <v/>
      </c>
      <c r="L949" s="91" t="n"/>
      <c r="M949" s="91" t="n"/>
      <c r="N949" s="102" t="n"/>
      <c r="O949" s="102" t="n"/>
      <c r="P949" s="102" t="n"/>
      <c r="Q949" s="102" t="n"/>
      <c r="R949" s="102" t="n"/>
      <c r="S949" s="102" t="n"/>
      <c r="T949" s="102" t="n"/>
      <c r="U949" s="102" t="n"/>
      <c r="V949" s="102" t="n"/>
      <c r="W949" s="102" t="n"/>
      <c r="X949" s="102" t="n"/>
      <c r="Y949" s="102" t="n"/>
      <c r="Z949" s="102" t="n"/>
      <c r="AA949" s="102" t="n"/>
      <c r="AB949" s="102" t="n"/>
      <c r="AC949" s="102" t="n"/>
      <c r="AD949" s="102" t="n"/>
    </row>
    <row r="950" ht="15.75" customHeight="1" s="205">
      <c r="A950" s="102" t="n"/>
      <c r="B950" s="147" t="n"/>
      <c r="C950" s="144" t="n"/>
      <c r="D950" s="144" t="n"/>
      <c r="E950" s="144" t="n"/>
      <c r="F950" s="144" t="n"/>
      <c r="G950" s="144" t="n"/>
      <c r="H950" s="141">
        <f>IF(K950&lt;&gt;"", HYPERLINK("https://chatgpt.com/?prompt=" &amp; SUBSTITUTE(SUBSTITUTE(K950, " ", "+"), "&amp;", "dan") &amp; "&amp;force-refresh=true&amp;timestamp=" &amp; TEXT(NOW(), "yyyymmddhhmmss"), "👉 Klik untuk Generate Script! 🔥"), "")</f>
        <v/>
      </c>
      <c r="I950" s="144" t="n"/>
      <c r="J950" s="148" t="n"/>
      <c r="K950" s="140">
        <f>IF(AND(B950&lt;&gt;"", C950&lt;&gt;"", D950&lt;&gt;"", E950&lt;&gt;"", F950&lt;&gt;"", G950&lt;&gt;"", J950&lt;&gt;"", 'CONTENT PILLAR MAPPING'!C852&lt;&gt;"", 'CONTENT PILLAR MAPPING'!E852&lt;&gt;"", 'CONTENT PILLAR MAPPING'!F852&lt;&gt;"", 'CONTENT PILLAR MAPPING'!C855&lt;&gt;"", 'CONTENT PILLAR MAPPING'!C860&lt;&gt;"", 'CONTENT PILLAR MAPPING'!D860&lt;&gt;"", 'CONTENT PILLAR MAPPING'!E860&lt;&gt;"", 'CONTENT PILLAR MAPPING'!D868&lt;&gt;"", 'CONTENT PILLAR MAPPING'!D869&lt;&gt;""),
CONCATENATE(
"Sebagai seorang top konten kreator dengan niche utama '", 'CONTENT PILLAR MAPPING'!C852, "', spesifik kategori '", 'CONTENT PILLAR MAPPING'!E852, "', dan super spesifik '", 'CONTENT PILLAR MAPPING'!F852, "', yang dikenal sebagai '", 'CONTENT PILLAR MAPPING'!C855, "'.", CHAR(10),
"Saya memiliki Tone of Voice: '", 'CONTENT PILLAR MAPPING'!C860, "', Brand Archetype: '", 'CONTENT PILLAR MAPPING'!D860, "', dan Deskripsi Gaya Komunikasi: '", 'CONTENT PILLAR MAPPING'!E860, "'.", CHAR(10),
"Target audiens saya adalah: '", 'CONTENT PILLAR MAPPING'!D868, "', dengan segmentasi audiens: '", 'CONTENT PILLAR MAPPING'!D869, "'.", CHAR(10), CHAR(10),
"Mohon buatkan script konten yang **sangat powerful, menarik, inovatif, dan siap pakai** dengan judul ide '", B950, "'.", CHAR(10),
"Konten ini memiliki pilar '", C950, "', nilai tambah utama '", F950, "', dan akan menggunakan storytelling framework '", G950, "'.", CHAR(10),
"Gambaran singkat ide kontennya adalah: '", J950, "'.", CHAR(10),
"Konten ini akan diunggah di platform '", E950, "' dengan format '", D950,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MAPPING'!C855, "'.** Sesuaikan dengan gaya komunikasi saya, dengan fokus pada nilai tambah '", F950,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MAPPING'!D868, ", khusus ", 'CONTENT PILLAR MAPPING'!D869, ") dan membantu mereka menyelesaikan masalah atau mencapai tujuan mereka.", CHAR(10),
"✔ Membantuku membangun personal branding yang kuat dan sustainable, sesuai dengan Positioning saya sebagai '", 'CONTENT PILLAR MAPPING'!C855, "' dan Brand Archetype '", 'CONTENT PILLAR MAPPING'!D860, "'.", CHAR(10),
"✔ Kemas dalam bentuk tabel agar rapi, mudah di baca dan dipahami, dengan kolom 'Judul Konten', 'Pilar', 'Format', 'Draft Script', 'CTA', 'Saran Visual', dan 'Full Caption'. (Kosongkan kolom Link Prompt jika ada)."
),
"")</f>
        <v/>
      </c>
      <c r="L950" s="199" t="n"/>
      <c r="M950" s="199" t="n"/>
      <c r="N950" s="102" t="n"/>
      <c r="O950" s="102" t="n"/>
      <c r="P950" s="102" t="n"/>
      <c r="Q950" s="102" t="n"/>
      <c r="R950" s="102" t="n"/>
      <c r="S950" s="102" t="n"/>
      <c r="T950" s="102" t="n"/>
      <c r="U950" s="102" t="n"/>
      <c r="V950" s="102" t="n"/>
      <c r="W950" s="102" t="n"/>
      <c r="X950" s="102" t="n"/>
      <c r="Y950" s="102" t="n"/>
      <c r="Z950" s="102" t="n"/>
      <c r="AA950" s="102" t="n"/>
      <c r="AB950" s="102" t="n"/>
      <c r="AC950" s="102" t="n"/>
      <c r="AD950" s="102" t="n"/>
    </row>
    <row r="951" ht="15.75" customHeight="1" s="205">
      <c r="A951" s="102" t="n"/>
      <c r="B951" s="142" t="n"/>
      <c r="C951" s="143" t="n"/>
      <c r="D951" s="143" t="n"/>
      <c r="E951" s="143" t="n"/>
      <c r="F951" s="143" t="n"/>
      <c r="G951" s="144" t="n"/>
      <c r="H951" s="145">
        <f>IF(K951&lt;&gt;"", HYPERLINK("https://chatgpt.com/?prompt=" &amp; SUBSTITUTE(SUBSTITUTE(K951, " ", "+"), "&amp;", "dan") &amp; "&amp;force-refresh=true&amp;timestamp=" &amp; TEXT(NOW(), "yyyymmddhhmmss"), "👉 Klik untuk Generate Script! 🔥"), "")</f>
        <v/>
      </c>
      <c r="I951" s="143" t="n"/>
      <c r="J951" s="146" t="n"/>
      <c r="K951" s="130">
        <f>IF(AND(B951&lt;&gt;"", C951&lt;&gt;"", D951&lt;&gt;"", E951&lt;&gt;"", F951&lt;&gt;"", G951&lt;&gt;"", J951&lt;&gt;"", 'CONTENT PILLAR MAPPING'!C854&lt;&gt;"", 'CONTENT PILLAR MAPPING'!E854&lt;&gt;"", 'CONTENT PILLAR MAPPING'!F854&lt;&gt;"", 'CONTENT PILLAR MAPPING'!C857&lt;&gt;"", 'CONTENT PILLAR MAPPING'!C862&lt;&gt;"", 'CONTENT PILLAR MAPPING'!D862&lt;&gt;"", 'CONTENT PILLAR MAPPING'!E862&lt;&gt;"", 'CONTENT PILLAR MAPPING'!D870&lt;&gt;"", 'CONTENT PILLAR MAPPING'!D871&lt;&gt;""),
CONCATENATE(
"Sebagai seorang top konten kreator dengan niche utama '", 'CONTENT PILLAR MAPPING'!C854, "', spesifik kategori '", 'CONTENT PILLAR MAPPING'!E854, "', dan super spesifik '", 'CONTENT PILLAR MAPPING'!F854, "', yang dikenal sebagai '", 'CONTENT PILLAR MAPPING'!C857, "'.", CHAR(10),
"Saya memiliki Tone of Voice: '", 'CONTENT PILLAR MAPPING'!C862, "', Brand Archetype: '", 'CONTENT PILLAR MAPPING'!D862, "', dan Deskripsi Gaya Komunikasi: '", 'CONTENT PILLAR MAPPING'!E862, "'.", CHAR(10),
"Target audiens saya adalah: '", 'CONTENT PILLAR MAPPING'!D870, "', dengan segmentasi audiens: '", 'CONTENT PILLAR MAPPING'!D871, "'.", CHAR(10), CHAR(10),
"Mohon buatkan script konten yang **sangat powerful, menarik, inovatif, dan siap pakai** dengan judul ide '", B951, "'.", CHAR(10),
"Konten ini memiliki pilar '", C951, "', nilai tambah utama '", F951, "', dan akan menggunakan storytelling framework '", G951, "'.", CHAR(10),
"Gambaran singkat ide kontennya adalah: '", J951, "'.", CHAR(10),
"Konten ini akan diunggah di platform '", E951, "' dengan format '", D951,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MAPPING'!C857, "'.** Sesuaikan dengan gaya komunikasi saya, dengan fokus pada nilai tambah '", F951,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MAPPING'!D870, ", khusus ", 'CONTENT PILLAR MAPPING'!D871, ") dan membantu mereka menyelesaikan masalah atau mencapai tujuan mereka.", CHAR(10),
"✔ Membantuku membangun personal branding yang kuat dan sustainable, sesuai dengan Positioning saya sebagai '", 'CONTENT PILLAR MAPPING'!C857, "' dan Brand Archetype '", 'CONTENT PILLAR MAPPING'!D862, "'.", CHAR(10),
"✔ Kemas dalam bentuk tabel agar rapi, mudah di baca dan dipahami, dengan kolom 'Judul Konten', 'Pilar', 'Format', 'Draft Script', 'CTA', 'Saran Visual', dan 'Full Caption'. (Kosongkan kolom Link Prompt jika ada)."
),
"")</f>
        <v/>
      </c>
      <c r="L951" s="91" t="n"/>
      <c r="M951" s="91" t="n"/>
      <c r="N951" s="102" t="n"/>
      <c r="O951" s="102" t="n"/>
      <c r="P951" s="102" t="n"/>
      <c r="Q951" s="102" t="n"/>
      <c r="R951" s="102" t="n"/>
      <c r="S951" s="102" t="n"/>
      <c r="T951" s="102" t="n"/>
      <c r="U951" s="102" t="n"/>
      <c r="V951" s="102" t="n"/>
      <c r="W951" s="102" t="n"/>
      <c r="X951" s="102" t="n"/>
      <c r="Y951" s="102" t="n"/>
      <c r="Z951" s="102" t="n"/>
      <c r="AA951" s="102" t="n"/>
      <c r="AB951" s="102" t="n"/>
      <c r="AC951" s="102" t="n"/>
      <c r="AD951" s="102" t="n"/>
    </row>
    <row r="952" ht="15.75" customHeight="1" s="205">
      <c r="A952" s="102" t="n"/>
      <c r="B952" s="147" t="n"/>
      <c r="C952" s="144" t="n"/>
      <c r="D952" s="144" t="n"/>
      <c r="E952" s="144" t="n"/>
      <c r="F952" s="144" t="n"/>
      <c r="G952" s="144" t="n"/>
      <c r="H952" s="141">
        <f>IF(K952&lt;&gt;"", HYPERLINK("https://chatgpt.com/?prompt=" &amp; SUBSTITUTE(SUBSTITUTE(K952, " ", "+"), "&amp;", "dan") &amp; "&amp;force-refresh=true&amp;timestamp=" &amp; TEXT(NOW(), "yyyymmddhhmmss"), "👉 Klik untuk Generate Script! 🔥"), "")</f>
        <v/>
      </c>
      <c r="I952" s="144" t="n"/>
      <c r="J952" s="148" t="n"/>
      <c r="K952" s="140">
        <f>IF(AND(B952&lt;&gt;"", C952&lt;&gt;"", D952&lt;&gt;"", E952&lt;&gt;"", F952&lt;&gt;"", G952&lt;&gt;"", J952&lt;&gt;"", 'CONTENT PILLAR MAPPING'!C854&lt;&gt;"", 'CONTENT PILLAR MAPPING'!E854&lt;&gt;"", 'CONTENT PILLAR MAPPING'!F854&lt;&gt;"", 'CONTENT PILLAR MAPPING'!C857&lt;&gt;"", 'CONTENT PILLAR MAPPING'!C862&lt;&gt;"", 'CONTENT PILLAR MAPPING'!D862&lt;&gt;"", 'CONTENT PILLAR MAPPING'!E862&lt;&gt;"", 'CONTENT PILLAR MAPPING'!D870&lt;&gt;"", 'CONTENT PILLAR MAPPING'!D871&lt;&gt;""),
CONCATENATE(
"Sebagai seorang top konten kreator dengan niche utama '", 'CONTENT PILLAR MAPPING'!C854, "', spesifik kategori '", 'CONTENT PILLAR MAPPING'!E854, "', dan super spesifik '", 'CONTENT PILLAR MAPPING'!F854, "', yang dikenal sebagai '", 'CONTENT PILLAR MAPPING'!C857, "'.", CHAR(10),
"Saya memiliki Tone of Voice: '", 'CONTENT PILLAR MAPPING'!C862, "', Brand Archetype: '", 'CONTENT PILLAR MAPPING'!D862, "', dan Deskripsi Gaya Komunikasi: '", 'CONTENT PILLAR MAPPING'!E862, "'.", CHAR(10),
"Target audiens saya adalah: '", 'CONTENT PILLAR MAPPING'!D870, "', dengan segmentasi audiens: '", 'CONTENT PILLAR MAPPING'!D871, "'.", CHAR(10), CHAR(10),
"Mohon buatkan script konten yang **sangat powerful, menarik, inovatif, dan siap pakai** dengan judul ide '", B952, "'.", CHAR(10),
"Konten ini memiliki pilar '", C952, "', nilai tambah utama '", F952, "', dan akan menggunakan storytelling framework '", G952, "'.", CHAR(10),
"Gambaran singkat ide kontennya adalah: '", J952, "'.", CHAR(10),
"Konten ini akan diunggah di platform '", E952, "' dengan format '", D952,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MAPPING'!C857, "'.** Sesuaikan dengan gaya komunikasi saya, dengan fokus pada nilai tambah '", F952,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MAPPING'!D870, ", khusus ", 'CONTENT PILLAR MAPPING'!D871, ") dan membantu mereka menyelesaikan masalah atau mencapai tujuan mereka.", CHAR(10),
"✔ Membantuku membangun personal branding yang kuat dan sustainable, sesuai dengan Positioning saya sebagai '", 'CONTENT PILLAR MAPPING'!C857, "' dan Brand Archetype '", 'CONTENT PILLAR MAPPING'!D862, "'.", CHAR(10),
"✔ Kemas dalam bentuk tabel agar rapi, mudah di baca dan dipahami, dengan kolom 'Judul Konten', 'Pilar', 'Format', 'Draft Script', 'CTA', 'Saran Visual', dan 'Full Caption'. (Kosongkan kolom Link Prompt jika ada)."
),
"")</f>
        <v/>
      </c>
      <c r="L952" s="199" t="n"/>
      <c r="M952" s="199" t="n"/>
      <c r="N952" s="102" t="n"/>
      <c r="O952" s="102" t="n"/>
      <c r="P952" s="102" t="n"/>
      <c r="Q952" s="102" t="n"/>
      <c r="R952" s="102" t="n"/>
      <c r="S952" s="102" t="n"/>
      <c r="T952" s="102" t="n"/>
      <c r="U952" s="102" t="n"/>
      <c r="V952" s="102" t="n"/>
      <c r="W952" s="102" t="n"/>
      <c r="X952" s="102" t="n"/>
      <c r="Y952" s="102" t="n"/>
      <c r="Z952" s="102" t="n"/>
      <c r="AA952" s="102" t="n"/>
      <c r="AB952" s="102" t="n"/>
      <c r="AC952" s="102" t="n"/>
      <c r="AD952" s="102" t="n"/>
    </row>
    <row r="953" ht="15.75" customHeight="1" s="205">
      <c r="A953" s="102" t="n"/>
      <c r="B953" s="142" t="n"/>
      <c r="C953" s="143" t="n"/>
      <c r="D953" s="143" t="n"/>
      <c r="E953" s="143" t="n"/>
      <c r="F953" s="143" t="n"/>
      <c r="G953" s="144" t="n"/>
      <c r="H953" s="145">
        <f>IF(K953&lt;&gt;"", HYPERLINK("https://chatgpt.com/?prompt=" &amp; SUBSTITUTE(SUBSTITUTE(K953, " ", "+"), "&amp;", "dan") &amp; "&amp;force-refresh=true&amp;timestamp=" &amp; TEXT(NOW(), "yyyymmddhhmmss"), "👉 Klik untuk Generate Script! 🔥"), "")</f>
        <v/>
      </c>
      <c r="I953" s="143" t="n"/>
      <c r="J953" s="146" t="n"/>
      <c r="K953" s="130">
        <f>IF(AND(B953&lt;&gt;"", C953&lt;&gt;"", D953&lt;&gt;"", E953&lt;&gt;"", F953&lt;&gt;"", G953&lt;&gt;"", J953&lt;&gt;"", 'CONTENT PILLAR MAPPING'!C856&lt;&gt;"", 'CONTENT PILLAR MAPPING'!E856&lt;&gt;"", 'CONTENT PILLAR MAPPING'!F856&lt;&gt;"", 'CONTENT PILLAR MAPPING'!C859&lt;&gt;"", 'CONTENT PILLAR MAPPING'!C864&lt;&gt;"", 'CONTENT PILLAR MAPPING'!D864&lt;&gt;"", 'CONTENT PILLAR MAPPING'!E864&lt;&gt;"", 'CONTENT PILLAR MAPPING'!D872&lt;&gt;"", 'CONTENT PILLAR MAPPING'!D873&lt;&gt;""),
CONCATENATE(
"Sebagai seorang top konten kreator dengan niche utama '", 'CONTENT PILLAR MAPPING'!C856, "', spesifik kategori '", 'CONTENT PILLAR MAPPING'!E856, "', dan super spesifik '", 'CONTENT PILLAR MAPPING'!F856, "', yang dikenal sebagai '", 'CONTENT PILLAR MAPPING'!C859, "'.", CHAR(10),
"Saya memiliki Tone of Voice: '", 'CONTENT PILLAR MAPPING'!C864, "', Brand Archetype: '", 'CONTENT PILLAR MAPPING'!D864, "', dan Deskripsi Gaya Komunikasi: '", 'CONTENT PILLAR MAPPING'!E864, "'.", CHAR(10),
"Target audiens saya adalah: '", 'CONTENT PILLAR MAPPING'!D872, "', dengan segmentasi audiens: '", 'CONTENT PILLAR MAPPING'!D873, "'.", CHAR(10), CHAR(10),
"Mohon buatkan script konten yang **sangat powerful, menarik, inovatif, dan siap pakai** dengan judul ide '", B953, "'.", CHAR(10),
"Konten ini memiliki pilar '", C953, "', nilai tambah utama '", F953, "', dan akan menggunakan storytelling framework '", G953, "'.", CHAR(10),
"Gambaran singkat ide kontennya adalah: '", J953, "'.", CHAR(10),
"Konten ini akan diunggah di platform '", E953, "' dengan format '", D953,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MAPPING'!C859, "'.** Sesuaikan dengan gaya komunikasi saya, dengan fokus pada nilai tambah '", F953,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MAPPING'!D872, ", khusus ", 'CONTENT PILLAR MAPPING'!D873, ") dan membantu mereka menyelesaikan masalah atau mencapai tujuan mereka.", CHAR(10),
"✔ Membantuku membangun personal branding yang kuat dan sustainable, sesuai dengan Positioning saya sebagai '", 'CONTENT PILLAR MAPPING'!C859, "' dan Brand Archetype '", 'CONTENT PILLAR MAPPING'!D864, "'.", CHAR(10),
"✔ Kemas dalam bentuk tabel agar rapi, mudah di baca dan dipahami, dengan kolom 'Judul Konten', 'Pilar', 'Format', 'Draft Script', 'CTA', 'Saran Visual', dan 'Full Caption'. (Kosongkan kolom Link Prompt jika ada)."
),
"")</f>
        <v/>
      </c>
      <c r="L953" s="91" t="n"/>
      <c r="M953" s="91" t="n"/>
      <c r="N953" s="102" t="n"/>
      <c r="O953" s="102" t="n"/>
      <c r="P953" s="102" t="n"/>
      <c r="Q953" s="102" t="n"/>
      <c r="R953" s="102" t="n"/>
      <c r="S953" s="102" t="n"/>
      <c r="T953" s="102" t="n"/>
      <c r="U953" s="102" t="n"/>
      <c r="V953" s="102" t="n"/>
      <c r="W953" s="102" t="n"/>
      <c r="X953" s="102" t="n"/>
      <c r="Y953" s="102" t="n"/>
      <c r="Z953" s="102" t="n"/>
      <c r="AA953" s="102" t="n"/>
      <c r="AB953" s="102" t="n"/>
      <c r="AC953" s="102" t="n"/>
      <c r="AD953" s="102" t="n"/>
    </row>
    <row r="954" ht="15.75" customHeight="1" s="205">
      <c r="A954" s="102" t="n"/>
      <c r="B954" s="147" t="n"/>
      <c r="C954" s="144" t="n"/>
      <c r="D954" s="144" t="n"/>
      <c r="E954" s="144" t="n"/>
      <c r="F954" s="144" t="n"/>
      <c r="G954" s="144" t="n"/>
      <c r="H954" s="141">
        <f>IF(K954&lt;&gt;"", HYPERLINK("https://chatgpt.com/?prompt=" &amp; SUBSTITUTE(SUBSTITUTE(K954, " ", "+"), "&amp;", "dan") &amp; "&amp;force-refresh=true&amp;timestamp=" &amp; TEXT(NOW(), "yyyymmddhhmmss"), "👉 Klik untuk Generate Script! 🔥"), "")</f>
        <v/>
      </c>
      <c r="I954" s="144" t="n"/>
      <c r="J954" s="148" t="n"/>
      <c r="K954" s="140">
        <f>IF(AND(B954&lt;&gt;"", C954&lt;&gt;"", D954&lt;&gt;"", E954&lt;&gt;"", F954&lt;&gt;"", G954&lt;&gt;"", J954&lt;&gt;"", 'CONTENT PILLAR MAPPING'!C856&lt;&gt;"", 'CONTENT PILLAR MAPPING'!E856&lt;&gt;"", 'CONTENT PILLAR MAPPING'!F856&lt;&gt;"", 'CONTENT PILLAR MAPPING'!C859&lt;&gt;"", 'CONTENT PILLAR MAPPING'!C864&lt;&gt;"", 'CONTENT PILLAR MAPPING'!D864&lt;&gt;"", 'CONTENT PILLAR MAPPING'!E864&lt;&gt;"", 'CONTENT PILLAR MAPPING'!D872&lt;&gt;"", 'CONTENT PILLAR MAPPING'!D873&lt;&gt;""),
CONCATENATE(
"Sebagai seorang top konten kreator dengan niche utama '", 'CONTENT PILLAR MAPPING'!C856, "', spesifik kategori '", 'CONTENT PILLAR MAPPING'!E856, "', dan super spesifik '", 'CONTENT PILLAR MAPPING'!F856, "', yang dikenal sebagai '", 'CONTENT PILLAR MAPPING'!C859, "'.", CHAR(10),
"Saya memiliki Tone of Voice: '", 'CONTENT PILLAR MAPPING'!C864, "', Brand Archetype: '", 'CONTENT PILLAR MAPPING'!D864, "', dan Deskripsi Gaya Komunikasi: '", 'CONTENT PILLAR MAPPING'!E864, "'.", CHAR(10),
"Target audiens saya adalah: '", 'CONTENT PILLAR MAPPING'!D872, "', dengan segmentasi audiens: '", 'CONTENT PILLAR MAPPING'!D873, "'.", CHAR(10), CHAR(10),
"Mohon buatkan script konten yang **sangat powerful, menarik, inovatif, dan siap pakai** dengan judul ide '", B954, "'.", CHAR(10),
"Konten ini memiliki pilar '", C954, "', nilai tambah utama '", F954, "', dan akan menggunakan storytelling framework '", G954, "'.", CHAR(10),
"Gambaran singkat ide kontennya adalah: '", J954, "'.", CHAR(10),
"Konten ini akan diunggah di platform '", E954, "' dengan format '", D954,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MAPPING'!C859, "'.** Sesuaikan dengan gaya komunikasi saya, dengan fokus pada nilai tambah '", F954,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MAPPING'!D872, ", khusus ", 'CONTENT PILLAR MAPPING'!D873, ") dan membantu mereka menyelesaikan masalah atau mencapai tujuan mereka.", CHAR(10),
"✔ Membantuku membangun personal branding yang kuat dan sustainable, sesuai dengan Positioning saya sebagai '", 'CONTENT PILLAR MAPPING'!C859, "' dan Brand Archetype '", 'CONTENT PILLAR MAPPING'!D864, "'.", CHAR(10),
"✔ Kemas dalam bentuk tabel agar rapi, mudah di baca dan dipahami, dengan kolom 'Judul Konten', 'Pilar', 'Format', 'Draft Script', 'CTA', 'Saran Visual', dan 'Full Caption'. (Kosongkan kolom Link Prompt jika ada)."
),
"")</f>
        <v/>
      </c>
      <c r="L954" s="199" t="n"/>
      <c r="M954" s="199" t="n"/>
      <c r="N954" s="102" t="n"/>
      <c r="O954" s="102" t="n"/>
      <c r="P954" s="102" t="n"/>
      <c r="Q954" s="102" t="n"/>
      <c r="R954" s="102" t="n"/>
      <c r="S954" s="102" t="n"/>
      <c r="T954" s="102" t="n"/>
      <c r="U954" s="102" t="n"/>
      <c r="V954" s="102" t="n"/>
      <c r="W954" s="102" t="n"/>
      <c r="X954" s="102" t="n"/>
      <c r="Y954" s="102" t="n"/>
      <c r="Z954" s="102" t="n"/>
      <c r="AA954" s="102" t="n"/>
      <c r="AB954" s="102" t="n"/>
      <c r="AC954" s="102" t="n"/>
      <c r="AD954" s="102" t="n"/>
    </row>
    <row r="955" ht="15.75" customHeight="1" s="205">
      <c r="A955" s="102" t="n"/>
      <c r="B955" s="142" t="n"/>
      <c r="C955" s="143" t="n"/>
      <c r="D955" s="143" t="n"/>
      <c r="E955" s="143" t="n"/>
      <c r="F955" s="143" t="n"/>
      <c r="G955" s="144" t="n"/>
      <c r="H955" s="145">
        <f>IF(K955&lt;&gt;"", HYPERLINK("https://chatgpt.com/?prompt=" &amp; SUBSTITUTE(SUBSTITUTE(K955, " ", "+"), "&amp;", "dan") &amp; "&amp;force-refresh=true&amp;timestamp=" &amp; TEXT(NOW(), "yyyymmddhhmmss"), "👉 Klik untuk Generate Script! 🔥"), "")</f>
        <v/>
      </c>
      <c r="I955" s="143" t="n"/>
      <c r="J955" s="146" t="n"/>
      <c r="K955" s="130">
        <f>IF(AND(B955&lt;&gt;"", C955&lt;&gt;"", D955&lt;&gt;"", E955&lt;&gt;"", F955&lt;&gt;"", G955&lt;&gt;"", J955&lt;&gt;"", 'CONTENT PILLAR MAPPING'!C858&lt;&gt;"", 'CONTENT PILLAR MAPPING'!E858&lt;&gt;"", 'CONTENT PILLAR MAPPING'!F858&lt;&gt;"", 'CONTENT PILLAR MAPPING'!C861&lt;&gt;"", 'CONTENT PILLAR MAPPING'!C866&lt;&gt;"", 'CONTENT PILLAR MAPPING'!D866&lt;&gt;"", 'CONTENT PILLAR MAPPING'!E866&lt;&gt;"", 'CONTENT PILLAR MAPPING'!D874&lt;&gt;"", 'CONTENT PILLAR MAPPING'!D875&lt;&gt;""),
CONCATENATE(
"Sebagai seorang top konten kreator dengan niche utama '", 'CONTENT PILLAR MAPPING'!C858, "', spesifik kategori '", 'CONTENT PILLAR MAPPING'!E858, "', dan super spesifik '", 'CONTENT PILLAR MAPPING'!F858, "', yang dikenal sebagai '", 'CONTENT PILLAR MAPPING'!C861, "'.", CHAR(10),
"Saya memiliki Tone of Voice: '", 'CONTENT PILLAR MAPPING'!C866, "', Brand Archetype: '", 'CONTENT PILLAR MAPPING'!D866, "', dan Deskripsi Gaya Komunikasi: '", 'CONTENT PILLAR MAPPING'!E866, "'.", CHAR(10),
"Target audiens saya adalah: '", 'CONTENT PILLAR MAPPING'!D874, "', dengan segmentasi audiens: '", 'CONTENT PILLAR MAPPING'!D875, "'.", CHAR(10), CHAR(10),
"Mohon buatkan script konten yang **sangat powerful, menarik, inovatif, dan siap pakai** dengan judul ide '", B955, "'.", CHAR(10),
"Konten ini memiliki pilar '", C955, "', nilai tambah utama '", F955, "', dan akan menggunakan storytelling framework '", G955, "'.", CHAR(10),
"Gambaran singkat ide kontennya adalah: '", J955, "'.", CHAR(10),
"Konten ini akan diunggah di platform '", E955, "' dengan format '", D955,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MAPPING'!C861, "'.** Sesuaikan dengan gaya komunikasi saya, dengan fokus pada nilai tambah '", F955,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MAPPING'!D874, ", khusus ", 'CONTENT PILLAR MAPPING'!D875, ") dan membantu mereka menyelesaikan masalah atau mencapai tujuan mereka.", CHAR(10),
"✔ Membantuku membangun personal branding yang kuat dan sustainable, sesuai dengan Positioning saya sebagai '", 'CONTENT PILLAR MAPPING'!C861, "' dan Brand Archetype '", 'CONTENT PILLAR MAPPING'!D866, "'.", CHAR(10),
"✔ Kemas dalam bentuk tabel agar rapi, mudah di baca dan dipahami, dengan kolom 'Judul Konten', 'Pilar', 'Format', 'Draft Script', 'CTA', 'Saran Visual', dan 'Full Caption'. (Kosongkan kolom Link Prompt jika ada)."
),
"")</f>
        <v/>
      </c>
      <c r="L955" s="91" t="n"/>
      <c r="M955" s="91" t="n"/>
      <c r="N955" s="102" t="n"/>
      <c r="O955" s="102" t="n"/>
      <c r="P955" s="102" t="n"/>
      <c r="Q955" s="102" t="n"/>
      <c r="R955" s="102" t="n"/>
      <c r="S955" s="102" t="n"/>
      <c r="T955" s="102" t="n"/>
      <c r="U955" s="102" t="n"/>
      <c r="V955" s="102" t="n"/>
      <c r="W955" s="102" t="n"/>
      <c r="X955" s="102" t="n"/>
      <c r="Y955" s="102" t="n"/>
      <c r="Z955" s="102" t="n"/>
      <c r="AA955" s="102" t="n"/>
      <c r="AB955" s="102" t="n"/>
      <c r="AC955" s="102" t="n"/>
      <c r="AD955" s="102" t="n"/>
    </row>
    <row r="956" ht="15.75" customHeight="1" s="205">
      <c r="A956" s="102" t="n"/>
      <c r="B956" s="147" t="n"/>
      <c r="C956" s="144" t="n"/>
      <c r="D956" s="144" t="n"/>
      <c r="E956" s="144" t="n"/>
      <c r="F956" s="144" t="n"/>
      <c r="G956" s="144" t="n"/>
      <c r="H956" s="141">
        <f>IF(K956&lt;&gt;"", HYPERLINK("https://chatgpt.com/?prompt=" &amp; SUBSTITUTE(SUBSTITUTE(K956, " ", "+"), "&amp;", "dan") &amp; "&amp;force-refresh=true&amp;timestamp=" &amp; TEXT(NOW(), "yyyymmddhhmmss"), "👉 Klik untuk Generate Script! 🔥"), "")</f>
        <v/>
      </c>
      <c r="I956" s="144" t="n"/>
      <c r="J956" s="148" t="n"/>
      <c r="K956" s="140">
        <f>IF(AND(B956&lt;&gt;"", C956&lt;&gt;"", D956&lt;&gt;"", E956&lt;&gt;"", F956&lt;&gt;"", G956&lt;&gt;"", J956&lt;&gt;"", 'CONTENT PILLAR MAPPING'!C858&lt;&gt;"", 'CONTENT PILLAR MAPPING'!E858&lt;&gt;"", 'CONTENT PILLAR MAPPING'!F858&lt;&gt;"", 'CONTENT PILLAR MAPPING'!C861&lt;&gt;"", 'CONTENT PILLAR MAPPING'!C866&lt;&gt;"", 'CONTENT PILLAR MAPPING'!D866&lt;&gt;"", 'CONTENT PILLAR MAPPING'!E866&lt;&gt;"", 'CONTENT PILLAR MAPPING'!D874&lt;&gt;"", 'CONTENT PILLAR MAPPING'!D875&lt;&gt;""),
CONCATENATE(
"Sebagai seorang top konten kreator dengan niche utama '", 'CONTENT PILLAR MAPPING'!C858, "', spesifik kategori '", 'CONTENT PILLAR MAPPING'!E858, "', dan super spesifik '", 'CONTENT PILLAR MAPPING'!F858, "', yang dikenal sebagai '", 'CONTENT PILLAR MAPPING'!C861, "'.", CHAR(10),
"Saya memiliki Tone of Voice: '", 'CONTENT PILLAR MAPPING'!C866, "', Brand Archetype: '", 'CONTENT PILLAR MAPPING'!D866, "', dan Deskripsi Gaya Komunikasi: '", 'CONTENT PILLAR MAPPING'!E866, "'.", CHAR(10),
"Target audiens saya adalah: '", 'CONTENT PILLAR MAPPING'!D874, "', dengan segmentasi audiens: '", 'CONTENT PILLAR MAPPING'!D875, "'.", CHAR(10), CHAR(10),
"Mohon buatkan script konten yang **sangat powerful, menarik, inovatif, dan siap pakai** dengan judul ide '", B956, "'.", CHAR(10),
"Konten ini memiliki pilar '", C956, "', nilai tambah utama '", F956, "', dan akan menggunakan storytelling framework '", G956, "'.", CHAR(10),
"Gambaran singkat ide kontennya adalah: '", J956, "'.", CHAR(10),
"Konten ini akan diunggah di platform '", E956, "' dengan format '", D956,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MAPPING'!C861, "'.** Sesuaikan dengan gaya komunikasi saya, dengan fokus pada nilai tambah '", F956,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MAPPING'!D874, ", khusus ", 'CONTENT PILLAR MAPPING'!D875, ") dan membantu mereka menyelesaikan masalah atau mencapai tujuan mereka.", CHAR(10),
"✔ Membantuku membangun personal branding yang kuat dan sustainable, sesuai dengan Positioning saya sebagai '", 'CONTENT PILLAR MAPPING'!C861, "' dan Brand Archetype '", 'CONTENT PILLAR MAPPING'!D866, "'.", CHAR(10),
"✔ Kemas dalam bentuk tabel agar rapi, mudah di baca dan dipahami, dengan kolom 'Judul Konten', 'Pilar', 'Format', 'Draft Script', 'CTA', 'Saran Visual', dan 'Full Caption'. (Kosongkan kolom Link Prompt jika ada)."
),
"")</f>
        <v/>
      </c>
      <c r="L956" s="199" t="n"/>
      <c r="M956" s="199" t="n"/>
      <c r="N956" s="102" t="n"/>
      <c r="O956" s="102" t="n"/>
      <c r="P956" s="102" t="n"/>
      <c r="Q956" s="102" t="n"/>
      <c r="R956" s="102" t="n"/>
      <c r="S956" s="102" t="n"/>
      <c r="T956" s="102" t="n"/>
      <c r="U956" s="102" t="n"/>
      <c r="V956" s="102" t="n"/>
      <c r="W956" s="102" t="n"/>
      <c r="X956" s="102" t="n"/>
      <c r="Y956" s="102" t="n"/>
      <c r="Z956" s="102" t="n"/>
      <c r="AA956" s="102" t="n"/>
      <c r="AB956" s="102" t="n"/>
      <c r="AC956" s="102" t="n"/>
      <c r="AD956" s="102" t="n"/>
    </row>
    <row r="957" ht="15.75" customHeight="1" s="205">
      <c r="A957" s="102" t="n"/>
      <c r="B957" s="142" t="n"/>
      <c r="C957" s="143" t="n"/>
      <c r="D957" s="143" t="n"/>
      <c r="E957" s="143" t="n"/>
      <c r="F957" s="143" t="n"/>
      <c r="G957" s="144" t="n"/>
      <c r="H957" s="145">
        <f>IF(K957&lt;&gt;"", HYPERLINK("https://chatgpt.com/?prompt=" &amp; SUBSTITUTE(SUBSTITUTE(K957, " ", "+"), "&amp;", "dan") &amp; "&amp;force-refresh=true&amp;timestamp=" &amp; TEXT(NOW(), "yyyymmddhhmmss"), "👉 Klik untuk Generate Script! 🔥"), "")</f>
        <v/>
      </c>
      <c r="I957" s="143" t="n"/>
      <c r="J957" s="146" t="n"/>
      <c r="K957" s="130">
        <f>IF(AND(B957&lt;&gt;"", C957&lt;&gt;"", D957&lt;&gt;"", E957&lt;&gt;"", F957&lt;&gt;"", G957&lt;&gt;"", J957&lt;&gt;"", 'CONTENT PILLAR MAPPING'!C860&lt;&gt;"", 'CONTENT PILLAR MAPPING'!E860&lt;&gt;"", 'CONTENT PILLAR MAPPING'!F860&lt;&gt;"", 'CONTENT PILLAR MAPPING'!C863&lt;&gt;"", 'CONTENT PILLAR MAPPING'!C868&lt;&gt;"", 'CONTENT PILLAR MAPPING'!D868&lt;&gt;"", 'CONTENT PILLAR MAPPING'!E868&lt;&gt;"", 'CONTENT PILLAR MAPPING'!D876&lt;&gt;"", 'CONTENT PILLAR MAPPING'!D877&lt;&gt;""),
CONCATENATE(
"Sebagai seorang top konten kreator dengan niche utama '", 'CONTENT PILLAR MAPPING'!C860, "', spesifik kategori '", 'CONTENT PILLAR MAPPING'!E860, "', dan super spesifik '", 'CONTENT PILLAR MAPPING'!F860, "', yang dikenal sebagai '", 'CONTENT PILLAR MAPPING'!C863, "'.", CHAR(10),
"Saya memiliki Tone of Voice: '", 'CONTENT PILLAR MAPPING'!C868, "', Brand Archetype: '", 'CONTENT PILLAR MAPPING'!D868, "', dan Deskripsi Gaya Komunikasi: '", 'CONTENT PILLAR MAPPING'!E868, "'.", CHAR(10),
"Target audiens saya adalah: '", 'CONTENT PILLAR MAPPING'!D876, "', dengan segmentasi audiens: '", 'CONTENT PILLAR MAPPING'!D877, "'.", CHAR(10), CHAR(10),
"Mohon buatkan script konten yang **sangat powerful, menarik, inovatif, dan siap pakai** dengan judul ide '", B957, "'.", CHAR(10),
"Konten ini memiliki pilar '", C957, "', nilai tambah utama '", F957, "', dan akan menggunakan storytelling framework '", G957, "'.", CHAR(10),
"Gambaran singkat ide kontennya adalah: '", J957, "'.", CHAR(10),
"Konten ini akan diunggah di platform '", E957, "' dengan format '", D957,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MAPPING'!C863, "'.** Sesuaikan dengan gaya komunikasi saya, dengan fokus pada nilai tambah '", F957,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MAPPING'!D876, ", khusus ", 'CONTENT PILLAR MAPPING'!D877, ") dan membantu mereka menyelesaikan masalah atau mencapai tujuan mereka.", CHAR(10),
"✔ Membantuku membangun personal branding yang kuat dan sustainable, sesuai dengan Positioning saya sebagai '", 'CONTENT PILLAR MAPPING'!C863, "' dan Brand Archetype '", 'CONTENT PILLAR MAPPING'!D868, "'.", CHAR(10),
"✔ Kemas dalam bentuk tabel agar rapi, mudah di baca dan dipahami, dengan kolom 'Judul Konten', 'Pilar', 'Format', 'Draft Script', 'CTA', 'Saran Visual', dan 'Full Caption'. (Kosongkan kolom Link Prompt jika ada)."
),
"")</f>
        <v/>
      </c>
      <c r="L957" s="91" t="n"/>
      <c r="M957" s="91" t="n"/>
      <c r="N957" s="102" t="n"/>
      <c r="O957" s="102" t="n"/>
      <c r="P957" s="102" t="n"/>
      <c r="Q957" s="102" t="n"/>
      <c r="R957" s="102" t="n"/>
      <c r="S957" s="102" t="n"/>
      <c r="T957" s="102" t="n"/>
      <c r="U957" s="102" t="n"/>
      <c r="V957" s="102" t="n"/>
      <c r="W957" s="102" t="n"/>
      <c r="X957" s="102" t="n"/>
      <c r="Y957" s="102" t="n"/>
      <c r="Z957" s="102" t="n"/>
      <c r="AA957" s="102" t="n"/>
      <c r="AB957" s="102" t="n"/>
      <c r="AC957" s="102" t="n"/>
      <c r="AD957" s="102" t="n"/>
    </row>
    <row r="958" ht="15.75" customHeight="1" s="205">
      <c r="A958" s="102" t="n"/>
      <c r="B958" s="147" t="n"/>
      <c r="C958" s="144" t="n"/>
      <c r="D958" s="144" t="n"/>
      <c r="E958" s="144" t="n"/>
      <c r="F958" s="144" t="n"/>
      <c r="G958" s="144" t="n"/>
      <c r="H958" s="141">
        <f>IF(K958&lt;&gt;"", HYPERLINK("https://chatgpt.com/?prompt=" &amp; SUBSTITUTE(SUBSTITUTE(K958, " ", "+"), "&amp;", "dan") &amp; "&amp;force-refresh=true&amp;timestamp=" &amp; TEXT(NOW(), "yyyymmddhhmmss"), "👉 Klik untuk Generate Script! 🔥"), "")</f>
        <v/>
      </c>
      <c r="I958" s="144" t="n"/>
      <c r="J958" s="148" t="n"/>
      <c r="K958" s="140">
        <f>IF(AND(B958&lt;&gt;"", C958&lt;&gt;"", D958&lt;&gt;"", E958&lt;&gt;"", F958&lt;&gt;"", G958&lt;&gt;"", J958&lt;&gt;"", 'CONTENT PILLAR MAPPING'!C860&lt;&gt;"", 'CONTENT PILLAR MAPPING'!E860&lt;&gt;"", 'CONTENT PILLAR MAPPING'!F860&lt;&gt;"", 'CONTENT PILLAR MAPPING'!C863&lt;&gt;"", 'CONTENT PILLAR MAPPING'!C868&lt;&gt;"", 'CONTENT PILLAR MAPPING'!D868&lt;&gt;"", 'CONTENT PILLAR MAPPING'!E868&lt;&gt;"", 'CONTENT PILLAR MAPPING'!D876&lt;&gt;"", 'CONTENT PILLAR MAPPING'!D877&lt;&gt;""),
CONCATENATE(
"Sebagai seorang top konten kreator dengan niche utama '", 'CONTENT PILLAR MAPPING'!C860, "', spesifik kategori '", 'CONTENT PILLAR MAPPING'!E860, "', dan super spesifik '", 'CONTENT PILLAR MAPPING'!F860, "', yang dikenal sebagai '", 'CONTENT PILLAR MAPPING'!C863, "'.", CHAR(10),
"Saya memiliki Tone of Voice: '", 'CONTENT PILLAR MAPPING'!C868, "', Brand Archetype: '", 'CONTENT PILLAR MAPPING'!D868, "', dan Deskripsi Gaya Komunikasi: '", 'CONTENT PILLAR MAPPING'!E868, "'.", CHAR(10),
"Target audiens saya adalah: '", 'CONTENT PILLAR MAPPING'!D876, "', dengan segmentasi audiens: '", 'CONTENT PILLAR MAPPING'!D877, "'.", CHAR(10), CHAR(10),
"Mohon buatkan script konten yang **sangat powerful, menarik, inovatif, dan siap pakai** dengan judul ide '", B958, "'.", CHAR(10),
"Konten ini memiliki pilar '", C958, "', nilai tambah utama '", F958, "', dan akan menggunakan storytelling framework '", G958, "'.", CHAR(10),
"Gambaran singkat ide kontennya adalah: '", J958, "'.", CHAR(10),
"Konten ini akan diunggah di platform '", E958, "' dengan format '", D958,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MAPPING'!C863, "'.** Sesuaikan dengan gaya komunikasi saya, dengan fokus pada nilai tambah '", F958,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MAPPING'!D876, ", khusus ", 'CONTENT PILLAR MAPPING'!D877, ") dan membantu mereka menyelesaikan masalah atau mencapai tujuan mereka.", CHAR(10),
"✔ Membantuku membangun personal branding yang kuat dan sustainable, sesuai dengan Positioning saya sebagai '", 'CONTENT PILLAR MAPPING'!C863, "' dan Brand Archetype '", 'CONTENT PILLAR MAPPING'!D868, "'.", CHAR(10),
"✔ Kemas dalam bentuk tabel agar rapi, mudah di baca dan dipahami, dengan kolom 'Judul Konten', 'Pilar', 'Format', 'Draft Script', 'CTA', 'Saran Visual', dan 'Full Caption'. (Kosongkan kolom Link Prompt jika ada)."
),
"")</f>
        <v/>
      </c>
      <c r="L958" s="199" t="n"/>
      <c r="M958" s="199" t="n"/>
      <c r="N958" s="102" t="n"/>
      <c r="O958" s="102" t="n"/>
      <c r="P958" s="102" t="n"/>
      <c r="Q958" s="102" t="n"/>
      <c r="R958" s="102" t="n"/>
      <c r="S958" s="102" t="n"/>
      <c r="T958" s="102" t="n"/>
      <c r="U958" s="102" t="n"/>
      <c r="V958" s="102" t="n"/>
      <c r="W958" s="102" t="n"/>
      <c r="X958" s="102" t="n"/>
      <c r="Y958" s="102" t="n"/>
      <c r="Z958" s="102" t="n"/>
      <c r="AA958" s="102" t="n"/>
      <c r="AB958" s="102" t="n"/>
      <c r="AC958" s="102" t="n"/>
      <c r="AD958" s="102" t="n"/>
    </row>
    <row r="959" ht="15.75" customHeight="1" s="205">
      <c r="A959" s="102" t="n"/>
      <c r="B959" s="142" t="n"/>
      <c r="C959" s="143" t="n"/>
      <c r="D959" s="143" t="n"/>
      <c r="E959" s="143" t="n"/>
      <c r="F959" s="143" t="n"/>
      <c r="G959" s="144" t="n"/>
      <c r="H959" s="145">
        <f>IF(K959&lt;&gt;"", HYPERLINK("https://chatgpt.com/?prompt=" &amp; SUBSTITUTE(SUBSTITUTE(K959, " ", "+"), "&amp;", "dan") &amp; "&amp;force-refresh=true&amp;timestamp=" &amp; TEXT(NOW(), "yyyymmddhhmmss"), "👉 Klik untuk Generate Script! 🔥"), "")</f>
        <v/>
      </c>
      <c r="I959" s="143" t="n"/>
      <c r="J959" s="146" t="n"/>
      <c r="K959" s="130">
        <f>IF(AND(B959&lt;&gt;"", C959&lt;&gt;"", D959&lt;&gt;"", E959&lt;&gt;"", F959&lt;&gt;"", G959&lt;&gt;"", J959&lt;&gt;"", 'CONTENT PILLAR MAPPING'!C862&lt;&gt;"", 'CONTENT PILLAR MAPPING'!E862&lt;&gt;"", 'CONTENT PILLAR MAPPING'!F862&lt;&gt;"", 'CONTENT PILLAR MAPPING'!C865&lt;&gt;"", 'CONTENT PILLAR MAPPING'!C870&lt;&gt;"", 'CONTENT PILLAR MAPPING'!D870&lt;&gt;"", 'CONTENT PILLAR MAPPING'!E870&lt;&gt;"", 'CONTENT PILLAR MAPPING'!D878&lt;&gt;"", 'CONTENT PILLAR MAPPING'!D879&lt;&gt;""),
CONCATENATE(
"Sebagai seorang top konten kreator dengan niche utama '", 'CONTENT PILLAR MAPPING'!C862, "', spesifik kategori '", 'CONTENT PILLAR MAPPING'!E862, "', dan super spesifik '", 'CONTENT PILLAR MAPPING'!F862, "', yang dikenal sebagai '", 'CONTENT PILLAR MAPPING'!C865, "'.", CHAR(10),
"Saya memiliki Tone of Voice: '", 'CONTENT PILLAR MAPPING'!C870, "', Brand Archetype: '", 'CONTENT PILLAR MAPPING'!D870, "', dan Deskripsi Gaya Komunikasi: '", 'CONTENT PILLAR MAPPING'!E870, "'.", CHAR(10),
"Target audiens saya adalah: '", 'CONTENT PILLAR MAPPING'!D878, "', dengan segmentasi audiens: '", 'CONTENT PILLAR MAPPING'!D879, "'.", CHAR(10), CHAR(10),
"Mohon buatkan script konten yang **sangat powerful, menarik, inovatif, dan siap pakai** dengan judul ide '", B959, "'.", CHAR(10),
"Konten ini memiliki pilar '", C959, "', nilai tambah utama '", F959, "', dan akan menggunakan storytelling framework '", G959, "'.", CHAR(10),
"Gambaran singkat ide kontennya adalah: '", J959, "'.", CHAR(10),
"Konten ini akan diunggah di platform '", E959, "' dengan format '", D959,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MAPPING'!C865, "'.** Sesuaikan dengan gaya komunikasi saya, dengan fokus pada nilai tambah '", F959,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MAPPING'!D878, ", khusus ", 'CONTENT PILLAR MAPPING'!D879, ") dan membantu mereka menyelesaikan masalah atau mencapai tujuan mereka.", CHAR(10),
"✔ Membantuku membangun personal branding yang kuat dan sustainable, sesuai dengan Positioning saya sebagai '", 'CONTENT PILLAR MAPPING'!C865, "' dan Brand Archetype '", 'CONTENT PILLAR MAPPING'!D870, "'.", CHAR(10),
"✔ Kemas dalam bentuk tabel agar rapi, mudah di baca dan dipahami, dengan kolom 'Judul Konten', 'Pilar', 'Format', 'Draft Script', 'CTA', 'Saran Visual', dan 'Full Caption'. (Kosongkan kolom Link Prompt jika ada)."
),
"")</f>
        <v/>
      </c>
      <c r="L959" s="91" t="n"/>
      <c r="M959" s="91" t="n"/>
      <c r="N959" s="102" t="n"/>
      <c r="O959" s="102" t="n"/>
      <c r="P959" s="102" t="n"/>
      <c r="Q959" s="102" t="n"/>
      <c r="R959" s="102" t="n"/>
      <c r="S959" s="102" t="n"/>
      <c r="T959" s="102" t="n"/>
      <c r="U959" s="102" t="n"/>
      <c r="V959" s="102" t="n"/>
      <c r="W959" s="102" t="n"/>
      <c r="X959" s="102" t="n"/>
      <c r="Y959" s="102" t="n"/>
      <c r="Z959" s="102" t="n"/>
      <c r="AA959" s="102" t="n"/>
      <c r="AB959" s="102" t="n"/>
      <c r="AC959" s="102" t="n"/>
      <c r="AD959" s="102" t="n"/>
    </row>
    <row r="960" ht="15.75" customHeight="1" s="205">
      <c r="A960" s="102" t="n"/>
      <c r="B960" s="147" t="n"/>
      <c r="C960" s="144" t="n"/>
      <c r="D960" s="144" t="n"/>
      <c r="E960" s="144" t="n"/>
      <c r="F960" s="144" t="n"/>
      <c r="G960" s="144" t="n"/>
      <c r="H960" s="141">
        <f>IF(K960&lt;&gt;"", HYPERLINK("https://chatgpt.com/?prompt=" &amp; SUBSTITUTE(SUBSTITUTE(K960, " ", "+"), "&amp;", "dan") &amp; "&amp;force-refresh=true&amp;timestamp=" &amp; TEXT(NOW(), "yyyymmddhhmmss"), "👉 Klik untuk Generate Script! 🔥"), "")</f>
        <v/>
      </c>
      <c r="I960" s="144" t="n"/>
      <c r="J960" s="148" t="n"/>
      <c r="K960" s="140">
        <f>IF(AND(B960&lt;&gt;"", C960&lt;&gt;"", D960&lt;&gt;"", E960&lt;&gt;"", F960&lt;&gt;"", G960&lt;&gt;"", J960&lt;&gt;"", 'CONTENT PILLAR MAPPING'!C862&lt;&gt;"", 'CONTENT PILLAR MAPPING'!E862&lt;&gt;"", 'CONTENT PILLAR MAPPING'!F862&lt;&gt;"", 'CONTENT PILLAR MAPPING'!C865&lt;&gt;"", 'CONTENT PILLAR MAPPING'!C870&lt;&gt;"", 'CONTENT PILLAR MAPPING'!D870&lt;&gt;"", 'CONTENT PILLAR MAPPING'!E870&lt;&gt;"", 'CONTENT PILLAR MAPPING'!D878&lt;&gt;"", 'CONTENT PILLAR MAPPING'!D879&lt;&gt;""),
CONCATENATE(
"Sebagai seorang top konten kreator dengan niche utama '", 'CONTENT PILLAR MAPPING'!C862, "', spesifik kategori '", 'CONTENT PILLAR MAPPING'!E862, "', dan super spesifik '", 'CONTENT PILLAR MAPPING'!F862, "', yang dikenal sebagai '", 'CONTENT PILLAR MAPPING'!C865, "'.", CHAR(10),
"Saya memiliki Tone of Voice: '", 'CONTENT PILLAR MAPPING'!C870, "', Brand Archetype: '", 'CONTENT PILLAR MAPPING'!D870, "', dan Deskripsi Gaya Komunikasi: '", 'CONTENT PILLAR MAPPING'!E870, "'.", CHAR(10),
"Target audiens saya adalah: '", 'CONTENT PILLAR MAPPING'!D878, "', dengan segmentasi audiens: '", 'CONTENT PILLAR MAPPING'!D879, "'.", CHAR(10), CHAR(10),
"Mohon buatkan script konten yang **sangat powerful, menarik, inovatif, dan siap pakai** dengan judul ide '", B960, "'.", CHAR(10),
"Konten ini memiliki pilar '", C960, "', nilai tambah utama '", F960, "', dan akan menggunakan storytelling framework '", G960, "'.", CHAR(10),
"Gambaran singkat ide kontennya adalah: '", J960, "'.", CHAR(10),
"Konten ini akan diunggah di platform '", E960, "' dengan format '", D960,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MAPPING'!C865, "'.** Sesuaikan dengan gaya komunikasi saya, dengan fokus pada nilai tambah '", F960,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MAPPING'!D878, ", khusus ", 'CONTENT PILLAR MAPPING'!D879, ") dan membantu mereka menyelesaikan masalah atau mencapai tujuan mereka.", CHAR(10),
"✔ Membantuku membangun personal branding yang kuat dan sustainable, sesuai dengan Positioning saya sebagai '", 'CONTENT PILLAR MAPPING'!C865, "' dan Brand Archetype '", 'CONTENT PILLAR MAPPING'!D870, "'.", CHAR(10),
"✔ Kemas dalam bentuk tabel agar rapi, mudah di baca dan dipahami, dengan kolom 'Judul Konten', 'Pilar', 'Format', 'Draft Script', 'CTA', 'Saran Visual', dan 'Full Caption'. (Kosongkan kolom Link Prompt jika ada)."
),
"")</f>
        <v/>
      </c>
      <c r="L960" s="199" t="n"/>
      <c r="M960" s="199" t="n"/>
      <c r="N960" s="102" t="n"/>
      <c r="O960" s="102" t="n"/>
      <c r="P960" s="102" t="n"/>
      <c r="Q960" s="102" t="n"/>
      <c r="R960" s="102" t="n"/>
      <c r="S960" s="102" t="n"/>
      <c r="T960" s="102" t="n"/>
      <c r="U960" s="102" t="n"/>
      <c r="V960" s="102" t="n"/>
      <c r="W960" s="102" t="n"/>
      <c r="X960" s="102" t="n"/>
      <c r="Y960" s="102" t="n"/>
      <c r="Z960" s="102" t="n"/>
      <c r="AA960" s="102" t="n"/>
      <c r="AB960" s="102" t="n"/>
      <c r="AC960" s="102" t="n"/>
      <c r="AD960" s="102" t="n"/>
    </row>
    <row r="961" ht="15.75" customHeight="1" s="205">
      <c r="A961" s="102" t="n"/>
      <c r="B961" s="142" t="n"/>
      <c r="C961" s="143" t="n"/>
      <c r="D961" s="143" t="n"/>
      <c r="E961" s="143" t="n"/>
      <c r="F961" s="143" t="n"/>
      <c r="G961" s="144" t="n"/>
      <c r="H961" s="145">
        <f>IF(K961&lt;&gt;"", HYPERLINK("https://chatgpt.com/?prompt=" &amp; SUBSTITUTE(SUBSTITUTE(K961, " ", "+"), "&amp;", "dan") &amp; "&amp;force-refresh=true&amp;timestamp=" &amp; TEXT(NOW(), "yyyymmddhhmmss"), "👉 Klik untuk Generate Script! 🔥"), "")</f>
        <v/>
      </c>
      <c r="I961" s="143" t="n"/>
      <c r="J961" s="146" t="n"/>
      <c r="K961" s="130">
        <f>IF(AND(B961&lt;&gt;"", C961&lt;&gt;"", D961&lt;&gt;"", E961&lt;&gt;"", F961&lt;&gt;"", G961&lt;&gt;"", J961&lt;&gt;"", 'CONTENT PILLAR MAPPING'!C864&lt;&gt;"", 'CONTENT PILLAR MAPPING'!E864&lt;&gt;"", 'CONTENT PILLAR MAPPING'!F864&lt;&gt;"", 'CONTENT PILLAR MAPPING'!C867&lt;&gt;"", 'CONTENT PILLAR MAPPING'!C872&lt;&gt;"", 'CONTENT PILLAR MAPPING'!D872&lt;&gt;"", 'CONTENT PILLAR MAPPING'!E872&lt;&gt;"", 'CONTENT PILLAR MAPPING'!D880&lt;&gt;"", 'CONTENT PILLAR MAPPING'!D881&lt;&gt;""),
CONCATENATE(
"Sebagai seorang top konten kreator dengan niche utama '", 'CONTENT PILLAR MAPPING'!C864, "', spesifik kategori '", 'CONTENT PILLAR MAPPING'!E864, "', dan super spesifik '", 'CONTENT PILLAR MAPPING'!F864, "', yang dikenal sebagai '", 'CONTENT PILLAR MAPPING'!C867, "'.", CHAR(10),
"Saya memiliki Tone of Voice: '", 'CONTENT PILLAR MAPPING'!C872, "', Brand Archetype: '", 'CONTENT PILLAR MAPPING'!D872, "', dan Deskripsi Gaya Komunikasi: '", 'CONTENT PILLAR MAPPING'!E872, "'.", CHAR(10),
"Target audiens saya adalah: '", 'CONTENT PILLAR MAPPING'!D880, "', dengan segmentasi audiens: '", 'CONTENT PILLAR MAPPING'!D881, "'.", CHAR(10), CHAR(10),
"Mohon buatkan script konten yang **sangat powerful, menarik, inovatif, dan siap pakai** dengan judul ide '", B961, "'.", CHAR(10),
"Konten ini memiliki pilar '", C961, "', nilai tambah utama '", F961, "', dan akan menggunakan storytelling framework '", G961, "'.", CHAR(10),
"Gambaran singkat ide kontennya adalah: '", J961, "'.", CHAR(10),
"Konten ini akan diunggah di platform '", E961, "' dengan format '", D961,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MAPPING'!C867, "'.** Sesuaikan dengan gaya komunikasi saya, dengan fokus pada nilai tambah '", F961,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MAPPING'!D880, ", khusus ", 'CONTENT PILLAR MAPPING'!D881, ") dan membantu mereka menyelesaikan masalah atau mencapai tujuan mereka.", CHAR(10),
"✔ Membantuku membangun personal branding yang kuat dan sustainable, sesuai dengan Positioning saya sebagai '", 'CONTENT PILLAR MAPPING'!C867, "' dan Brand Archetype '", 'CONTENT PILLAR MAPPING'!D872, "'.", CHAR(10),
"✔ Kemas dalam bentuk tabel agar rapi, mudah di baca dan dipahami, dengan kolom 'Judul Konten', 'Pilar', 'Format', 'Draft Script', 'CTA', 'Saran Visual', dan 'Full Caption'. (Kosongkan kolom Link Prompt jika ada)."
),
"")</f>
        <v/>
      </c>
      <c r="L961" s="91" t="n"/>
      <c r="M961" s="91" t="n"/>
      <c r="N961" s="102" t="n"/>
      <c r="O961" s="102" t="n"/>
      <c r="P961" s="102" t="n"/>
      <c r="Q961" s="102" t="n"/>
      <c r="R961" s="102" t="n"/>
      <c r="S961" s="102" t="n"/>
      <c r="T961" s="102" t="n"/>
      <c r="U961" s="102" t="n"/>
      <c r="V961" s="102" t="n"/>
      <c r="W961" s="102" t="n"/>
      <c r="X961" s="102" t="n"/>
      <c r="Y961" s="102" t="n"/>
      <c r="Z961" s="102" t="n"/>
      <c r="AA961" s="102" t="n"/>
      <c r="AB961" s="102" t="n"/>
      <c r="AC961" s="102" t="n"/>
      <c r="AD961" s="102" t="n"/>
    </row>
    <row r="962" ht="15.75" customHeight="1" s="205">
      <c r="A962" s="102" t="n"/>
      <c r="B962" s="147" t="n"/>
      <c r="C962" s="144" t="n"/>
      <c r="D962" s="144" t="n"/>
      <c r="E962" s="144" t="n"/>
      <c r="F962" s="144" t="n"/>
      <c r="G962" s="144" t="n"/>
      <c r="H962" s="141">
        <f>IF(K962&lt;&gt;"", HYPERLINK("https://chatgpt.com/?prompt=" &amp; SUBSTITUTE(SUBSTITUTE(K962, " ", "+"), "&amp;", "dan") &amp; "&amp;force-refresh=true&amp;timestamp=" &amp; TEXT(NOW(), "yyyymmddhhmmss"), "👉 Klik untuk Generate Script! 🔥"), "")</f>
        <v/>
      </c>
      <c r="I962" s="144" t="n"/>
      <c r="J962" s="148" t="n"/>
      <c r="K962" s="140">
        <f>IF(AND(B962&lt;&gt;"", C962&lt;&gt;"", D962&lt;&gt;"", E962&lt;&gt;"", F962&lt;&gt;"", G962&lt;&gt;"", J962&lt;&gt;"", 'CONTENT PILLAR MAPPING'!C864&lt;&gt;"", 'CONTENT PILLAR MAPPING'!E864&lt;&gt;"", 'CONTENT PILLAR MAPPING'!F864&lt;&gt;"", 'CONTENT PILLAR MAPPING'!C867&lt;&gt;"", 'CONTENT PILLAR MAPPING'!C872&lt;&gt;"", 'CONTENT PILLAR MAPPING'!D872&lt;&gt;"", 'CONTENT PILLAR MAPPING'!E872&lt;&gt;"", 'CONTENT PILLAR MAPPING'!D880&lt;&gt;"", 'CONTENT PILLAR MAPPING'!D881&lt;&gt;""),
CONCATENATE(
"Sebagai seorang top konten kreator dengan niche utama '", 'CONTENT PILLAR MAPPING'!C864, "', spesifik kategori '", 'CONTENT PILLAR MAPPING'!E864, "', dan super spesifik '", 'CONTENT PILLAR MAPPING'!F864, "', yang dikenal sebagai '", 'CONTENT PILLAR MAPPING'!C867, "'.", CHAR(10),
"Saya memiliki Tone of Voice: '", 'CONTENT PILLAR MAPPING'!C872, "', Brand Archetype: '", 'CONTENT PILLAR MAPPING'!D872, "', dan Deskripsi Gaya Komunikasi: '", 'CONTENT PILLAR MAPPING'!E872, "'.", CHAR(10),
"Target audiens saya adalah: '", 'CONTENT PILLAR MAPPING'!D880, "', dengan segmentasi audiens: '", 'CONTENT PILLAR MAPPING'!D881, "'.", CHAR(10), CHAR(10),
"Mohon buatkan script konten yang **sangat powerful, menarik, inovatif, dan siap pakai** dengan judul ide '", B962, "'.", CHAR(10),
"Konten ini memiliki pilar '", C962, "', nilai tambah utama '", F962, "', dan akan menggunakan storytelling framework '", G962, "'.", CHAR(10),
"Gambaran singkat ide kontennya adalah: '", J962, "'.", CHAR(10),
"Konten ini akan diunggah di platform '", E962, "' dengan format '", D962,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MAPPING'!C867, "'.** Sesuaikan dengan gaya komunikasi saya, dengan fokus pada nilai tambah '", F962,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MAPPING'!D880, ", khusus ", 'CONTENT PILLAR MAPPING'!D881, ") dan membantu mereka menyelesaikan masalah atau mencapai tujuan mereka.", CHAR(10),
"✔ Membantuku membangun personal branding yang kuat dan sustainable, sesuai dengan Positioning saya sebagai '", 'CONTENT PILLAR MAPPING'!C867, "' dan Brand Archetype '", 'CONTENT PILLAR MAPPING'!D872, "'.", CHAR(10),
"✔ Kemas dalam bentuk tabel agar rapi, mudah di baca dan dipahami, dengan kolom 'Judul Konten', 'Pilar', 'Format', 'Draft Script', 'CTA', 'Saran Visual', dan 'Full Caption'. (Kosongkan kolom Link Prompt jika ada)."
),
"")</f>
        <v/>
      </c>
      <c r="L962" s="199" t="n"/>
      <c r="M962" s="199" t="n"/>
      <c r="N962" s="102" t="n"/>
      <c r="O962" s="102" t="n"/>
      <c r="P962" s="102" t="n"/>
      <c r="Q962" s="102" t="n"/>
      <c r="R962" s="102" t="n"/>
      <c r="S962" s="102" t="n"/>
      <c r="T962" s="102" t="n"/>
      <c r="U962" s="102" t="n"/>
      <c r="V962" s="102" t="n"/>
      <c r="W962" s="102" t="n"/>
      <c r="X962" s="102" t="n"/>
      <c r="Y962" s="102" t="n"/>
      <c r="Z962" s="102" t="n"/>
      <c r="AA962" s="102" t="n"/>
      <c r="AB962" s="102" t="n"/>
      <c r="AC962" s="102" t="n"/>
      <c r="AD962" s="102" t="n"/>
    </row>
    <row r="963" ht="15.75" customHeight="1" s="205">
      <c r="A963" s="102" t="n"/>
      <c r="B963" s="142" t="n"/>
      <c r="C963" s="143" t="n"/>
      <c r="D963" s="143" t="n"/>
      <c r="E963" s="143" t="n"/>
      <c r="F963" s="143" t="n"/>
      <c r="G963" s="144" t="n"/>
      <c r="H963" s="145">
        <f>IF(K963&lt;&gt;"", HYPERLINK("https://chatgpt.com/?prompt=" &amp; SUBSTITUTE(SUBSTITUTE(K963, " ", "+"), "&amp;", "dan") &amp; "&amp;force-refresh=true&amp;timestamp=" &amp; TEXT(NOW(), "yyyymmddhhmmss"), "👉 Klik untuk Generate Script! 🔥"), "")</f>
        <v/>
      </c>
      <c r="I963" s="143" t="n"/>
      <c r="J963" s="146" t="n"/>
      <c r="K963" s="130">
        <f>IF(AND(B963&lt;&gt;"", C963&lt;&gt;"", D963&lt;&gt;"", E963&lt;&gt;"", F963&lt;&gt;"", G963&lt;&gt;"", J963&lt;&gt;"", 'CONTENT PILLAR MAPPING'!C866&lt;&gt;"", 'CONTENT PILLAR MAPPING'!E866&lt;&gt;"", 'CONTENT PILLAR MAPPING'!F866&lt;&gt;"", 'CONTENT PILLAR MAPPING'!C869&lt;&gt;"", 'CONTENT PILLAR MAPPING'!C874&lt;&gt;"", 'CONTENT PILLAR MAPPING'!D874&lt;&gt;"", 'CONTENT PILLAR MAPPING'!E874&lt;&gt;"", 'CONTENT PILLAR MAPPING'!D882&lt;&gt;"", 'CONTENT PILLAR MAPPING'!D883&lt;&gt;""),
CONCATENATE(
"Sebagai seorang top konten kreator dengan niche utama '", 'CONTENT PILLAR MAPPING'!C866, "', spesifik kategori '", 'CONTENT PILLAR MAPPING'!E866, "', dan super spesifik '", 'CONTENT PILLAR MAPPING'!F866, "', yang dikenal sebagai '", 'CONTENT PILLAR MAPPING'!C869, "'.", CHAR(10),
"Saya memiliki Tone of Voice: '", 'CONTENT PILLAR MAPPING'!C874, "', Brand Archetype: '", 'CONTENT PILLAR MAPPING'!D874, "', dan Deskripsi Gaya Komunikasi: '", 'CONTENT PILLAR MAPPING'!E874, "'.", CHAR(10),
"Target audiens saya adalah: '", 'CONTENT PILLAR MAPPING'!D882, "', dengan segmentasi audiens: '", 'CONTENT PILLAR MAPPING'!D883, "'.", CHAR(10), CHAR(10),
"Mohon buatkan script konten yang **sangat powerful, menarik, inovatif, dan siap pakai** dengan judul ide '", B963, "'.", CHAR(10),
"Konten ini memiliki pilar '", C963, "', nilai tambah utama '", F963, "', dan akan menggunakan storytelling framework '", G963, "'.", CHAR(10),
"Gambaran singkat ide kontennya adalah: '", J963, "'.", CHAR(10),
"Konten ini akan diunggah di platform '", E963, "' dengan format '", D963,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MAPPING'!C869, "'.** Sesuaikan dengan gaya komunikasi saya, dengan fokus pada nilai tambah '", F963,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MAPPING'!D882, ", khusus ", 'CONTENT PILLAR MAPPING'!D883, ") dan membantu mereka menyelesaikan masalah atau mencapai tujuan mereka.", CHAR(10),
"✔ Membantuku membangun personal branding yang kuat dan sustainable, sesuai dengan Positioning saya sebagai '", 'CONTENT PILLAR MAPPING'!C869, "' dan Brand Archetype '", 'CONTENT PILLAR MAPPING'!D874, "'.", CHAR(10),
"✔ Kemas dalam bentuk tabel agar rapi, mudah di baca dan dipahami, dengan kolom 'Judul Konten', 'Pilar', 'Format', 'Draft Script', 'CTA', 'Saran Visual', dan 'Full Caption'. (Kosongkan kolom Link Prompt jika ada)."
),
"")</f>
        <v/>
      </c>
      <c r="L963" s="91" t="n"/>
      <c r="M963" s="91" t="n"/>
      <c r="N963" s="102" t="n"/>
      <c r="O963" s="102" t="n"/>
      <c r="P963" s="102" t="n"/>
      <c r="Q963" s="102" t="n"/>
      <c r="R963" s="102" t="n"/>
      <c r="S963" s="102" t="n"/>
      <c r="T963" s="102" t="n"/>
      <c r="U963" s="102" t="n"/>
      <c r="V963" s="102" t="n"/>
      <c r="W963" s="102" t="n"/>
      <c r="X963" s="102" t="n"/>
      <c r="Y963" s="102" t="n"/>
      <c r="Z963" s="102" t="n"/>
      <c r="AA963" s="102" t="n"/>
      <c r="AB963" s="102" t="n"/>
      <c r="AC963" s="102" t="n"/>
      <c r="AD963" s="102" t="n"/>
    </row>
    <row r="964" ht="15.75" customHeight="1" s="205">
      <c r="A964" s="102" t="n"/>
      <c r="B964" s="147" t="n"/>
      <c r="C964" s="144" t="n"/>
      <c r="D964" s="144" t="n"/>
      <c r="E964" s="144" t="n"/>
      <c r="F964" s="144" t="n"/>
      <c r="G964" s="144" t="n"/>
      <c r="H964" s="141">
        <f>IF(K964&lt;&gt;"", HYPERLINK("https://chatgpt.com/?prompt=" &amp; SUBSTITUTE(SUBSTITUTE(K964, " ", "+"), "&amp;", "dan") &amp; "&amp;force-refresh=true&amp;timestamp=" &amp; TEXT(NOW(), "yyyymmddhhmmss"), "👉 Klik untuk Generate Script! 🔥"), "")</f>
        <v/>
      </c>
      <c r="I964" s="144" t="n"/>
      <c r="J964" s="148" t="n"/>
      <c r="K964" s="140">
        <f>IF(AND(B964&lt;&gt;"", C964&lt;&gt;"", D964&lt;&gt;"", E964&lt;&gt;"", F964&lt;&gt;"", G964&lt;&gt;"", J964&lt;&gt;"", 'CONTENT PILLAR MAPPING'!C866&lt;&gt;"", 'CONTENT PILLAR MAPPING'!E866&lt;&gt;"", 'CONTENT PILLAR MAPPING'!F866&lt;&gt;"", 'CONTENT PILLAR MAPPING'!C869&lt;&gt;"", 'CONTENT PILLAR MAPPING'!C874&lt;&gt;"", 'CONTENT PILLAR MAPPING'!D874&lt;&gt;"", 'CONTENT PILLAR MAPPING'!E874&lt;&gt;"", 'CONTENT PILLAR MAPPING'!D882&lt;&gt;"", 'CONTENT PILLAR MAPPING'!D883&lt;&gt;""),
CONCATENATE(
"Sebagai seorang top konten kreator dengan niche utama '", 'CONTENT PILLAR MAPPING'!C866, "', spesifik kategori '", 'CONTENT PILLAR MAPPING'!E866, "', dan super spesifik '", 'CONTENT PILLAR MAPPING'!F866, "', yang dikenal sebagai '", 'CONTENT PILLAR MAPPING'!C869, "'.", CHAR(10),
"Saya memiliki Tone of Voice: '", 'CONTENT PILLAR MAPPING'!C874, "', Brand Archetype: '", 'CONTENT PILLAR MAPPING'!D874, "', dan Deskripsi Gaya Komunikasi: '", 'CONTENT PILLAR MAPPING'!E874, "'.", CHAR(10),
"Target audiens saya adalah: '", 'CONTENT PILLAR MAPPING'!D882, "', dengan segmentasi audiens: '", 'CONTENT PILLAR MAPPING'!D883, "'.", CHAR(10), CHAR(10),
"Mohon buatkan script konten yang **sangat powerful, menarik, inovatif, dan siap pakai** dengan judul ide '", B964, "'.", CHAR(10),
"Konten ini memiliki pilar '", C964, "', nilai tambah utama '", F964, "', dan akan menggunakan storytelling framework '", G964, "'.", CHAR(10),
"Gambaran singkat ide kontennya adalah: '", J964, "'.", CHAR(10),
"Konten ini akan diunggah di platform '", E964, "' dengan format '", D964,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MAPPING'!C869, "'.** Sesuaikan dengan gaya komunikasi saya, dengan fokus pada nilai tambah '", F964,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MAPPING'!D882, ", khusus ", 'CONTENT PILLAR MAPPING'!D883, ") dan membantu mereka menyelesaikan masalah atau mencapai tujuan mereka.", CHAR(10),
"✔ Membantuku membangun personal branding yang kuat dan sustainable, sesuai dengan Positioning saya sebagai '", 'CONTENT PILLAR MAPPING'!C869, "' dan Brand Archetype '", 'CONTENT PILLAR MAPPING'!D874, "'.", CHAR(10),
"✔ Kemas dalam bentuk tabel agar rapi, mudah di baca dan dipahami, dengan kolom 'Judul Konten', 'Pilar', 'Format', 'Draft Script', 'CTA', 'Saran Visual', dan 'Full Caption'. (Kosongkan kolom Link Prompt jika ada)."
),
"")</f>
        <v/>
      </c>
      <c r="L964" s="199" t="n"/>
      <c r="M964" s="199" t="n"/>
      <c r="N964" s="102" t="n"/>
      <c r="O964" s="102" t="n"/>
      <c r="P964" s="102" t="n"/>
      <c r="Q964" s="102" t="n"/>
      <c r="R964" s="102" t="n"/>
      <c r="S964" s="102" t="n"/>
      <c r="T964" s="102" t="n"/>
      <c r="U964" s="102" t="n"/>
      <c r="V964" s="102" t="n"/>
      <c r="W964" s="102" t="n"/>
      <c r="X964" s="102" t="n"/>
      <c r="Y964" s="102" t="n"/>
      <c r="Z964" s="102" t="n"/>
      <c r="AA964" s="102" t="n"/>
      <c r="AB964" s="102" t="n"/>
      <c r="AC964" s="102" t="n"/>
      <c r="AD964" s="102" t="n"/>
    </row>
    <row r="965" ht="15.75" customHeight="1" s="205">
      <c r="A965" s="102" t="n"/>
      <c r="B965" s="142" t="n"/>
      <c r="C965" s="143" t="n"/>
      <c r="D965" s="143" t="n"/>
      <c r="E965" s="143" t="n"/>
      <c r="F965" s="143" t="n"/>
      <c r="G965" s="144" t="n"/>
      <c r="H965" s="145">
        <f>IF(K965&lt;&gt;"", HYPERLINK("https://chatgpt.com/?prompt=" &amp; SUBSTITUTE(SUBSTITUTE(K965, " ", "+"), "&amp;", "dan") &amp; "&amp;force-refresh=true&amp;timestamp=" &amp; TEXT(NOW(), "yyyymmddhhmmss"), "👉 Klik untuk Generate Script! 🔥"), "")</f>
        <v/>
      </c>
      <c r="I965" s="143" t="n"/>
      <c r="J965" s="146" t="n"/>
      <c r="K965" s="130">
        <f>IF(AND(B965&lt;&gt;"", C965&lt;&gt;"", D965&lt;&gt;"", E965&lt;&gt;"", F965&lt;&gt;"", G965&lt;&gt;"", J965&lt;&gt;"", 'CONTENT PILLAR MAPPING'!C868&lt;&gt;"", 'CONTENT PILLAR MAPPING'!E868&lt;&gt;"", 'CONTENT PILLAR MAPPING'!F868&lt;&gt;"", 'CONTENT PILLAR MAPPING'!C871&lt;&gt;"", 'CONTENT PILLAR MAPPING'!C876&lt;&gt;"", 'CONTENT PILLAR MAPPING'!D876&lt;&gt;"", 'CONTENT PILLAR MAPPING'!E876&lt;&gt;"", 'CONTENT PILLAR MAPPING'!D884&lt;&gt;"", 'CONTENT PILLAR MAPPING'!D885&lt;&gt;""),
CONCATENATE(
"Sebagai seorang top konten kreator dengan niche utama '", 'CONTENT PILLAR MAPPING'!C868, "', spesifik kategori '", 'CONTENT PILLAR MAPPING'!E868, "', dan super spesifik '", 'CONTENT PILLAR MAPPING'!F868, "', yang dikenal sebagai '", 'CONTENT PILLAR MAPPING'!C871, "'.", CHAR(10),
"Saya memiliki Tone of Voice: '", 'CONTENT PILLAR MAPPING'!C876, "', Brand Archetype: '", 'CONTENT PILLAR MAPPING'!D876, "', dan Deskripsi Gaya Komunikasi: '", 'CONTENT PILLAR MAPPING'!E876, "'.", CHAR(10),
"Target audiens saya adalah: '", 'CONTENT PILLAR MAPPING'!D884, "', dengan segmentasi audiens: '", 'CONTENT PILLAR MAPPING'!D885, "'.", CHAR(10), CHAR(10),
"Mohon buatkan script konten yang **sangat powerful, menarik, inovatif, dan siap pakai** dengan judul ide '", B965, "'.", CHAR(10),
"Konten ini memiliki pilar '", C965, "', nilai tambah utama '", F965, "', dan akan menggunakan storytelling framework '", G965, "'.", CHAR(10),
"Gambaran singkat ide kontennya adalah: '", J965, "'.", CHAR(10),
"Konten ini akan diunggah di platform '", E965, "' dengan format '", D965,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MAPPING'!C871, "'.** Sesuaikan dengan gaya komunikasi saya, dengan fokus pada nilai tambah '", F965,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MAPPING'!D884, ", khusus ", 'CONTENT PILLAR MAPPING'!D885, ") dan membantu mereka menyelesaikan masalah atau mencapai tujuan mereka.", CHAR(10),
"✔ Membantuku membangun personal branding yang kuat dan sustainable, sesuai dengan Positioning saya sebagai '", 'CONTENT PILLAR MAPPING'!C871, "' dan Brand Archetype '", 'CONTENT PILLAR MAPPING'!D876, "'.", CHAR(10),
"✔ Kemas dalam bentuk tabel agar rapi, mudah di baca dan dipahami, dengan kolom 'Judul Konten', 'Pilar', 'Format', 'Draft Script', 'CTA', 'Saran Visual', dan 'Full Caption'. (Kosongkan kolom Link Prompt jika ada)."
),
"")</f>
        <v/>
      </c>
      <c r="L965" s="91" t="n"/>
      <c r="M965" s="91" t="n"/>
      <c r="N965" s="102" t="n"/>
      <c r="O965" s="102" t="n"/>
      <c r="P965" s="102" t="n"/>
      <c r="Q965" s="102" t="n"/>
      <c r="R965" s="102" t="n"/>
      <c r="S965" s="102" t="n"/>
      <c r="T965" s="102" t="n"/>
      <c r="U965" s="102" t="n"/>
      <c r="V965" s="102" t="n"/>
      <c r="W965" s="102" t="n"/>
      <c r="X965" s="102" t="n"/>
      <c r="Y965" s="102" t="n"/>
      <c r="Z965" s="102" t="n"/>
      <c r="AA965" s="102" t="n"/>
      <c r="AB965" s="102" t="n"/>
      <c r="AC965" s="102" t="n"/>
      <c r="AD965" s="102" t="n"/>
    </row>
    <row r="966" ht="15.75" customHeight="1" s="205">
      <c r="A966" s="102" t="n"/>
      <c r="B966" s="147" t="n"/>
      <c r="C966" s="144" t="n"/>
      <c r="D966" s="144" t="n"/>
      <c r="E966" s="144" t="n"/>
      <c r="F966" s="144" t="n"/>
      <c r="G966" s="144" t="n"/>
      <c r="H966" s="141">
        <f>IF(K966&lt;&gt;"", HYPERLINK("https://chatgpt.com/?prompt=" &amp; SUBSTITUTE(SUBSTITUTE(K966, " ", "+"), "&amp;", "dan") &amp; "&amp;force-refresh=true&amp;timestamp=" &amp; TEXT(NOW(), "yyyymmddhhmmss"), "👉 Klik untuk Generate Script! 🔥"), "")</f>
        <v/>
      </c>
      <c r="I966" s="144" t="n"/>
      <c r="J966" s="148" t="n"/>
      <c r="K966" s="140">
        <f>IF(AND(B966&lt;&gt;"", C966&lt;&gt;"", D966&lt;&gt;"", E966&lt;&gt;"", F966&lt;&gt;"", G966&lt;&gt;"", J966&lt;&gt;"", 'CONTENT PILLAR MAPPING'!C868&lt;&gt;"", 'CONTENT PILLAR MAPPING'!E868&lt;&gt;"", 'CONTENT PILLAR MAPPING'!F868&lt;&gt;"", 'CONTENT PILLAR MAPPING'!C871&lt;&gt;"", 'CONTENT PILLAR MAPPING'!C876&lt;&gt;"", 'CONTENT PILLAR MAPPING'!D876&lt;&gt;"", 'CONTENT PILLAR MAPPING'!E876&lt;&gt;"", 'CONTENT PILLAR MAPPING'!D884&lt;&gt;"", 'CONTENT PILLAR MAPPING'!D885&lt;&gt;""),
CONCATENATE(
"Sebagai seorang top konten kreator dengan niche utama '", 'CONTENT PILLAR MAPPING'!C868, "', spesifik kategori '", 'CONTENT PILLAR MAPPING'!E868, "', dan super spesifik '", 'CONTENT PILLAR MAPPING'!F868, "', yang dikenal sebagai '", 'CONTENT PILLAR MAPPING'!C871, "'.", CHAR(10),
"Saya memiliki Tone of Voice: '", 'CONTENT PILLAR MAPPING'!C876, "', Brand Archetype: '", 'CONTENT PILLAR MAPPING'!D876, "', dan Deskripsi Gaya Komunikasi: '", 'CONTENT PILLAR MAPPING'!E876, "'.", CHAR(10),
"Target audiens saya adalah: '", 'CONTENT PILLAR MAPPING'!D884, "', dengan segmentasi audiens: '", 'CONTENT PILLAR MAPPING'!D885, "'.", CHAR(10), CHAR(10),
"Mohon buatkan script konten yang **sangat powerful, menarik, inovatif, dan siap pakai** dengan judul ide '", B966, "'.", CHAR(10),
"Konten ini memiliki pilar '", C966, "', nilai tambah utama '", F966, "', dan akan menggunakan storytelling framework '", G966, "'.", CHAR(10),
"Gambaran singkat ide kontennya adalah: '", J966, "'.", CHAR(10),
"Konten ini akan diunggah di platform '", E966, "' dengan format '", D966,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MAPPING'!C871, "'.** Sesuaikan dengan gaya komunikasi saya, dengan fokus pada nilai tambah '", F966,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MAPPING'!D884, ", khusus ", 'CONTENT PILLAR MAPPING'!D885, ") dan membantu mereka menyelesaikan masalah atau mencapai tujuan mereka.", CHAR(10),
"✔ Membantuku membangun personal branding yang kuat dan sustainable, sesuai dengan Positioning saya sebagai '", 'CONTENT PILLAR MAPPING'!C871, "' dan Brand Archetype '", 'CONTENT PILLAR MAPPING'!D876, "'.", CHAR(10),
"✔ Kemas dalam bentuk tabel agar rapi, mudah di baca dan dipahami, dengan kolom 'Judul Konten', 'Pilar', 'Format', 'Draft Script', 'CTA', 'Saran Visual', dan 'Full Caption'. (Kosongkan kolom Link Prompt jika ada)."
),
"")</f>
        <v/>
      </c>
      <c r="L966" s="199" t="n"/>
      <c r="M966" s="199" t="n"/>
      <c r="N966" s="102" t="n"/>
      <c r="O966" s="102" t="n"/>
      <c r="P966" s="102" t="n"/>
      <c r="Q966" s="102" t="n"/>
      <c r="R966" s="102" t="n"/>
      <c r="S966" s="102" t="n"/>
      <c r="T966" s="102" t="n"/>
      <c r="U966" s="102" t="n"/>
      <c r="V966" s="102" t="n"/>
      <c r="W966" s="102" t="n"/>
      <c r="X966" s="102" t="n"/>
      <c r="Y966" s="102" t="n"/>
      <c r="Z966" s="102" t="n"/>
      <c r="AA966" s="102" t="n"/>
      <c r="AB966" s="102" t="n"/>
      <c r="AC966" s="102" t="n"/>
      <c r="AD966" s="102" t="n"/>
    </row>
    <row r="967" ht="15.75" customHeight="1" s="205">
      <c r="A967" s="102" t="n"/>
      <c r="B967" s="142" t="n"/>
      <c r="C967" s="143" t="n"/>
      <c r="D967" s="143" t="n"/>
      <c r="E967" s="143" t="n"/>
      <c r="F967" s="143" t="n"/>
      <c r="G967" s="144" t="n"/>
      <c r="H967" s="145">
        <f>IF(K967&lt;&gt;"", HYPERLINK("https://chatgpt.com/?prompt=" &amp; SUBSTITUTE(SUBSTITUTE(K967, " ", "+"), "&amp;", "dan") &amp; "&amp;force-refresh=true&amp;timestamp=" &amp; TEXT(NOW(), "yyyymmddhhmmss"), "👉 Klik untuk Generate Script! 🔥"), "")</f>
        <v/>
      </c>
      <c r="I967" s="143" t="n"/>
      <c r="J967" s="146" t="n"/>
      <c r="K967" s="130">
        <f>IF(AND(B967&lt;&gt;"", C967&lt;&gt;"", D967&lt;&gt;"", E967&lt;&gt;"", F967&lt;&gt;"", G967&lt;&gt;"", J967&lt;&gt;"", 'CONTENT PILLAR MAPPING'!C870&lt;&gt;"", 'CONTENT PILLAR MAPPING'!E870&lt;&gt;"", 'CONTENT PILLAR MAPPING'!F870&lt;&gt;"", 'CONTENT PILLAR MAPPING'!C873&lt;&gt;"", 'CONTENT PILLAR MAPPING'!C878&lt;&gt;"", 'CONTENT PILLAR MAPPING'!D878&lt;&gt;"", 'CONTENT PILLAR MAPPING'!E878&lt;&gt;"", 'CONTENT PILLAR MAPPING'!D886&lt;&gt;"", 'CONTENT PILLAR MAPPING'!D887&lt;&gt;""),
CONCATENATE(
"Sebagai seorang top konten kreator dengan niche utama '", 'CONTENT PILLAR MAPPING'!C870, "', spesifik kategori '", 'CONTENT PILLAR MAPPING'!E870, "', dan super spesifik '", 'CONTENT PILLAR MAPPING'!F870, "', yang dikenal sebagai '", 'CONTENT PILLAR MAPPING'!C873, "'.", CHAR(10),
"Saya memiliki Tone of Voice: '", 'CONTENT PILLAR MAPPING'!C878, "', Brand Archetype: '", 'CONTENT PILLAR MAPPING'!D878, "', dan Deskripsi Gaya Komunikasi: '", 'CONTENT PILLAR MAPPING'!E878, "'.", CHAR(10),
"Target audiens saya adalah: '", 'CONTENT PILLAR MAPPING'!D886, "', dengan segmentasi audiens: '", 'CONTENT PILLAR MAPPING'!D887, "'.", CHAR(10), CHAR(10),
"Mohon buatkan script konten yang **sangat powerful, menarik, inovatif, dan siap pakai** dengan judul ide '", B967, "'.", CHAR(10),
"Konten ini memiliki pilar '", C967, "', nilai tambah utama '", F967, "', dan akan menggunakan storytelling framework '", G967, "'.", CHAR(10),
"Gambaran singkat ide kontennya adalah: '", J967, "'.", CHAR(10),
"Konten ini akan diunggah di platform '", E967, "' dengan format '", D967,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MAPPING'!C873, "'.** Sesuaikan dengan gaya komunikasi saya, dengan fokus pada nilai tambah '", F967,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MAPPING'!D886, ", khusus ", 'CONTENT PILLAR MAPPING'!D887, ") dan membantu mereka menyelesaikan masalah atau mencapai tujuan mereka.", CHAR(10),
"✔ Membantuku membangun personal branding yang kuat dan sustainable, sesuai dengan Positioning saya sebagai '", 'CONTENT PILLAR MAPPING'!C873, "' dan Brand Archetype '", 'CONTENT PILLAR MAPPING'!D878, "'.", CHAR(10),
"✔ Kemas dalam bentuk tabel agar rapi, mudah di baca dan dipahami, dengan kolom 'Judul Konten', 'Pilar', 'Format', 'Draft Script', 'CTA', 'Saran Visual', dan 'Full Caption'. (Kosongkan kolom Link Prompt jika ada)."
),
"")</f>
        <v/>
      </c>
      <c r="L967" s="91" t="n"/>
      <c r="M967" s="91" t="n"/>
      <c r="N967" s="102" t="n"/>
      <c r="O967" s="102" t="n"/>
      <c r="P967" s="102" t="n"/>
      <c r="Q967" s="102" t="n"/>
      <c r="R967" s="102" t="n"/>
      <c r="S967" s="102" t="n"/>
      <c r="T967" s="102" t="n"/>
      <c r="U967" s="102" t="n"/>
      <c r="V967" s="102" t="n"/>
      <c r="W967" s="102" t="n"/>
      <c r="X967" s="102" t="n"/>
      <c r="Y967" s="102" t="n"/>
      <c r="Z967" s="102" t="n"/>
      <c r="AA967" s="102" t="n"/>
      <c r="AB967" s="102" t="n"/>
      <c r="AC967" s="102" t="n"/>
      <c r="AD967" s="102" t="n"/>
    </row>
    <row r="968" ht="15.75" customHeight="1" s="205">
      <c r="A968" s="102" t="n"/>
      <c r="B968" s="147" t="n"/>
      <c r="C968" s="144" t="n"/>
      <c r="D968" s="144" t="n"/>
      <c r="E968" s="144" t="n"/>
      <c r="F968" s="144" t="n"/>
      <c r="G968" s="144" t="n"/>
      <c r="H968" s="141">
        <f>IF(K968&lt;&gt;"", HYPERLINK("https://chatgpt.com/?prompt=" &amp; SUBSTITUTE(SUBSTITUTE(K968, " ", "+"), "&amp;", "dan") &amp; "&amp;force-refresh=true&amp;timestamp=" &amp; TEXT(NOW(), "yyyymmddhhmmss"), "👉 Klik untuk Generate Script! 🔥"), "")</f>
        <v/>
      </c>
      <c r="I968" s="144" t="n"/>
      <c r="J968" s="148" t="n"/>
      <c r="K968" s="140">
        <f>IF(AND(B968&lt;&gt;"", C968&lt;&gt;"", D968&lt;&gt;"", E968&lt;&gt;"", F968&lt;&gt;"", G968&lt;&gt;"", J968&lt;&gt;"", 'CONTENT PILLAR MAPPING'!C870&lt;&gt;"", 'CONTENT PILLAR MAPPING'!E870&lt;&gt;"", 'CONTENT PILLAR MAPPING'!F870&lt;&gt;"", 'CONTENT PILLAR MAPPING'!C873&lt;&gt;"", 'CONTENT PILLAR MAPPING'!C878&lt;&gt;"", 'CONTENT PILLAR MAPPING'!D878&lt;&gt;"", 'CONTENT PILLAR MAPPING'!E878&lt;&gt;"", 'CONTENT PILLAR MAPPING'!D886&lt;&gt;"", 'CONTENT PILLAR MAPPING'!D887&lt;&gt;""),
CONCATENATE(
"Sebagai seorang top konten kreator dengan niche utama '", 'CONTENT PILLAR MAPPING'!C870, "', spesifik kategori '", 'CONTENT PILLAR MAPPING'!E870, "', dan super spesifik '", 'CONTENT PILLAR MAPPING'!F870, "', yang dikenal sebagai '", 'CONTENT PILLAR MAPPING'!C873, "'.", CHAR(10),
"Saya memiliki Tone of Voice: '", 'CONTENT PILLAR MAPPING'!C878, "', Brand Archetype: '", 'CONTENT PILLAR MAPPING'!D878, "', dan Deskripsi Gaya Komunikasi: '", 'CONTENT PILLAR MAPPING'!E878, "'.", CHAR(10),
"Target audiens saya adalah: '", 'CONTENT PILLAR MAPPING'!D886, "', dengan segmentasi audiens: '", 'CONTENT PILLAR MAPPING'!D887, "'.", CHAR(10), CHAR(10),
"Mohon buatkan script konten yang **sangat powerful, menarik, inovatif, dan siap pakai** dengan judul ide '", B968, "'.", CHAR(10),
"Konten ini memiliki pilar '", C968, "', nilai tambah utama '", F968, "', dan akan menggunakan storytelling framework '", G968, "'.", CHAR(10),
"Gambaran singkat ide kontennya adalah: '", J968, "'.", CHAR(10),
"Konten ini akan diunggah di platform '", E968, "' dengan format '", D968,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MAPPING'!C873, "'.** Sesuaikan dengan gaya komunikasi saya, dengan fokus pada nilai tambah '", F968,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MAPPING'!D886, ", khusus ", 'CONTENT PILLAR MAPPING'!D887, ") dan membantu mereka menyelesaikan masalah atau mencapai tujuan mereka.", CHAR(10),
"✔ Membantuku membangun personal branding yang kuat dan sustainable, sesuai dengan Positioning saya sebagai '", 'CONTENT PILLAR MAPPING'!C873, "' dan Brand Archetype '", 'CONTENT PILLAR MAPPING'!D878, "'.", CHAR(10),
"✔ Kemas dalam bentuk tabel agar rapi, mudah di baca dan dipahami, dengan kolom 'Judul Konten', 'Pilar', 'Format', 'Draft Script', 'CTA', 'Saran Visual', dan 'Full Caption'. (Kosongkan kolom Link Prompt jika ada)."
),
"")</f>
        <v/>
      </c>
      <c r="L968" s="199" t="n"/>
      <c r="M968" s="199" t="n"/>
      <c r="N968" s="102" t="n"/>
      <c r="O968" s="102" t="n"/>
      <c r="P968" s="102" t="n"/>
      <c r="Q968" s="102" t="n"/>
      <c r="R968" s="102" t="n"/>
      <c r="S968" s="102" t="n"/>
      <c r="T968" s="102" t="n"/>
      <c r="U968" s="102" t="n"/>
      <c r="V968" s="102" t="n"/>
      <c r="W968" s="102" t="n"/>
      <c r="X968" s="102" t="n"/>
      <c r="Y968" s="102" t="n"/>
      <c r="Z968" s="102" t="n"/>
      <c r="AA968" s="102" t="n"/>
      <c r="AB968" s="102" t="n"/>
      <c r="AC968" s="102" t="n"/>
      <c r="AD968" s="102" t="n"/>
    </row>
    <row r="969" ht="15.75" customHeight="1" s="205">
      <c r="A969" s="102" t="n"/>
      <c r="B969" s="142" t="n"/>
      <c r="C969" s="143" t="n"/>
      <c r="D969" s="143" t="n"/>
      <c r="E969" s="143" t="n"/>
      <c r="F969" s="143" t="n"/>
      <c r="G969" s="144" t="n"/>
      <c r="H969" s="145">
        <f>IF(K969&lt;&gt;"", HYPERLINK("https://chatgpt.com/?prompt=" &amp; SUBSTITUTE(SUBSTITUTE(K969, " ", "+"), "&amp;", "dan") &amp; "&amp;force-refresh=true&amp;timestamp=" &amp; TEXT(NOW(), "yyyymmddhhmmss"), "👉 Klik untuk Generate Script! 🔥"), "")</f>
        <v/>
      </c>
      <c r="I969" s="143" t="n"/>
      <c r="J969" s="146" t="n"/>
      <c r="K969" s="130">
        <f>IF(AND(B969&lt;&gt;"", C969&lt;&gt;"", D969&lt;&gt;"", E969&lt;&gt;"", F969&lt;&gt;"", G969&lt;&gt;"", J969&lt;&gt;"", 'CONTENT PILLAR MAPPING'!C872&lt;&gt;"", 'CONTENT PILLAR MAPPING'!E872&lt;&gt;"", 'CONTENT PILLAR MAPPING'!F872&lt;&gt;"", 'CONTENT PILLAR MAPPING'!C875&lt;&gt;"", 'CONTENT PILLAR MAPPING'!C880&lt;&gt;"", 'CONTENT PILLAR MAPPING'!D880&lt;&gt;"", 'CONTENT PILLAR MAPPING'!E880&lt;&gt;"", 'CONTENT PILLAR MAPPING'!D888&lt;&gt;"", 'CONTENT PILLAR MAPPING'!D889&lt;&gt;""),
CONCATENATE(
"Sebagai seorang top konten kreator dengan niche utama '", 'CONTENT PILLAR MAPPING'!C872, "', spesifik kategori '", 'CONTENT PILLAR MAPPING'!E872, "', dan super spesifik '", 'CONTENT PILLAR MAPPING'!F872, "', yang dikenal sebagai '", 'CONTENT PILLAR MAPPING'!C875, "'.", CHAR(10),
"Saya memiliki Tone of Voice: '", 'CONTENT PILLAR MAPPING'!C880, "', Brand Archetype: '", 'CONTENT PILLAR MAPPING'!D880, "', dan Deskripsi Gaya Komunikasi: '", 'CONTENT PILLAR MAPPING'!E880, "'.", CHAR(10),
"Target audiens saya adalah: '", 'CONTENT PILLAR MAPPING'!D888, "', dengan segmentasi audiens: '", 'CONTENT PILLAR MAPPING'!D889, "'.", CHAR(10), CHAR(10),
"Mohon buatkan script konten yang **sangat powerful, menarik, inovatif, dan siap pakai** dengan judul ide '", B969, "'.", CHAR(10),
"Konten ini memiliki pilar '", C969, "', nilai tambah utama '", F969, "', dan akan menggunakan storytelling framework '", G969, "'.", CHAR(10),
"Gambaran singkat ide kontennya adalah: '", J969, "'.", CHAR(10),
"Konten ini akan diunggah di platform '", E969, "' dengan format '", D969,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MAPPING'!C875, "'.** Sesuaikan dengan gaya komunikasi saya, dengan fokus pada nilai tambah '", F969,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MAPPING'!D888, ", khusus ", 'CONTENT PILLAR MAPPING'!D889, ") dan membantu mereka menyelesaikan masalah atau mencapai tujuan mereka.", CHAR(10),
"✔ Membantuku membangun personal branding yang kuat dan sustainable, sesuai dengan Positioning saya sebagai '", 'CONTENT PILLAR MAPPING'!C875, "' dan Brand Archetype '", 'CONTENT PILLAR MAPPING'!D880, "'.", CHAR(10),
"✔ Kemas dalam bentuk tabel agar rapi, mudah di baca dan dipahami, dengan kolom 'Judul Konten', 'Pilar', 'Format', 'Draft Script', 'CTA', 'Saran Visual', dan 'Full Caption'. (Kosongkan kolom Link Prompt jika ada)."
),
"")</f>
        <v/>
      </c>
      <c r="L969" s="91" t="n"/>
      <c r="M969" s="91" t="n"/>
      <c r="N969" s="102" t="n"/>
      <c r="O969" s="102" t="n"/>
      <c r="P969" s="102" t="n"/>
      <c r="Q969" s="102" t="n"/>
      <c r="R969" s="102" t="n"/>
      <c r="S969" s="102" t="n"/>
      <c r="T969" s="102" t="n"/>
      <c r="U969" s="102" t="n"/>
      <c r="V969" s="102" t="n"/>
      <c r="W969" s="102" t="n"/>
      <c r="X969" s="102" t="n"/>
      <c r="Y969" s="102" t="n"/>
      <c r="Z969" s="102" t="n"/>
      <c r="AA969" s="102" t="n"/>
      <c r="AB969" s="102" t="n"/>
      <c r="AC969" s="102" t="n"/>
      <c r="AD969" s="102" t="n"/>
    </row>
    <row r="970" ht="15.75" customHeight="1" s="205">
      <c r="A970" s="102" t="n"/>
      <c r="B970" s="147" t="n"/>
      <c r="C970" s="144" t="n"/>
      <c r="D970" s="144" t="n"/>
      <c r="E970" s="144" t="n"/>
      <c r="F970" s="144" t="n"/>
      <c r="G970" s="144" t="n"/>
      <c r="H970" s="141">
        <f>IF(K970&lt;&gt;"", HYPERLINK("https://chatgpt.com/?prompt=" &amp; SUBSTITUTE(SUBSTITUTE(K970, " ", "+"), "&amp;", "dan") &amp; "&amp;force-refresh=true&amp;timestamp=" &amp; TEXT(NOW(), "yyyymmddhhmmss"), "👉 Klik untuk Generate Script! 🔥"), "")</f>
        <v/>
      </c>
      <c r="I970" s="144" t="n"/>
      <c r="J970" s="148" t="n"/>
      <c r="K970" s="140">
        <f>IF(AND(B970&lt;&gt;"", C970&lt;&gt;"", D970&lt;&gt;"", E970&lt;&gt;"", F970&lt;&gt;"", G970&lt;&gt;"", J970&lt;&gt;"", 'CONTENT PILLAR MAPPING'!C872&lt;&gt;"", 'CONTENT PILLAR MAPPING'!E872&lt;&gt;"", 'CONTENT PILLAR MAPPING'!F872&lt;&gt;"", 'CONTENT PILLAR MAPPING'!C875&lt;&gt;"", 'CONTENT PILLAR MAPPING'!C880&lt;&gt;"", 'CONTENT PILLAR MAPPING'!D880&lt;&gt;"", 'CONTENT PILLAR MAPPING'!E880&lt;&gt;"", 'CONTENT PILLAR MAPPING'!D888&lt;&gt;"", 'CONTENT PILLAR MAPPING'!D889&lt;&gt;""),
CONCATENATE(
"Sebagai seorang top konten kreator dengan niche utama '", 'CONTENT PILLAR MAPPING'!C872, "', spesifik kategori '", 'CONTENT PILLAR MAPPING'!E872, "', dan super spesifik '", 'CONTENT PILLAR MAPPING'!F872, "', yang dikenal sebagai '", 'CONTENT PILLAR MAPPING'!C875, "'.", CHAR(10),
"Saya memiliki Tone of Voice: '", 'CONTENT PILLAR MAPPING'!C880, "', Brand Archetype: '", 'CONTENT PILLAR MAPPING'!D880, "', dan Deskripsi Gaya Komunikasi: '", 'CONTENT PILLAR MAPPING'!E880, "'.", CHAR(10),
"Target audiens saya adalah: '", 'CONTENT PILLAR MAPPING'!D888, "', dengan segmentasi audiens: '", 'CONTENT PILLAR MAPPING'!D889, "'.", CHAR(10), CHAR(10),
"Mohon buatkan script konten yang **sangat powerful, menarik, inovatif, dan siap pakai** dengan judul ide '", B970, "'.", CHAR(10),
"Konten ini memiliki pilar '", C970, "', nilai tambah utama '", F970, "', dan akan menggunakan storytelling framework '", G970, "'.", CHAR(10),
"Gambaran singkat ide kontennya adalah: '", J970, "'.", CHAR(10),
"Konten ini akan diunggah di platform '", E970, "' dengan format '", D970,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MAPPING'!C875, "'.** Sesuaikan dengan gaya komunikasi saya, dengan fokus pada nilai tambah '", F970,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MAPPING'!D888, ", khusus ", 'CONTENT PILLAR MAPPING'!D889, ") dan membantu mereka menyelesaikan masalah atau mencapai tujuan mereka.", CHAR(10),
"✔ Membantuku membangun personal branding yang kuat dan sustainable, sesuai dengan Positioning saya sebagai '", 'CONTENT PILLAR MAPPING'!C875, "' dan Brand Archetype '", 'CONTENT PILLAR MAPPING'!D880, "'.", CHAR(10),
"✔ Kemas dalam bentuk tabel agar rapi, mudah di baca dan dipahami, dengan kolom 'Judul Konten', 'Pilar', 'Format', 'Draft Script', 'CTA', 'Saran Visual', dan 'Full Caption'. (Kosongkan kolom Link Prompt jika ada)."
),
"")</f>
        <v/>
      </c>
      <c r="L970" s="199" t="n"/>
      <c r="M970" s="199" t="n"/>
      <c r="N970" s="102" t="n"/>
      <c r="O970" s="102" t="n"/>
      <c r="P970" s="102" t="n"/>
      <c r="Q970" s="102" t="n"/>
      <c r="R970" s="102" t="n"/>
      <c r="S970" s="102" t="n"/>
      <c r="T970" s="102" t="n"/>
      <c r="U970" s="102" t="n"/>
      <c r="V970" s="102" t="n"/>
      <c r="W970" s="102" t="n"/>
      <c r="X970" s="102" t="n"/>
      <c r="Y970" s="102" t="n"/>
      <c r="Z970" s="102" t="n"/>
      <c r="AA970" s="102" t="n"/>
      <c r="AB970" s="102" t="n"/>
      <c r="AC970" s="102" t="n"/>
      <c r="AD970" s="102" t="n"/>
    </row>
    <row r="971" ht="15.75" customHeight="1" s="205">
      <c r="A971" s="102" t="n"/>
      <c r="B971" s="142" t="n"/>
      <c r="C971" s="143" t="n"/>
      <c r="D971" s="143" t="n"/>
      <c r="E971" s="143" t="n"/>
      <c r="F971" s="143" t="n"/>
      <c r="G971" s="144" t="n"/>
      <c r="H971" s="145">
        <f>IF(K971&lt;&gt;"", HYPERLINK("https://chatgpt.com/?prompt=" &amp; SUBSTITUTE(SUBSTITUTE(K971, " ", "+"), "&amp;", "dan") &amp; "&amp;force-refresh=true&amp;timestamp=" &amp; TEXT(NOW(), "yyyymmddhhmmss"), "👉 Klik untuk Generate Script! 🔥"), "")</f>
        <v/>
      </c>
      <c r="I971" s="143" t="n"/>
      <c r="J971" s="146" t="n"/>
      <c r="K971" s="130">
        <f>IF(AND(B971&lt;&gt;"", C971&lt;&gt;"", D971&lt;&gt;"", E971&lt;&gt;"", F971&lt;&gt;"", G971&lt;&gt;"", J971&lt;&gt;"", 'CONTENT PILLAR MAPPING'!C874&lt;&gt;"", 'CONTENT PILLAR MAPPING'!E874&lt;&gt;"", 'CONTENT PILLAR MAPPING'!F874&lt;&gt;"", 'CONTENT PILLAR MAPPING'!C877&lt;&gt;"", 'CONTENT PILLAR MAPPING'!C882&lt;&gt;"", 'CONTENT PILLAR MAPPING'!D882&lt;&gt;"", 'CONTENT PILLAR MAPPING'!E882&lt;&gt;"", 'CONTENT PILLAR MAPPING'!D890&lt;&gt;"", 'CONTENT PILLAR MAPPING'!D891&lt;&gt;""),
CONCATENATE(
"Sebagai seorang top konten kreator dengan niche utama '", 'CONTENT PILLAR MAPPING'!C874, "', spesifik kategori '", 'CONTENT PILLAR MAPPING'!E874, "', dan super spesifik '", 'CONTENT PILLAR MAPPING'!F874, "', yang dikenal sebagai '", 'CONTENT PILLAR MAPPING'!C877, "'.", CHAR(10),
"Saya memiliki Tone of Voice: '", 'CONTENT PILLAR MAPPING'!C882, "', Brand Archetype: '", 'CONTENT PILLAR MAPPING'!D882, "', dan Deskripsi Gaya Komunikasi: '", 'CONTENT PILLAR MAPPING'!E882, "'.", CHAR(10),
"Target audiens saya adalah: '", 'CONTENT PILLAR MAPPING'!D890, "', dengan segmentasi audiens: '", 'CONTENT PILLAR MAPPING'!D891, "'.", CHAR(10), CHAR(10),
"Mohon buatkan script konten yang **sangat powerful, menarik, inovatif, dan siap pakai** dengan judul ide '", B971, "'.", CHAR(10),
"Konten ini memiliki pilar '", C971, "', nilai tambah utama '", F971, "', dan akan menggunakan storytelling framework '", G971, "'.", CHAR(10),
"Gambaran singkat ide kontennya adalah: '", J971, "'.", CHAR(10),
"Konten ini akan diunggah di platform '", E971, "' dengan format '", D971,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MAPPING'!C877, "'.** Sesuaikan dengan gaya komunikasi saya, dengan fokus pada nilai tambah '", F971,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MAPPING'!D890, ", khusus ", 'CONTENT PILLAR MAPPING'!D891, ") dan membantu mereka menyelesaikan masalah atau mencapai tujuan mereka.", CHAR(10),
"✔ Membantuku membangun personal branding yang kuat dan sustainable, sesuai dengan Positioning saya sebagai '", 'CONTENT PILLAR MAPPING'!C877, "' dan Brand Archetype '", 'CONTENT PILLAR MAPPING'!D882, "'.", CHAR(10),
"✔ Kemas dalam bentuk tabel agar rapi, mudah di baca dan dipahami, dengan kolom 'Judul Konten', 'Pilar', 'Format', 'Draft Script', 'CTA', 'Saran Visual', dan 'Full Caption'. (Kosongkan kolom Link Prompt jika ada)."
),
"")</f>
        <v/>
      </c>
      <c r="L971" s="91" t="n"/>
      <c r="M971" s="91" t="n"/>
      <c r="N971" s="102" t="n"/>
      <c r="O971" s="102" t="n"/>
      <c r="P971" s="102" t="n"/>
      <c r="Q971" s="102" t="n"/>
      <c r="R971" s="102" t="n"/>
      <c r="S971" s="102" t="n"/>
      <c r="T971" s="102" t="n"/>
      <c r="U971" s="102" t="n"/>
      <c r="V971" s="102" t="n"/>
      <c r="W971" s="102" t="n"/>
      <c r="X971" s="102" t="n"/>
      <c r="Y971" s="102" t="n"/>
      <c r="Z971" s="102" t="n"/>
      <c r="AA971" s="102" t="n"/>
      <c r="AB971" s="102" t="n"/>
      <c r="AC971" s="102" t="n"/>
      <c r="AD971" s="102" t="n"/>
    </row>
    <row r="972" ht="15.75" customHeight="1" s="205">
      <c r="A972" s="102" t="n"/>
      <c r="B972" s="147" t="n"/>
      <c r="C972" s="144" t="n"/>
      <c r="D972" s="144" t="n"/>
      <c r="E972" s="144" t="n"/>
      <c r="F972" s="144" t="n"/>
      <c r="G972" s="144" t="n"/>
      <c r="H972" s="141">
        <f>IF(K972&lt;&gt;"", HYPERLINK("https://chatgpt.com/?prompt=" &amp; SUBSTITUTE(SUBSTITUTE(K972, " ", "+"), "&amp;", "dan") &amp; "&amp;force-refresh=true&amp;timestamp=" &amp; TEXT(NOW(), "yyyymmddhhmmss"), "👉 Klik untuk Generate Script! 🔥"), "")</f>
        <v/>
      </c>
      <c r="I972" s="144" t="n"/>
      <c r="J972" s="148" t="n"/>
      <c r="K972" s="140">
        <f>IF(AND(B972&lt;&gt;"", C972&lt;&gt;"", D972&lt;&gt;"", E972&lt;&gt;"", F972&lt;&gt;"", G972&lt;&gt;"", J972&lt;&gt;"", 'CONTENT PILLAR MAPPING'!C874&lt;&gt;"", 'CONTENT PILLAR MAPPING'!E874&lt;&gt;"", 'CONTENT PILLAR MAPPING'!F874&lt;&gt;"", 'CONTENT PILLAR MAPPING'!C877&lt;&gt;"", 'CONTENT PILLAR MAPPING'!C882&lt;&gt;"", 'CONTENT PILLAR MAPPING'!D882&lt;&gt;"", 'CONTENT PILLAR MAPPING'!E882&lt;&gt;"", 'CONTENT PILLAR MAPPING'!D890&lt;&gt;"", 'CONTENT PILLAR MAPPING'!D891&lt;&gt;""),
CONCATENATE(
"Sebagai seorang top konten kreator dengan niche utama '", 'CONTENT PILLAR MAPPING'!C874, "', spesifik kategori '", 'CONTENT PILLAR MAPPING'!E874, "', dan super spesifik '", 'CONTENT PILLAR MAPPING'!F874, "', yang dikenal sebagai '", 'CONTENT PILLAR MAPPING'!C877, "'.", CHAR(10),
"Saya memiliki Tone of Voice: '", 'CONTENT PILLAR MAPPING'!C882, "', Brand Archetype: '", 'CONTENT PILLAR MAPPING'!D882, "', dan Deskripsi Gaya Komunikasi: '", 'CONTENT PILLAR MAPPING'!E882, "'.", CHAR(10),
"Target audiens saya adalah: '", 'CONTENT PILLAR MAPPING'!D890, "', dengan segmentasi audiens: '", 'CONTENT PILLAR MAPPING'!D891, "'.", CHAR(10), CHAR(10),
"Mohon buatkan script konten yang **sangat powerful, menarik, inovatif, dan siap pakai** dengan judul ide '", B972, "'.", CHAR(10),
"Konten ini memiliki pilar '", C972, "', nilai tambah utama '", F972, "', dan akan menggunakan storytelling framework '", G972, "'.", CHAR(10),
"Gambaran singkat ide kontennya adalah: '", J972, "'.", CHAR(10),
"Konten ini akan diunggah di platform '", E972, "' dengan format '", D972,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MAPPING'!C877, "'.** Sesuaikan dengan gaya komunikasi saya, dengan fokus pada nilai tambah '", F972,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MAPPING'!D890, ", khusus ", 'CONTENT PILLAR MAPPING'!D891, ") dan membantu mereka menyelesaikan masalah atau mencapai tujuan mereka.", CHAR(10),
"✔ Membantuku membangun personal branding yang kuat dan sustainable, sesuai dengan Positioning saya sebagai '", 'CONTENT PILLAR MAPPING'!C877, "' dan Brand Archetype '", 'CONTENT PILLAR MAPPING'!D882, "'.", CHAR(10),
"✔ Kemas dalam bentuk tabel agar rapi, mudah di baca dan dipahami, dengan kolom 'Judul Konten', 'Pilar', 'Format', 'Draft Script', 'CTA', 'Saran Visual', dan 'Full Caption'. (Kosongkan kolom Link Prompt jika ada)."
),
"")</f>
        <v/>
      </c>
      <c r="L972" s="199" t="n"/>
      <c r="M972" s="199" t="n"/>
      <c r="N972" s="102" t="n"/>
      <c r="O972" s="102" t="n"/>
      <c r="P972" s="102" t="n"/>
      <c r="Q972" s="102" t="n"/>
      <c r="R972" s="102" t="n"/>
      <c r="S972" s="102" t="n"/>
      <c r="T972" s="102" t="n"/>
      <c r="U972" s="102" t="n"/>
      <c r="V972" s="102" t="n"/>
      <c r="W972" s="102" t="n"/>
      <c r="X972" s="102" t="n"/>
      <c r="Y972" s="102" t="n"/>
      <c r="Z972" s="102" t="n"/>
      <c r="AA972" s="102" t="n"/>
      <c r="AB972" s="102" t="n"/>
      <c r="AC972" s="102" t="n"/>
      <c r="AD972" s="102" t="n"/>
    </row>
    <row r="973" ht="15.75" customHeight="1" s="205">
      <c r="A973" s="102" t="n"/>
      <c r="B973" s="142" t="n"/>
      <c r="C973" s="143" t="n"/>
      <c r="D973" s="143" t="n"/>
      <c r="E973" s="143" t="n"/>
      <c r="F973" s="143" t="n"/>
      <c r="G973" s="144" t="n"/>
      <c r="H973" s="145">
        <f>IF(K973&lt;&gt;"", HYPERLINK("https://chatgpt.com/?prompt=" &amp; SUBSTITUTE(SUBSTITUTE(K973, " ", "+"), "&amp;", "dan") &amp; "&amp;force-refresh=true&amp;timestamp=" &amp; TEXT(NOW(), "yyyymmddhhmmss"), "👉 Klik untuk Generate Script! 🔥"), "")</f>
        <v/>
      </c>
      <c r="I973" s="143" t="n"/>
      <c r="J973" s="146" t="n"/>
      <c r="K973" s="130">
        <f>IF(AND(B973&lt;&gt;"", C973&lt;&gt;"", D973&lt;&gt;"", E973&lt;&gt;"", F973&lt;&gt;"", G973&lt;&gt;"", J973&lt;&gt;"", 'CONTENT PILLAR MAPPING'!C876&lt;&gt;"", 'CONTENT PILLAR MAPPING'!E876&lt;&gt;"", 'CONTENT PILLAR MAPPING'!F876&lt;&gt;"", 'CONTENT PILLAR MAPPING'!C879&lt;&gt;"", 'CONTENT PILLAR MAPPING'!C884&lt;&gt;"", 'CONTENT PILLAR MAPPING'!D884&lt;&gt;"", 'CONTENT PILLAR MAPPING'!E884&lt;&gt;"", 'CONTENT PILLAR MAPPING'!D892&lt;&gt;"", 'CONTENT PILLAR MAPPING'!D893&lt;&gt;""),
CONCATENATE(
"Sebagai seorang top konten kreator dengan niche utama '", 'CONTENT PILLAR MAPPING'!C876, "', spesifik kategori '", 'CONTENT PILLAR MAPPING'!E876, "', dan super spesifik '", 'CONTENT PILLAR MAPPING'!F876, "', yang dikenal sebagai '", 'CONTENT PILLAR MAPPING'!C879, "'.", CHAR(10),
"Saya memiliki Tone of Voice: '", 'CONTENT PILLAR MAPPING'!C884, "', Brand Archetype: '", 'CONTENT PILLAR MAPPING'!D884, "', dan Deskripsi Gaya Komunikasi: '", 'CONTENT PILLAR MAPPING'!E884, "'.", CHAR(10),
"Target audiens saya adalah: '", 'CONTENT PILLAR MAPPING'!D892, "', dengan segmentasi audiens: '", 'CONTENT PILLAR MAPPING'!D893, "'.", CHAR(10), CHAR(10),
"Mohon buatkan script konten yang **sangat powerful, menarik, inovatif, dan siap pakai** dengan judul ide '", B973, "'.", CHAR(10),
"Konten ini memiliki pilar '", C973, "', nilai tambah utama '", F973, "', dan akan menggunakan storytelling framework '", G973, "'.", CHAR(10),
"Gambaran singkat ide kontennya adalah: '", J973, "'.", CHAR(10),
"Konten ini akan diunggah di platform '", E973, "' dengan format '", D973,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MAPPING'!C879, "'.** Sesuaikan dengan gaya komunikasi saya, dengan fokus pada nilai tambah '", F973,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MAPPING'!D892, ", khusus ", 'CONTENT PILLAR MAPPING'!D893, ") dan membantu mereka menyelesaikan masalah atau mencapai tujuan mereka.", CHAR(10),
"✔ Membantuku membangun personal branding yang kuat dan sustainable, sesuai dengan Positioning saya sebagai '", 'CONTENT PILLAR MAPPING'!C879, "' dan Brand Archetype '", 'CONTENT PILLAR MAPPING'!D884, "'.", CHAR(10),
"✔ Kemas dalam bentuk tabel agar rapi, mudah di baca dan dipahami, dengan kolom 'Judul Konten', 'Pilar', 'Format', 'Draft Script', 'CTA', 'Saran Visual', dan 'Full Caption'. (Kosongkan kolom Link Prompt jika ada)."
),
"")</f>
        <v/>
      </c>
      <c r="L973" s="91" t="n"/>
      <c r="M973" s="91" t="n"/>
      <c r="N973" s="102" t="n"/>
      <c r="O973" s="102" t="n"/>
      <c r="P973" s="102" t="n"/>
      <c r="Q973" s="102" t="n"/>
      <c r="R973" s="102" t="n"/>
      <c r="S973" s="102" t="n"/>
      <c r="T973" s="102" t="n"/>
      <c r="U973" s="102" t="n"/>
      <c r="V973" s="102" t="n"/>
      <c r="W973" s="102" t="n"/>
      <c r="X973" s="102" t="n"/>
      <c r="Y973" s="102" t="n"/>
      <c r="Z973" s="102" t="n"/>
      <c r="AA973" s="102" t="n"/>
      <c r="AB973" s="102" t="n"/>
      <c r="AC973" s="102" t="n"/>
      <c r="AD973" s="102" t="n"/>
    </row>
    <row r="974" ht="15.75" customHeight="1" s="205">
      <c r="A974" s="102" t="n"/>
      <c r="B974" s="147" t="n"/>
      <c r="C974" s="144" t="n"/>
      <c r="D974" s="144" t="n"/>
      <c r="E974" s="144" t="n"/>
      <c r="F974" s="144" t="n"/>
      <c r="G974" s="144" t="n"/>
      <c r="H974" s="141">
        <f>IF(K974&lt;&gt;"", HYPERLINK("https://chatgpt.com/?prompt=" &amp; SUBSTITUTE(SUBSTITUTE(K974, " ", "+"), "&amp;", "dan") &amp; "&amp;force-refresh=true&amp;timestamp=" &amp; TEXT(NOW(), "yyyymmddhhmmss"), "👉 Klik untuk Generate Script! 🔥"), "")</f>
        <v/>
      </c>
      <c r="I974" s="144" t="n"/>
      <c r="J974" s="148" t="n"/>
      <c r="K974" s="140">
        <f>IF(AND(B974&lt;&gt;"", C974&lt;&gt;"", D974&lt;&gt;"", E974&lt;&gt;"", F974&lt;&gt;"", G974&lt;&gt;"", J974&lt;&gt;"", 'CONTENT PILLAR MAPPING'!C876&lt;&gt;"", 'CONTENT PILLAR MAPPING'!E876&lt;&gt;"", 'CONTENT PILLAR MAPPING'!F876&lt;&gt;"", 'CONTENT PILLAR MAPPING'!C879&lt;&gt;"", 'CONTENT PILLAR MAPPING'!C884&lt;&gt;"", 'CONTENT PILLAR MAPPING'!D884&lt;&gt;"", 'CONTENT PILLAR MAPPING'!E884&lt;&gt;"", 'CONTENT PILLAR MAPPING'!D892&lt;&gt;"", 'CONTENT PILLAR MAPPING'!D893&lt;&gt;""),
CONCATENATE(
"Sebagai seorang top konten kreator dengan niche utama '", 'CONTENT PILLAR MAPPING'!C876, "', spesifik kategori '", 'CONTENT PILLAR MAPPING'!E876, "', dan super spesifik '", 'CONTENT PILLAR MAPPING'!F876, "', yang dikenal sebagai '", 'CONTENT PILLAR MAPPING'!C879, "'.", CHAR(10),
"Saya memiliki Tone of Voice: '", 'CONTENT PILLAR MAPPING'!C884, "', Brand Archetype: '", 'CONTENT PILLAR MAPPING'!D884, "', dan Deskripsi Gaya Komunikasi: '", 'CONTENT PILLAR MAPPING'!E884, "'.", CHAR(10),
"Target audiens saya adalah: '", 'CONTENT PILLAR MAPPING'!D892, "', dengan segmentasi audiens: '", 'CONTENT PILLAR MAPPING'!D893, "'.", CHAR(10), CHAR(10),
"Mohon buatkan script konten yang **sangat powerful, menarik, inovatif, dan siap pakai** dengan judul ide '", B974, "'.", CHAR(10),
"Konten ini memiliki pilar '", C974, "', nilai tambah utama '", F974, "', dan akan menggunakan storytelling framework '", G974, "'.", CHAR(10),
"Gambaran singkat ide kontennya adalah: '", J974, "'.", CHAR(10),
"Konten ini akan diunggah di platform '", E974, "' dengan format '", D974,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MAPPING'!C879, "'.** Sesuaikan dengan gaya komunikasi saya, dengan fokus pada nilai tambah '", F974,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MAPPING'!D892, ", khusus ", 'CONTENT PILLAR MAPPING'!D893, ") dan membantu mereka menyelesaikan masalah atau mencapai tujuan mereka.", CHAR(10),
"✔ Membantuku membangun personal branding yang kuat dan sustainable, sesuai dengan Positioning saya sebagai '", 'CONTENT PILLAR MAPPING'!C879, "' dan Brand Archetype '", 'CONTENT PILLAR MAPPING'!D884, "'.", CHAR(10),
"✔ Kemas dalam bentuk tabel agar rapi, mudah di baca dan dipahami, dengan kolom 'Judul Konten', 'Pilar', 'Format', 'Draft Script', 'CTA', 'Saran Visual', dan 'Full Caption'. (Kosongkan kolom Link Prompt jika ada)."
),
"")</f>
        <v/>
      </c>
      <c r="L974" s="199" t="n"/>
      <c r="M974" s="199" t="n"/>
      <c r="N974" s="102" t="n"/>
      <c r="O974" s="102" t="n"/>
      <c r="P974" s="102" t="n"/>
      <c r="Q974" s="102" t="n"/>
      <c r="R974" s="102" t="n"/>
      <c r="S974" s="102" t="n"/>
      <c r="T974" s="102" t="n"/>
      <c r="U974" s="102" t="n"/>
      <c r="V974" s="102" t="n"/>
      <c r="W974" s="102" t="n"/>
      <c r="X974" s="102" t="n"/>
      <c r="Y974" s="102" t="n"/>
      <c r="Z974" s="102" t="n"/>
      <c r="AA974" s="102" t="n"/>
      <c r="AB974" s="102" t="n"/>
      <c r="AC974" s="102" t="n"/>
      <c r="AD974" s="102" t="n"/>
    </row>
    <row r="975" ht="15.75" customHeight="1" s="205">
      <c r="A975" s="102" t="n"/>
      <c r="B975" s="142" t="n"/>
      <c r="C975" s="143" t="n"/>
      <c r="D975" s="143" t="n"/>
      <c r="E975" s="143" t="n"/>
      <c r="F975" s="143" t="n"/>
      <c r="G975" s="144" t="n"/>
      <c r="H975" s="145">
        <f>IF(K975&lt;&gt;"", HYPERLINK("https://chatgpt.com/?prompt=" &amp; SUBSTITUTE(SUBSTITUTE(K975, " ", "+"), "&amp;", "dan") &amp; "&amp;force-refresh=true&amp;timestamp=" &amp; TEXT(NOW(), "yyyymmddhhmmss"), "👉 Klik untuk Generate Script! 🔥"), "")</f>
        <v/>
      </c>
      <c r="I975" s="143" t="n"/>
      <c r="J975" s="146" t="n"/>
      <c r="K975" s="130">
        <f>IF(AND(B975&lt;&gt;"", C975&lt;&gt;"", D975&lt;&gt;"", E975&lt;&gt;"", F975&lt;&gt;"", G975&lt;&gt;"", J975&lt;&gt;"", 'CONTENT PILLAR MAPPING'!C878&lt;&gt;"", 'CONTENT PILLAR MAPPING'!E878&lt;&gt;"", 'CONTENT PILLAR MAPPING'!F878&lt;&gt;"", 'CONTENT PILLAR MAPPING'!C881&lt;&gt;"", 'CONTENT PILLAR MAPPING'!C886&lt;&gt;"", 'CONTENT PILLAR MAPPING'!D886&lt;&gt;"", 'CONTENT PILLAR MAPPING'!E886&lt;&gt;"", 'CONTENT PILLAR MAPPING'!D894&lt;&gt;"", 'CONTENT PILLAR MAPPING'!D895&lt;&gt;""),
CONCATENATE(
"Sebagai seorang top konten kreator dengan niche utama '", 'CONTENT PILLAR MAPPING'!C878, "', spesifik kategori '", 'CONTENT PILLAR MAPPING'!E878, "', dan super spesifik '", 'CONTENT PILLAR MAPPING'!F878, "', yang dikenal sebagai '", 'CONTENT PILLAR MAPPING'!C881, "'.", CHAR(10),
"Saya memiliki Tone of Voice: '", 'CONTENT PILLAR MAPPING'!C886, "', Brand Archetype: '", 'CONTENT PILLAR MAPPING'!D886, "', dan Deskripsi Gaya Komunikasi: '", 'CONTENT PILLAR MAPPING'!E886, "'.", CHAR(10),
"Target audiens saya adalah: '", 'CONTENT PILLAR MAPPING'!D894, "', dengan segmentasi audiens: '", 'CONTENT PILLAR MAPPING'!D895, "'.", CHAR(10), CHAR(10),
"Mohon buatkan script konten yang **sangat powerful, menarik, inovatif, dan siap pakai** dengan judul ide '", B975, "'.", CHAR(10),
"Konten ini memiliki pilar '", C975, "', nilai tambah utama '", F975, "', dan akan menggunakan storytelling framework '", G975, "'.", CHAR(10),
"Gambaran singkat ide kontennya adalah: '", J975, "'.", CHAR(10),
"Konten ini akan diunggah di platform '", E975, "' dengan format '", D975,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MAPPING'!C881, "'.** Sesuaikan dengan gaya komunikasi saya, dengan fokus pada nilai tambah '", F975,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MAPPING'!D894, ", khusus ", 'CONTENT PILLAR MAPPING'!D895, ") dan membantu mereka menyelesaikan masalah atau mencapai tujuan mereka.", CHAR(10),
"✔ Membantuku membangun personal branding yang kuat dan sustainable, sesuai dengan Positioning saya sebagai '", 'CONTENT PILLAR MAPPING'!C881, "' dan Brand Archetype '", 'CONTENT PILLAR MAPPING'!D886, "'.", CHAR(10),
"✔ Kemas dalam bentuk tabel agar rapi, mudah di baca dan dipahami, dengan kolom 'Judul Konten', 'Pilar', 'Format', 'Draft Script', 'CTA', 'Saran Visual', dan 'Full Caption'. (Kosongkan kolom Link Prompt jika ada)."
),
"")</f>
        <v/>
      </c>
      <c r="L975" s="91" t="n"/>
      <c r="M975" s="91" t="n"/>
      <c r="N975" s="102" t="n"/>
      <c r="O975" s="102" t="n"/>
      <c r="P975" s="102" t="n"/>
      <c r="Q975" s="102" t="n"/>
      <c r="R975" s="102" t="n"/>
      <c r="S975" s="102" t="n"/>
      <c r="T975" s="102" t="n"/>
      <c r="U975" s="102" t="n"/>
      <c r="V975" s="102" t="n"/>
      <c r="W975" s="102" t="n"/>
      <c r="X975" s="102" t="n"/>
      <c r="Y975" s="102" t="n"/>
      <c r="Z975" s="102" t="n"/>
      <c r="AA975" s="102" t="n"/>
      <c r="AB975" s="102" t="n"/>
      <c r="AC975" s="102" t="n"/>
      <c r="AD975" s="102" t="n"/>
    </row>
    <row r="976" ht="15.75" customHeight="1" s="205">
      <c r="A976" s="102" t="n"/>
      <c r="B976" s="147" t="n"/>
      <c r="C976" s="144" t="n"/>
      <c r="D976" s="144" t="n"/>
      <c r="E976" s="144" t="n"/>
      <c r="F976" s="144" t="n"/>
      <c r="G976" s="144" t="n"/>
      <c r="H976" s="141">
        <f>IF(K976&lt;&gt;"", HYPERLINK("https://chatgpt.com/?prompt=" &amp; SUBSTITUTE(SUBSTITUTE(K976, " ", "+"), "&amp;", "dan") &amp; "&amp;force-refresh=true&amp;timestamp=" &amp; TEXT(NOW(), "yyyymmddhhmmss"), "👉 Klik untuk Generate Script! 🔥"), "")</f>
        <v/>
      </c>
      <c r="I976" s="144" t="n"/>
      <c r="J976" s="148" t="n"/>
      <c r="K976" s="140">
        <f>IF(AND(B976&lt;&gt;"", C976&lt;&gt;"", D976&lt;&gt;"", E976&lt;&gt;"", F976&lt;&gt;"", G976&lt;&gt;"", J976&lt;&gt;"", 'CONTENT PILLAR MAPPING'!C878&lt;&gt;"", 'CONTENT PILLAR MAPPING'!E878&lt;&gt;"", 'CONTENT PILLAR MAPPING'!F878&lt;&gt;"", 'CONTENT PILLAR MAPPING'!C881&lt;&gt;"", 'CONTENT PILLAR MAPPING'!C886&lt;&gt;"", 'CONTENT PILLAR MAPPING'!D886&lt;&gt;"", 'CONTENT PILLAR MAPPING'!E886&lt;&gt;"", 'CONTENT PILLAR MAPPING'!D894&lt;&gt;"", 'CONTENT PILLAR MAPPING'!D895&lt;&gt;""),
CONCATENATE(
"Sebagai seorang top konten kreator dengan niche utama '", 'CONTENT PILLAR MAPPING'!C878, "', spesifik kategori '", 'CONTENT PILLAR MAPPING'!E878, "', dan super spesifik '", 'CONTENT PILLAR MAPPING'!F878, "', yang dikenal sebagai '", 'CONTENT PILLAR MAPPING'!C881, "'.", CHAR(10),
"Saya memiliki Tone of Voice: '", 'CONTENT PILLAR MAPPING'!C886, "', Brand Archetype: '", 'CONTENT PILLAR MAPPING'!D886, "', dan Deskripsi Gaya Komunikasi: '", 'CONTENT PILLAR MAPPING'!E886, "'.", CHAR(10),
"Target audiens saya adalah: '", 'CONTENT PILLAR MAPPING'!D894, "', dengan segmentasi audiens: '", 'CONTENT PILLAR MAPPING'!D895, "'.", CHAR(10), CHAR(10),
"Mohon buatkan script konten yang **sangat powerful, menarik, inovatif, dan siap pakai** dengan judul ide '", B976, "'.", CHAR(10),
"Konten ini memiliki pilar '", C976, "', nilai tambah utama '", F976, "', dan akan menggunakan storytelling framework '", G976, "'.", CHAR(10),
"Gambaran singkat ide kontennya adalah: '", J976, "'.", CHAR(10),
"Konten ini akan diunggah di platform '", E976, "' dengan format '", D976,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MAPPING'!C881, "'.** Sesuaikan dengan gaya komunikasi saya, dengan fokus pada nilai tambah '", F976,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MAPPING'!D894, ", khusus ", 'CONTENT PILLAR MAPPING'!D895, ") dan membantu mereka menyelesaikan masalah atau mencapai tujuan mereka.", CHAR(10),
"✔ Membantuku membangun personal branding yang kuat dan sustainable, sesuai dengan Positioning saya sebagai '", 'CONTENT PILLAR MAPPING'!C881, "' dan Brand Archetype '", 'CONTENT PILLAR MAPPING'!D886, "'.", CHAR(10),
"✔ Kemas dalam bentuk tabel agar rapi, mudah di baca dan dipahami, dengan kolom 'Judul Konten', 'Pilar', 'Format', 'Draft Script', 'CTA', 'Saran Visual', dan 'Full Caption'. (Kosongkan kolom Link Prompt jika ada)."
),
"")</f>
        <v/>
      </c>
      <c r="L976" s="199" t="n"/>
      <c r="M976" s="199" t="n"/>
      <c r="N976" s="102" t="n"/>
      <c r="O976" s="102" t="n"/>
      <c r="P976" s="102" t="n"/>
      <c r="Q976" s="102" t="n"/>
      <c r="R976" s="102" t="n"/>
      <c r="S976" s="102" t="n"/>
      <c r="T976" s="102" t="n"/>
      <c r="U976" s="102" t="n"/>
      <c r="V976" s="102" t="n"/>
      <c r="W976" s="102" t="n"/>
      <c r="X976" s="102" t="n"/>
      <c r="Y976" s="102" t="n"/>
      <c r="Z976" s="102" t="n"/>
      <c r="AA976" s="102" t="n"/>
      <c r="AB976" s="102" t="n"/>
      <c r="AC976" s="102" t="n"/>
      <c r="AD976" s="102" t="n"/>
    </row>
    <row r="977" ht="15.75" customHeight="1" s="205">
      <c r="A977" s="102" t="n"/>
      <c r="B977" s="142" t="n"/>
      <c r="C977" s="143" t="n"/>
      <c r="D977" s="143" t="n"/>
      <c r="E977" s="143" t="n"/>
      <c r="F977" s="143" t="n"/>
      <c r="G977" s="144" t="n"/>
      <c r="H977" s="145">
        <f>IF(K977&lt;&gt;"", HYPERLINK("https://chatgpt.com/?prompt=" &amp; SUBSTITUTE(SUBSTITUTE(K977, " ", "+"), "&amp;", "dan") &amp; "&amp;force-refresh=true&amp;timestamp=" &amp; TEXT(NOW(), "yyyymmddhhmmss"), "👉 Klik untuk Generate Script! 🔥"), "")</f>
        <v/>
      </c>
      <c r="I977" s="143" t="n"/>
      <c r="J977" s="146" t="n"/>
      <c r="K977" s="130">
        <f>IF(AND(B977&lt;&gt;"", C977&lt;&gt;"", D977&lt;&gt;"", E977&lt;&gt;"", F977&lt;&gt;"", G977&lt;&gt;"", J977&lt;&gt;"", 'CONTENT PILLAR MAPPING'!C880&lt;&gt;"", 'CONTENT PILLAR MAPPING'!E880&lt;&gt;"", 'CONTENT PILLAR MAPPING'!F880&lt;&gt;"", 'CONTENT PILLAR MAPPING'!C883&lt;&gt;"", 'CONTENT PILLAR MAPPING'!C888&lt;&gt;"", 'CONTENT PILLAR MAPPING'!D888&lt;&gt;"", 'CONTENT PILLAR MAPPING'!E888&lt;&gt;"", 'CONTENT PILLAR MAPPING'!D896&lt;&gt;"", 'CONTENT PILLAR MAPPING'!D897&lt;&gt;""),
CONCATENATE(
"Sebagai seorang top konten kreator dengan niche utama '", 'CONTENT PILLAR MAPPING'!C880, "', spesifik kategori '", 'CONTENT PILLAR MAPPING'!E880, "', dan super spesifik '", 'CONTENT PILLAR MAPPING'!F880, "', yang dikenal sebagai '", 'CONTENT PILLAR MAPPING'!C883, "'.", CHAR(10),
"Saya memiliki Tone of Voice: '", 'CONTENT PILLAR MAPPING'!C888, "', Brand Archetype: '", 'CONTENT PILLAR MAPPING'!D888, "', dan Deskripsi Gaya Komunikasi: '", 'CONTENT PILLAR MAPPING'!E888, "'.", CHAR(10),
"Target audiens saya adalah: '", 'CONTENT PILLAR MAPPING'!D896, "', dengan segmentasi audiens: '", 'CONTENT PILLAR MAPPING'!D897, "'.", CHAR(10), CHAR(10),
"Mohon buatkan script konten yang **sangat powerful, menarik, inovatif, dan siap pakai** dengan judul ide '", B977, "'.", CHAR(10),
"Konten ini memiliki pilar '", C977, "', nilai tambah utama '", F977, "', dan akan menggunakan storytelling framework '", G977, "'.", CHAR(10),
"Gambaran singkat ide kontennya adalah: '", J977, "'.", CHAR(10),
"Konten ini akan diunggah di platform '", E977, "' dengan format '", D977,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MAPPING'!C883, "'.** Sesuaikan dengan gaya komunikasi saya, dengan fokus pada nilai tambah '", F977,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MAPPING'!D896, ", khusus ", 'CONTENT PILLAR MAPPING'!D897, ") dan membantu mereka menyelesaikan masalah atau mencapai tujuan mereka.", CHAR(10),
"✔ Membantuku membangun personal branding yang kuat dan sustainable, sesuai dengan Positioning saya sebagai '", 'CONTENT PILLAR MAPPING'!C883, "' dan Brand Archetype '", 'CONTENT PILLAR MAPPING'!D888, "'.", CHAR(10),
"✔ Kemas dalam bentuk tabel agar rapi, mudah di baca dan dipahami, dengan kolom 'Judul Konten', 'Pilar', 'Format', 'Draft Script', 'CTA', 'Saran Visual', dan 'Full Caption'. (Kosongkan kolom Link Prompt jika ada)."
),
"")</f>
        <v/>
      </c>
      <c r="L977" s="91" t="n"/>
      <c r="M977" s="91" t="n"/>
      <c r="N977" s="102" t="n"/>
      <c r="O977" s="102" t="n"/>
      <c r="P977" s="102" t="n"/>
      <c r="Q977" s="102" t="n"/>
      <c r="R977" s="102" t="n"/>
      <c r="S977" s="102" t="n"/>
      <c r="T977" s="102" t="n"/>
      <c r="U977" s="102" t="n"/>
      <c r="V977" s="102" t="n"/>
      <c r="W977" s="102" t="n"/>
      <c r="X977" s="102" t="n"/>
      <c r="Y977" s="102" t="n"/>
      <c r="Z977" s="102" t="n"/>
      <c r="AA977" s="102" t="n"/>
      <c r="AB977" s="102" t="n"/>
      <c r="AC977" s="102" t="n"/>
      <c r="AD977" s="102" t="n"/>
    </row>
    <row r="978" ht="15.75" customHeight="1" s="205">
      <c r="A978" s="102" t="n"/>
      <c r="B978" s="147" t="n"/>
      <c r="C978" s="144" t="n"/>
      <c r="D978" s="144" t="n"/>
      <c r="E978" s="144" t="n"/>
      <c r="F978" s="144" t="n"/>
      <c r="G978" s="144" t="n"/>
      <c r="H978" s="141">
        <f>IF(K978&lt;&gt;"", HYPERLINK("https://chatgpt.com/?prompt=" &amp; SUBSTITUTE(SUBSTITUTE(K978, " ", "+"), "&amp;", "dan") &amp; "&amp;force-refresh=true&amp;timestamp=" &amp; TEXT(NOW(), "yyyymmddhhmmss"), "👉 Klik untuk Generate Script! 🔥"), "")</f>
        <v/>
      </c>
      <c r="I978" s="144" t="n"/>
      <c r="J978" s="148" t="n"/>
      <c r="K978" s="140">
        <f>IF(AND(B978&lt;&gt;"", C978&lt;&gt;"", D978&lt;&gt;"", E978&lt;&gt;"", F978&lt;&gt;"", G978&lt;&gt;"", J978&lt;&gt;"", 'CONTENT PILLAR MAPPING'!C880&lt;&gt;"", 'CONTENT PILLAR MAPPING'!E880&lt;&gt;"", 'CONTENT PILLAR MAPPING'!F880&lt;&gt;"", 'CONTENT PILLAR MAPPING'!C883&lt;&gt;"", 'CONTENT PILLAR MAPPING'!C888&lt;&gt;"", 'CONTENT PILLAR MAPPING'!D888&lt;&gt;"", 'CONTENT PILLAR MAPPING'!E888&lt;&gt;"", 'CONTENT PILLAR MAPPING'!D896&lt;&gt;"", 'CONTENT PILLAR MAPPING'!D897&lt;&gt;""),
CONCATENATE(
"Sebagai seorang top konten kreator dengan niche utama '", 'CONTENT PILLAR MAPPING'!C880, "', spesifik kategori '", 'CONTENT PILLAR MAPPING'!E880, "', dan super spesifik '", 'CONTENT PILLAR MAPPING'!F880, "', yang dikenal sebagai '", 'CONTENT PILLAR MAPPING'!C883, "'.", CHAR(10),
"Saya memiliki Tone of Voice: '", 'CONTENT PILLAR MAPPING'!C888, "', Brand Archetype: '", 'CONTENT PILLAR MAPPING'!D888, "', dan Deskripsi Gaya Komunikasi: '", 'CONTENT PILLAR MAPPING'!E888, "'.", CHAR(10),
"Target audiens saya adalah: '", 'CONTENT PILLAR MAPPING'!D896, "', dengan segmentasi audiens: '", 'CONTENT PILLAR MAPPING'!D897, "'.", CHAR(10), CHAR(10),
"Mohon buatkan script konten yang **sangat powerful, menarik, inovatif, dan siap pakai** dengan judul ide '", B978, "'.", CHAR(10),
"Konten ini memiliki pilar '", C978, "', nilai tambah utama '", F978, "', dan akan menggunakan storytelling framework '", G978, "'.", CHAR(10),
"Gambaran singkat ide kontennya adalah: '", J978, "'.", CHAR(10),
"Konten ini akan diunggah di platform '", E978, "' dengan format '", D978,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MAPPING'!C883, "'.** Sesuaikan dengan gaya komunikasi saya, dengan fokus pada nilai tambah '", F978,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MAPPING'!D896, ", khusus ", 'CONTENT PILLAR MAPPING'!D897, ") dan membantu mereka menyelesaikan masalah atau mencapai tujuan mereka.", CHAR(10),
"✔ Membantuku membangun personal branding yang kuat dan sustainable, sesuai dengan Positioning saya sebagai '", 'CONTENT PILLAR MAPPING'!C883, "' dan Brand Archetype '", 'CONTENT PILLAR MAPPING'!D888, "'.", CHAR(10),
"✔ Kemas dalam bentuk tabel agar rapi, mudah di baca dan dipahami, dengan kolom 'Judul Konten', 'Pilar', 'Format', 'Draft Script', 'CTA', 'Saran Visual', dan 'Full Caption'. (Kosongkan kolom Link Prompt jika ada)."
),
"")</f>
        <v/>
      </c>
      <c r="L978" s="199" t="n"/>
      <c r="M978" s="199" t="n"/>
      <c r="N978" s="102" t="n"/>
      <c r="O978" s="102" t="n"/>
      <c r="P978" s="102" t="n"/>
      <c r="Q978" s="102" t="n"/>
      <c r="R978" s="102" t="n"/>
      <c r="S978" s="102" t="n"/>
      <c r="T978" s="102" t="n"/>
      <c r="U978" s="102" t="n"/>
      <c r="V978" s="102" t="n"/>
      <c r="W978" s="102" t="n"/>
      <c r="X978" s="102" t="n"/>
      <c r="Y978" s="102" t="n"/>
      <c r="Z978" s="102" t="n"/>
      <c r="AA978" s="102" t="n"/>
      <c r="AB978" s="102" t="n"/>
      <c r="AC978" s="102" t="n"/>
      <c r="AD978" s="102" t="n"/>
    </row>
    <row r="979" ht="15.75" customHeight="1" s="205">
      <c r="A979" s="102" t="n"/>
      <c r="B979" s="142" t="n"/>
      <c r="C979" s="143" t="n"/>
      <c r="D979" s="143" t="n"/>
      <c r="E979" s="143" t="n"/>
      <c r="F979" s="143" t="n"/>
      <c r="G979" s="144" t="n"/>
      <c r="H979" s="145">
        <f>IF(K979&lt;&gt;"", HYPERLINK("https://chatgpt.com/?prompt=" &amp; SUBSTITUTE(SUBSTITUTE(K979, " ", "+"), "&amp;", "dan") &amp; "&amp;force-refresh=true&amp;timestamp=" &amp; TEXT(NOW(), "yyyymmddhhmmss"), "👉 Klik untuk Generate Script! 🔥"), "")</f>
        <v/>
      </c>
      <c r="I979" s="143" t="n"/>
      <c r="J979" s="146" t="n"/>
      <c r="K979" s="130">
        <f>IF(AND(B979&lt;&gt;"", C979&lt;&gt;"", D979&lt;&gt;"", E979&lt;&gt;"", F979&lt;&gt;"", G979&lt;&gt;"", J979&lt;&gt;"", 'CONTENT PILLAR MAPPING'!C882&lt;&gt;"", 'CONTENT PILLAR MAPPING'!E882&lt;&gt;"", 'CONTENT PILLAR MAPPING'!F882&lt;&gt;"", 'CONTENT PILLAR MAPPING'!C885&lt;&gt;"", 'CONTENT PILLAR MAPPING'!C890&lt;&gt;"", 'CONTENT PILLAR MAPPING'!D890&lt;&gt;"", 'CONTENT PILLAR MAPPING'!E890&lt;&gt;"", 'CONTENT PILLAR MAPPING'!D898&lt;&gt;"", 'CONTENT PILLAR MAPPING'!D899&lt;&gt;""),
CONCATENATE(
"Sebagai seorang top konten kreator dengan niche utama '", 'CONTENT PILLAR MAPPING'!C882, "', spesifik kategori '", 'CONTENT PILLAR MAPPING'!E882, "', dan super spesifik '", 'CONTENT PILLAR MAPPING'!F882, "', yang dikenal sebagai '", 'CONTENT PILLAR MAPPING'!C885, "'.", CHAR(10),
"Saya memiliki Tone of Voice: '", 'CONTENT PILLAR MAPPING'!C890, "', Brand Archetype: '", 'CONTENT PILLAR MAPPING'!D890, "', dan Deskripsi Gaya Komunikasi: '", 'CONTENT PILLAR MAPPING'!E890, "'.", CHAR(10),
"Target audiens saya adalah: '", 'CONTENT PILLAR MAPPING'!D898, "', dengan segmentasi audiens: '", 'CONTENT PILLAR MAPPING'!D899, "'.", CHAR(10), CHAR(10),
"Mohon buatkan script konten yang **sangat powerful, menarik, inovatif, dan siap pakai** dengan judul ide '", B979, "'.", CHAR(10),
"Konten ini memiliki pilar '", C979, "', nilai tambah utama '", F979, "', dan akan menggunakan storytelling framework '", G979, "'.", CHAR(10),
"Gambaran singkat ide kontennya adalah: '", J979, "'.", CHAR(10),
"Konten ini akan diunggah di platform '", E979, "' dengan format '", D979,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MAPPING'!C885, "'.** Sesuaikan dengan gaya komunikasi saya, dengan fokus pada nilai tambah '", F979,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MAPPING'!D898, ", khusus ", 'CONTENT PILLAR MAPPING'!D899, ") dan membantu mereka menyelesaikan masalah atau mencapai tujuan mereka.", CHAR(10),
"✔ Membantuku membangun personal branding yang kuat dan sustainable, sesuai dengan Positioning saya sebagai '", 'CONTENT PILLAR MAPPING'!C885, "' dan Brand Archetype '", 'CONTENT PILLAR MAPPING'!D890, "'.", CHAR(10),
"✔ Kemas dalam bentuk tabel agar rapi, mudah di baca dan dipahami, dengan kolom 'Judul Konten', 'Pilar', 'Format', 'Draft Script', 'CTA', 'Saran Visual', dan 'Full Caption'. (Kosongkan kolom Link Prompt jika ada)."
),
"")</f>
        <v/>
      </c>
      <c r="L979" s="91" t="n"/>
      <c r="M979" s="91" t="n"/>
      <c r="N979" s="102" t="n"/>
      <c r="O979" s="102" t="n"/>
      <c r="P979" s="102" t="n"/>
      <c r="Q979" s="102" t="n"/>
      <c r="R979" s="102" t="n"/>
      <c r="S979" s="102" t="n"/>
      <c r="T979" s="102" t="n"/>
      <c r="U979" s="102" t="n"/>
      <c r="V979" s="102" t="n"/>
      <c r="W979" s="102" t="n"/>
      <c r="X979" s="102" t="n"/>
      <c r="Y979" s="102" t="n"/>
      <c r="Z979" s="102" t="n"/>
      <c r="AA979" s="102" t="n"/>
      <c r="AB979" s="102" t="n"/>
      <c r="AC979" s="102" t="n"/>
      <c r="AD979" s="102" t="n"/>
    </row>
    <row r="980" ht="15.75" customHeight="1" s="205">
      <c r="A980" s="102" t="n"/>
      <c r="B980" s="147" t="n"/>
      <c r="C980" s="144" t="n"/>
      <c r="D980" s="144" t="n"/>
      <c r="E980" s="144" t="n"/>
      <c r="F980" s="144" t="n"/>
      <c r="G980" s="144" t="n"/>
      <c r="H980" s="141">
        <f>IF(K980&lt;&gt;"", HYPERLINK("https://chatgpt.com/?prompt=" &amp; SUBSTITUTE(SUBSTITUTE(K980, " ", "+"), "&amp;", "dan") &amp; "&amp;force-refresh=true&amp;timestamp=" &amp; TEXT(NOW(), "yyyymmddhhmmss"), "👉 Klik untuk Generate Script! 🔥"), "")</f>
        <v/>
      </c>
      <c r="I980" s="144" t="n"/>
      <c r="J980" s="148" t="n"/>
      <c r="K980" s="140">
        <f>IF(AND(B980&lt;&gt;"", C980&lt;&gt;"", D980&lt;&gt;"", E980&lt;&gt;"", F980&lt;&gt;"", G980&lt;&gt;"", J980&lt;&gt;"", 'CONTENT PILLAR MAPPING'!C882&lt;&gt;"", 'CONTENT PILLAR MAPPING'!E882&lt;&gt;"", 'CONTENT PILLAR MAPPING'!F882&lt;&gt;"", 'CONTENT PILLAR MAPPING'!C885&lt;&gt;"", 'CONTENT PILLAR MAPPING'!C890&lt;&gt;"", 'CONTENT PILLAR MAPPING'!D890&lt;&gt;"", 'CONTENT PILLAR MAPPING'!E890&lt;&gt;"", 'CONTENT PILLAR MAPPING'!D898&lt;&gt;"", 'CONTENT PILLAR MAPPING'!D899&lt;&gt;""),
CONCATENATE(
"Sebagai seorang top konten kreator dengan niche utama '", 'CONTENT PILLAR MAPPING'!C882, "', spesifik kategori '", 'CONTENT PILLAR MAPPING'!E882, "', dan super spesifik '", 'CONTENT PILLAR MAPPING'!F882, "', yang dikenal sebagai '", 'CONTENT PILLAR MAPPING'!C885, "'.", CHAR(10),
"Saya memiliki Tone of Voice: '", 'CONTENT PILLAR MAPPING'!C890, "', Brand Archetype: '", 'CONTENT PILLAR MAPPING'!D890, "', dan Deskripsi Gaya Komunikasi: '", 'CONTENT PILLAR MAPPING'!E890, "'.", CHAR(10),
"Target audiens saya adalah: '", 'CONTENT PILLAR MAPPING'!D898, "', dengan segmentasi audiens: '", 'CONTENT PILLAR MAPPING'!D899, "'.", CHAR(10), CHAR(10),
"Mohon buatkan script konten yang **sangat powerful, menarik, inovatif, dan siap pakai** dengan judul ide '", B980, "'.", CHAR(10),
"Konten ini memiliki pilar '", C980, "', nilai tambah utama '", F980, "', dan akan menggunakan storytelling framework '", G980, "'.", CHAR(10),
"Gambaran singkat ide kontennya adalah: '", J980, "'.", CHAR(10),
"Konten ini akan diunggah di platform '", E980, "' dengan format '", D980,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MAPPING'!C885, "'.** Sesuaikan dengan gaya komunikasi saya, dengan fokus pada nilai tambah '", F980,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MAPPING'!D898, ", khusus ", 'CONTENT PILLAR MAPPING'!D899, ") dan membantu mereka menyelesaikan masalah atau mencapai tujuan mereka.", CHAR(10),
"✔ Membantuku membangun personal branding yang kuat dan sustainable, sesuai dengan Positioning saya sebagai '", 'CONTENT PILLAR MAPPING'!C885, "' dan Brand Archetype '", 'CONTENT PILLAR MAPPING'!D890, "'.", CHAR(10),
"✔ Kemas dalam bentuk tabel agar rapi, mudah di baca dan dipahami, dengan kolom 'Judul Konten', 'Pilar', 'Format', 'Draft Script', 'CTA', 'Saran Visual', dan 'Full Caption'. (Kosongkan kolom Link Prompt jika ada)."
),
"")</f>
        <v/>
      </c>
      <c r="L980" s="199" t="n"/>
      <c r="M980" s="199" t="n"/>
      <c r="N980" s="102" t="n"/>
      <c r="O980" s="102" t="n"/>
      <c r="P980" s="102" t="n"/>
      <c r="Q980" s="102" t="n"/>
      <c r="R980" s="102" t="n"/>
      <c r="S980" s="102" t="n"/>
      <c r="T980" s="102" t="n"/>
      <c r="U980" s="102" t="n"/>
      <c r="V980" s="102" t="n"/>
      <c r="W980" s="102" t="n"/>
      <c r="X980" s="102" t="n"/>
      <c r="Y980" s="102" t="n"/>
      <c r="Z980" s="102" t="n"/>
      <c r="AA980" s="102" t="n"/>
      <c r="AB980" s="102" t="n"/>
      <c r="AC980" s="102" t="n"/>
      <c r="AD980" s="102" t="n"/>
    </row>
    <row r="981" ht="15.75" customHeight="1" s="205">
      <c r="A981" s="102" t="n"/>
      <c r="B981" s="142" t="n"/>
      <c r="C981" s="143" t="n"/>
      <c r="D981" s="143" t="n"/>
      <c r="E981" s="143" t="n"/>
      <c r="F981" s="143" t="n"/>
      <c r="G981" s="144" t="n"/>
      <c r="H981" s="145">
        <f>IF(K981&lt;&gt;"", HYPERLINK("https://chatgpt.com/?prompt=" &amp; SUBSTITUTE(SUBSTITUTE(K981, " ", "+"), "&amp;", "dan") &amp; "&amp;force-refresh=true&amp;timestamp=" &amp; TEXT(NOW(), "yyyymmddhhmmss"), "👉 Klik untuk Generate Script! 🔥"), "")</f>
        <v/>
      </c>
      <c r="I981" s="143" t="n"/>
      <c r="J981" s="146" t="n"/>
      <c r="K981" s="130">
        <f>IF(AND(B981&lt;&gt;"", C981&lt;&gt;"", D981&lt;&gt;"", E981&lt;&gt;"", F981&lt;&gt;"", G981&lt;&gt;"", J981&lt;&gt;"", 'CONTENT PILLAR MAPPING'!C884&lt;&gt;"", 'CONTENT PILLAR MAPPING'!E884&lt;&gt;"", 'CONTENT PILLAR MAPPING'!F884&lt;&gt;"", 'CONTENT PILLAR MAPPING'!C887&lt;&gt;"", 'CONTENT PILLAR MAPPING'!C892&lt;&gt;"", 'CONTENT PILLAR MAPPING'!D892&lt;&gt;"", 'CONTENT PILLAR MAPPING'!E892&lt;&gt;"", 'CONTENT PILLAR MAPPING'!D900&lt;&gt;"", 'CONTENT PILLAR MAPPING'!D901&lt;&gt;""),
CONCATENATE(
"Sebagai seorang top konten kreator dengan niche utama '", 'CONTENT PILLAR MAPPING'!C884, "', spesifik kategori '", 'CONTENT PILLAR MAPPING'!E884, "', dan super spesifik '", 'CONTENT PILLAR MAPPING'!F884, "', yang dikenal sebagai '", 'CONTENT PILLAR MAPPING'!C887, "'.", CHAR(10),
"Saya memiliki Tone of Voice: '", 'CONTENT PILLAR MAPPING'!C892, "', Brand Archetype: '", 'CONTENT PILLAR MAPPING'!D892, "', dan Deskripsi Gaya Komunikasi: '", 'CONTENT PILLAR MAPPING'!E892, "'.", CHAR(10),
"Target audiens saya adalah: '", 'CONTENT PILLAR MAPPING'!D900, "', dengan segmentasi audiens: '", 'CONTENT PILLAR MAPPING'!D901, "'.", CHAR(10), CHAR(10),
"Mohon buatkan script konten yang **sangat powerful, menarik, inovatif, dan siap pakai** dengan judul ide '", B981, "'.", CHAR(10),
"Konten ini memiliki pilar '", C981, "', nilai tambah utama '", F981, "', dan akan menggunakan storytelling framework '", G981, "'.", CHAR(10),
"Gambaran singkat ide kontennya adalah: '", J981, "'.", CHAR(10),
"Konten ini akan diunggah di platform '", E981, "' dengan format '", D981,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MAPPING'!C887, "'.** Sesuaikan dengan gaya komunikasi saya, dengan fokus pada nilai tambah '", F981,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MAPPING'!D900, ", khusus ", 'CONTENT PILLAR MAPPING'!D901, ") dan membantu mereka menyelesaikan masalah atau mencapai tujuan mereka.", CHAR(10),
"✔ Membantuku membangun personal branding yang kuat dan sustainable, sesuai dengan Positioning saya sebagai '", 'CONTENT PILLAR MAPPING'!C887, "' dan Brand Archetype '", 'CONTENT PILLAR MAPPING'!D892, "'.", CHAR(10),
"✔ Kemas dalam bentuk tabel agar rapi, mudah di baca dan dipahami, dengan kolom 'Judul Konten', 'Pilar', 'Format', 'Draft Script', 'CTA', 'Saran Visual', dan 'Full Caption'. (Kosongkan kolom Link Prompt jika ada)."
),
"")</f>
        <v/>
      </c>
      <c r="L981" s="91" t="n"/>
      <c r="M981" s="91" t="n"/>
      <c r="N981" s="102" t="n"/>
      <c r="O981" s="102" t="n"/>
      <c r="P981" s="102" t="n"/>
      <c r="Q981" s="102" t="n"/>
      <c r="R981" s="102" t="n"/>
      <c r="S981" s="102" t="n"/>
      <c r="T981" s="102" t="n"/>
      <c r="U981" s="102" t="n"/>
      <c r="V981" s="102" t="n"/>
      <c r="W981" s="102" t="n"/>
      <c r="X981" s="102" t="n"/>
      <c r="Y981" s="102" t="n"/>
      <c r="Z981" s="102" t="n"/>
      <c r="AA981" s="102" t="n"/>
      <c r="AB981" s="102" t="n"/>
      <c r="AC981" s="102" t="n"/>
      <c r="AD981" s="102" t="n"/>
    </row>
    <row r="982" ht="15.75" customHeight="1" s="205">
      <c r="A982" s="102" t="n"/>
      <c r="B982" s="147" t="n"/>
      <c r="C982" s="144" t="n"/>
      <c r="D982" s="144" t="n"/>
      <c r="E982" s="144" t="n"/>
      <c r="F982" s="144" t="n"/>
      <c r="G982" s="144" t="n"/>
      <c r="H982" s="141">
        <f>IF(K982&lt;&gt;"", HYPERLINK("https://chatgpt.com/?prompt=" &amp; SUBSTITUTE(SUBSTITUTE(K982, " ", "+"), "&amp;", "dan") &amp; "&amp;force-refresh=true&amp;timestamp=" &amp; TEXT(NOW(), "yyyymmddhhmmss"), "👉 Klik untuk Generate Script! 🔥"), "")</f>
        <v/>
      </c>
      <c r="I982" s="144" t="n"/>
      <c r="J982" s="148" t="n"/>
      <c r="K982" s="140">
        <f>IF(AND(B982&lt;&gt;"", C982&lt;&gt;"", D982&lt;&gt;"", E982&lt;&gt;"", F982&lt;&gt;"", G982&lt;&gt;"", J982&lt;&gt;"", 'CONTENT PILLAR MAPPING'!C884&lt;&gt;"", 'CONTENT PILLAR MAPPING'!E884&lt;&gt;"", 'CONTENT PILLAR MAPPING'!F884&lt;&gt;"", 'CONTENT PILLAR MAPPING'!C887&lt;&gt;"", 'CONTENT PILLAR MAPPING'!C892&lt;&gt;"", 'CONTENT PILLAR MAPPING'!D892&lt;&gt;"", 'CONTENT PILLAR MAPPING'!E892&lt;&gt;"", 'CONTENT PILLAR MAPPING'!D900&lt;&gt;"", 'CONTENT PILLAR MAPPING'!D901&lt;&gt;""),
CONCATENATE(
"Sebagai seorang top konten kreator dengan niche utama '", 'CONTENT PILLAR MAPPING'!C884, "', spesifik kategori '", 'CONTENT PILLAR MAPPING'!E884, "', dan super spesifik '", 'CONTENT PILLAR MAPPING'!F884, "', yang dikenal sebagai '", 'CONTENT PILLAR MAPPING'!C887, "'.", CHAR(10),
"Saya memiliki Tone of Voice: '", 'CONTENT PILLAR MAPPING'!C892, "', Brand Archetype: '", 'CONTENT PILLAR MAPPING'!D892, "', dan Deskripsi Gaya Komunikasi: '", 'CONTENT PILLAR MAPPING'!E892, "'.", CHAR(10),
"Target audiens saya adalah: '", 'CONTENT PILLAR MAPPING'!D900, "', dengan segmentasi audiens: '", 'CONTENT PILLAR MAPPING'!D901, "'.", CHAR(10), CHAR(10),
"Mohon buatkan script konten yang **sangat powerful, menarik, inovatif, dan siap pakai** dengan judul ide '", B982, "'.", CHAR(10),
"Konten ini memiliki pilar '", C982, "', nilai tambah utama '", F982, "', dan akan menggunakan storytelling framework '", G982, "'.", CHAR(10),
"Gambaran singkat ide kontennya adalah: '", J982, "'.", CHAR(10),
"Konten ini akan diunggah di platform '", E982, "' dengan format '", D982,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MAPPING'!C887, "'.** Sesuaikan dengan gaya komunikasi saya, dengan fokus pada nilai tambah '", F982,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MAPPING'!D900, ", khusus ", 'CONTENT PILLAR MAPPING'!D901, ") dan membantu mereka menyelesaikan masalah atau mencapai tujuan mereka.", CHAR(10),
"✔ Membantuku membangun personal branding yang kuat dan sustainable, sesuai dengan Positioning saya sebagai '", 'CONTENT PILLAR MAPPING'!C887, "' dan Brand Archetype '", 'CONTENT PILLAR MAPPING'!D892, "'.", CHAR(10),
"✔ Kemas dalam bentuk tabel agar rapi, mudah di baca dan dipahami, dengan kolom 'Judul Konten', 'Pilar', 'Format', 'Draft Script', 'CTA', 'Saran Visual', dan 'Full Caption'. (Kosongkan kolom Link Prompt jika ada)."
),
"")</f>
        <v/>
      </c>
      <c r="L982" s="199" t="n"/>
      <c r="M982" s="199" t="n"/>
      <c r="N982" s="102" t="n"/>
      <c r="O982" s="102" t="n"/>
      <c r="P982" s="102" t="n"/>
      <c r="Q982" s="102" t="n"/>
      <c r="R982" s="102" t="n"/>
      <c r="S982" s="102" t="n"/>
      <c r="T982" s="102" t="n"/>
      <c r="U982" s="102" t="n"/>
      <c r="V982" s="102" t="n"/>
      <c r="W982" s="102" t="n"/>
      <c r="X982" s="102" t="n"/>
      <c r="Y982" s="102" t="n"/>
      <c r="Z982" s="102" t="n"/>
      <c r="AA982" s="102" t="n"/>
      <c r="AB982" s="102" t="n"/>
      <c r="AC982" s="102" t="n"/>
      <c r="AD982" s="102" t="n"/>
    </row>
    <row r="983" ht="15.75" customHeight="1" s="205">
      <c r="A983" s="102" t="n"/>
      <c r="B983" s="142" t="n"/>
      <c r="C983" s="143" t="n"/>
      <c r="D983" s="143" t="n"/>
      <c r="E983" s="143" t="n"/>
      <c r="F983" s="143" t="n"/>
      <c r="G983" s="144" t="n"/>
      <c r="H983" s="145">
        <f>IF(K983&lt;&gt;"", HYPERLINK("https://chatgpt.com/?prompt=" &amp; SUBSTITUTE(SUBSTITUTE(K983, " ", "+"), "&amp;", "dan") &amp; "&amp;force-refresh=true&amp;timestamp=" &amp; TEXT(NOW(), "yyyymmddhhmmss"), "👉 Klik untuk Generate Script! 🔥"), "")</f>
        <v/>
      </c>
      <c r="I983" s="143" t="n"/>
      <c r="J983" s="146" t="n"/>
      <c r="K983" s="130">
        <f>IF(AND(B983&lt;&gt;"", C983&lt;&gt;"", D983&lt;&gt;"", E983&lt;&gt;"", F983&lt;&gt;"", G983&lt;&gt;"", J983&lt;&gt;"", 'CONTENT PILLAR MAPPING'!C886&lt;&gt;"", 'CONTENT PILLAR MAPPING'!E886&lt;&gt;"", 'CONTENT PILLAR MAPPING'!F886&lt;&gt;"", 'CONTENT PILLAR MAPPING'!C889&lt;&gt;"", 'CONTENT PILLAR MAPPING'!C894&lt;&gt;"", 'CONTENT PILLAR MAPPING'!D894&lt;&gt;"", 'CONTENT PILLAR MAPPING'!E894&lt;&gt;"", 'CONTENT PILLAR MAPPING'!D902&lt;&gt;"", 'CONTENT PILLAR MAPPING'!D903&lt;&gt;""),
CONCATENATE(
"Sebagai seorang top konten kreator dengan niche utama '", 'CONTENT PILLAR MAPPING'!C886, "', spesifik kategori '", 'CONTENT PILLAR MAPPING'!E886, "', dan super spesifik '", 'CONTENT PILLAR MAPPING'!F886, "', yang dikenal sebagai '", 'CONTENT PILLAR MAPPING'!C889, "'.", CHAR(10),
"Saya memiliki Tone of Voice: '", 'CONTENT PILLAR MAPPING'!C894, "', Brand Archetype: '", 'CONTENT PILLAR MAPPING'!D894, "', dan Deskripsi Gaya Komunikasi: '", 'CONTENT PILLAR MAPPING'!E894, "'.", CHAR(10),
"Target audiens saya adalah: '", 'CONTENT PILLAR MAPPING'!D902, "', dengan segmentasi audiens: '", 'CONTENT PILLAR MAPPING'!D903, "'.", CHAR(10), CHAR(10),
"Mohon buatkan script konten yang **sangat powerful, menarik, inovatif, dan siap pakai** dengan judul ide '", B983, "'.", CHAR(10),
"Konten ini memiliki pilar '", C983, "', nilai tambah utama '", F983, "', dan akan menggunakan storytelling framework '", G983, "'.", CHAR(10),
"Gambaran singkat ide kontennya adalah: '", J983, "'.", CHAR(10),
"Konten ini akan diunggah di platform '", E983, "' dengan format '", D983,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MAPPING'!C889, "'.** Sesuaikan dengan gaya komunikasi saya, dengan fokus pada nilai tambah '", F983,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MAPPING'!D902, ", khusus ", 'CONTENT PILLAR MAPPING'!D903, ") dan membantu mereka menyelesaikan masalah atau mencapai tujuan mereka.", CHAR(10),
"✔ Membantuku membangun personal branding yang kuat dan sustainable, sesuai dengan Positioning saya sebagai '", 'CONTENT PILLAR MAPPING'!C889, "' dan Brand Archetype '", 'CONTENT PILLAR MAPPING'!D894, "'.", CHAR(10),
"✔ Kemas dalam bentuk tabel agar rapi, mudah di baca dan dipahami, dengan kolom 'Judul Konten', 'Pilar', 'Format', 'Draft Script', 'CTA', 'Saran Visual', dan 'Full Caption'. (Kosongkan kolom Link Prompt jika ada)."
),
"")</f>
        <v/>
      </c>
      <c r="L983" s="91" t="n"/>
      <c r="M983" s="91" t="n"/>
      <c r="N983" s="102" t="n"/>
      <c r="O983" s="102" t="n"/>
      <c r="P983" s="102" t="n"/>
      <c r="Q983" s="102" t="n"/>
      <c r="R983" s="102" t="n"/>
      <c r="S983" s="102" t="n"/>
      <c r="T983" s="102" t="n"/>
      <c r="U983" s="102" t="n"/>
      <c r="V983" s="102" t="n"/>
      <c r="W983" s="102" t="n"/>
      <c r="X983" s="102" t="n"/>
      <c r="Y983" s="102" t="n"/>
      <c r="Z983" s="102" t="n"/>
      <c r="AA983" s="102" t="n"/>
      <c r="AB983" s="102" t="n"/>
      <c r="AC983" s="102" t="n"/>
      <c r="AD983" s="102" t="n"/>
    </row>
    <row r="984" ht="15.75" customHeight="1" s="205">
      <c r="A984" s="102" t="n"/>
      <c r="B984" s="147" t="n"/>
      <c r="C984" s="144" t="n"/>
      <c r="D984" s="144" t="n"/>
      <c r="E984" s="144" t="n"/>
      <c r="F984" s="144" t="n"/>
      <c r="G984" s="144" t="n"/>
      <c r="H984" s="141">
        <f>IF(K984&lt;&gt;"", HYPERLINK("https://chatgpt.com/?prompt=" &amp; SUBSTITUTE(SUBSTITUTE(K984, " ", "+"), "&amp;", "dan") &amp; "&amp;force-refresh=true&amp;timestamp=" &amp; TEXT(NOW(), "yyyymmddhhmmss"), "👉 Klik untuk Generate Script! 🔥"), "")</f>
        <v/>
      </c>
      <c r="I984" s="144" t="n"/>
      <c r="J984" s="148" t="n"/>
      <c r="K984" s="140">
        <f>IF(AND(B984&lt;&gt;"", C984&lt;&gt;"", D984&lt;&gt;"", E984&lt;&gt;"", F984&lt;&gt;"", G984&lt;&gt;"", J984&lt;&gt;"", 'CONTENT PILLAR MAPPING'!C886&lt;&gt;"", 'CONTENT PILLAR MAPPING'!E886&lt;&gt;"", 'CONTENT PILLAR MAPPING'!F886&lt;&gt;"", 'CONTENT PILLAR MAPPING'!C889&lt;&gt;"", 'CONTENT PILLAR MAPPING'!C894&lt;&gt;"", 'CONTENT PILLAR MAPPING'!D894&lt;&gt;"", 'CONTENT PILLAR MAPPING'!E894&lt;&gt;"", 'CONTENT PILLAR MAPPING'!D902&lt;&gt;"", 'CONTENT PILLAR MAPPING'!D903&lt;&gt;""),
CONCATENATE(
"Sebagai seorang top konten kreator dengan niche utama '", 'CONTENT PILLAR MAPPING'!C886, "', spesifik kategori '", 'CONTENT PILLAR MAPPING'!E886, "', dan super spesifik '", 'CONTENT PILLAR MAPPING'!F886, "', yang dikenal sebagai '", 'CONTENT PILLAR MAPPING'!C889, "'.", CHAR(10),
"Saya memiliki Tone of Voice: '", 'CONTENT PILLAR MAPPING'!C894, "', Brand Archetype: '", 'CONTENT PILLAR MAPPING'!D894, "', dan Deskripsi Gaya Komunikasi: '", 'CONTENT PILLAR MAPPING'!E894, "'.", CHAR(10),
"Target audiens saya adalah: '", 'CONTENT PILLAR MAPPING'!D902, "', dengan segmentasi audiens: '", 'CONTENT PILLAR MAPPING'!D903, "'.", CHAR(10), CHAR(10),
"Mohon buatkan script konten yang **sangat powerful, menarik, inovatif, dan siap pakai** dengan judul ide '", B984, "'.", CHAR(10),
"Konten ini memiliki pilar '", C984, "', nilai tambah utama '", F984, "', dan akan menggunakan storytelling framework '", G984, "'.", CHAR(10),
"Gambaran singkat ide kontennya adalah: '", J984, "'.", CHAR(10),
"Konten ini akan diunggah di platform '", E984, "' dengan format '", D984,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MAPPING'!C889, "'.** Sesuaikan dengan gaya komunikasi saya, dengan fokus pada nilai tambah '", F984,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MAPPING'!D902, ", khusus ", 'CONTENT PILLAR MAPPING'!D903, ") dan membantu mereka menyelesaikan masalah atau mencapai tujuan mereka.", CHAR(10),
"✔ Membantuku membangun personal branding yang kuat dan sustainable, sesuai dengan Positioning saya sebagai '", 'CONTENT PILLAR MAPPING'!C889, "' dan Brand Archetype '", 'CONTENT PILLAR MAPPING'!D894, "'.", CHAR(10),
"✔ Kemas dalam bentuk tabel agar rapi, mudah di baca dan dipahami, dengan kolom 'Judul Konten', 'Pilar', 'Format', 'Draft Script', 'CTA', 'Saran Visual', dan 'Full Caption'. (Kosongkan kolom Link Prompt jika ada)."
),
"")</f>
        <v/>
      </c>
      <c r="L984" s="199" t="n"/>
      <c r="M984" s="199" t="n"/>
      <c r="N984" s="102" t="n"/>
      <c r="O984" s="102" t="n"/>
      <c r="P984" s="102" t="n"/>
      <c r="Q984" s="102" t="n"/>
      <c r="R984" s="102" t="n"/>
      <c r="S984" s="102" t="n"/>
      <c r="T984" s="102" t="n"/>
      <c r="U984" s="102" t="n"/>
      <c r="V984" s="102" t="n"/>
      <c r="W984" s="102" t="n"/>
      <c r="X984" s="102" t="n"/>
      <c r="Y984" s="102" t="n"/>
      <c r="Z984" s="102" t="n"/>
      <c r="AA984" s="102" t="n"/>
      <c r="AB984" s="102" t="n"/>
      <c r="AC984" s="102" t="n"/>
      <c r="AD984" s="102" t="n"/>
    </row>
    <row r="985" ht="15.75" customHeight="1" s="205">
      <c r="A985" s="102" t="n"/>
      <c r="B985" s="142" t="n"/>
      <c r="C985" s="143" t="n"/>
      <c r="D985" s="143" t="n"/>
      <c r="E985" s="143" t="n"/>
      <c r="F985" s="143" t="n"/>
      <c r="G985" s="144" t="n"/>
      <c r="H985" s="145">
        <f>IF(K985&lt;&gt;"", HYPERLINK("https://chatgpt.com/?prompt=" &amp; SUBSTITUTE(SUBSTITUTE(K985, " ", "+"), "&amp;", "dan") &amp; "&amp;force-refresh=true&amp;timestamp=" &amp; TEXT(NOW(), "yyyymmddhhmmss"), "👉 Klik untuk Generate Script! 🔥"), "")</f>
        <v/>
      </c>
      <c r="I985" s="143" t="n"/>
      <c r="J985" s="146" t="n"/>
      <c r="K985" s="130">
        <f>IF(AND(B985&lt;&gt;"", C985&lt;&gt;"", D985&lt;&gt;"", E985&lt;&gt;"", F985&lt;&gt;"", G985&lt;&gt;"", J985&lt;&gt;"", 'CONTENT PILLAR MAPPING'!C888&lt;&gt;"", 'CONTENT PILLAR MAPPING'!E888&lt;&gt;"", 'CONTENT PILLAR MAPPING'!F888&lt;&gt;"", 'CONTENT PILLAR MAPPING'!C891&lt;&gt;"", 'CONTENT PILLAR MAPPING'!C896&lt;&gt;"", 'CONTENT PILLAR MAPPING'!D896&lt;&gt;"", 'CONTENT PILLAR MAPPING'!E896&lt;&gt;"", 'CONTENT PILLAR MAPPING'!D904&lt;&gt;"", 'CONTENT PILLAR MAPPING'!D905&lt;&gt;""),
CONCATENATE(
"Sebagai seorang top konten kreator dengan niche utama '", 'CONTENT PILLAR MAPPING'!C888, "', spesifik kategori '", 'CONTENT PILLAR MAPPING'!E888, "', dan super spesifik '", 'CONTENT PILLAR MAPPING'!F888, "', yang dikenal sebagai '", 'CONTENT PILLAR MAPPING'!C891, "'.", CHAR(10),
"Saya memiliki Tone of Voice: '", 'CONTENT PILLAR MAPPING'!C896, "', Brand Archetype: '", 'CONTENT PILLAR MAPPING'!D896, "', dan Deskripsi Gaya Komunikasi: '", 'CONTENT PILLAR MAPPING'!E896, "'.", CHAR(10),
"Target audiens saya adalah: '", 'CONTENT PILLAR MAPPING'!D904, "', dengan segmentasi audiens: '", 'CONTENT PILLAR MAPPING'!D905, "'.", CHAR(10), CHAR(10),
"Mohon buatkan script konten yang **sangat powerful, menarik, inovatif, dan siap pakai** dengan judul ide '", B985, "'.", CHAR(10),
"Konten ini memiliki pilar '", C985, "', nilai tambah utama '", F985, "', dan akan menggunakan storytelling framework '", G985, "'.", CHAR(10),
"Gambaran singkat ide kontennya adalah: '", J985, "'.", CHAR(10),
"Konten ini akan diunggah di platform '", E985, "' dengan format '", D985,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MAPPING'!C891, "'.** Sesuaikan dengan gaya komunikasi saya, dengan fokus pada nilai tambah '", F985,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MAPPING'!D904, ", khusus ", 'CONTENT PILLAR MAPPING'!D905, ") dan membantu mereka menyelesaikan masalah atau mencapai tujuan mereka.", CHAR(10),
"✔ Membantuku membangun personal branding yang kuat dan sustainable, sesuai dengan Positioning saya sebagai '", 'CONTENT PILLAR MAPPING'!C891, "' dan Brand Archetype '", 'CONTENT PILLAR MAPPING'!D896, "'.", CHAR(10),
"✔ Kemas dalam bentuk tabel agar rapi, mudah di baca dan dipahami, dengan kolom 'Judul Konten', 'Pilar', 'Format', 'Draft Script', 'CTA', 'Saran Visual', dan 'Full Caption'. (Kosongkan kolom Link Prompt jika ada)."
),
"")</f>
        <v/>
      </c>
      <c r="L985" s="91" t="n"/>
      <c r="M985" s="91" t="n"/>
      <c r="N985" s="102" t="n"/>
      <c r="O985" s="102" t="n"/>
      <c r="P985" s="102" t="n"/>
      <c r="Q985" s="102" t="n"/>
      <c r="R985" s="102" t="n"/>
      <c r="S985" s="102" t="n"/>
      <c r="T985" s="102" t="n"/>
      <c r="U985" s="102" t="n"/>
      <c r="V985" s="102" t="n"/>
      <c r="W985" s="102" t="n"/>
      <c r="X985" s="102" t="n"/>
      <c r="Y985" s="102" t="n"/>
      <c r="Z985" s="102" t="n"/>
      <c r="AA985" s="102" t="n"/>
      <c r="AB985" s="102" t="n"/>
      <c r="AC985" s="102" t="n"/>
      <c r="AD985" s="102" t="n"/>
    </row>
    <row r="986" ht="15.75" customHeight="1" s="205">
      <c r="A986" s="102" t="n"/>
      <c r="B986" s="147" t="n"/>
      <c r="C986" s="144" t="n"/>
      <c r="D986" s="144" t="n"/>
      <c r="E986" s="144" t="n"/>
      <c r="F986" s="144" t="n"/>
      <c r="G986" s="144" t="n"/>
      <c r="H986" s="141">
        <f>IF(K986&lt;&gt;"", HYPERLINK("https://chatgpt.com/?prompt=" &amp; SUBSTITUTE(SUBSTITUTE(K986, " ", "+"), "&amp;", "dan") &amp; "&amp;force-refresh=true&amp;timestamp=" &amp; TEXT(NOW(), "yyyymmddhhmmss"), "👉 Klik untuk Generate Script! 🔥"), "")</f>
        <v/>
      </c>
      <c r="I986" s="144" t="n"/>
      <c r="J986" s="148" t="n"/>
      <c r="K986" s="140">
        <f>IF(AND(B986&lt;&gt;"", C986&lt;&gt;"", D986&lt;&gt;"", E986&lt;&gt;"", F986&lt;&gt;"", G986&lt;&gt;"", J986&lt;&gt;"", 'CONTENT PILLAR MAPPING'!C888&lt;&gt;"", 'CONTENT PILLAR MAPPING'!E888&lt;&gt;"", 'CONTENT PILLAR MAPPING'!F888&lt;&gt;"", 'CONTENT PILLAR MAPPING'!C891&lt;&gt;"", 'CONTENT PILLAR MAPPING'!C896&lt;&gt;"", 'CONTENT PILLAR MAPPING'!D896&lt;&gt;"", 'CONTENT PILLAR MAPPING'!E896&lt;&gt;"", 'CONTENT PILLAR MAPPING'!D904&lt;&gt;"", 'CONTENT PILLAR MAPPING'!D905&lt;&gt;""),
CONCATENATE(
"Sebagai seorang top konten kreator dengan niche utama '", 'CONTENT PILLAR MAPPING'!C888, "', spesifik kategori '", 'CONTENT PILLAR MAPPING'!E888, "', dan super spesifik '", 'CONTENT PILLAR MAPPING'!F888, "', yang dikenal sebagai '", 'CONTENT PILLAR MAPPING'!C891, "'.", CHAR(10),
"Saya memiliki Tone of Voice: '", 'CONTENT PILLAR MAPPING'!C896, "', Brand Archetype: '", 'CONTENT PILLAR MAPPING'!D896, "', dan Deskripsi Gaya Komunikasi: '", 'CONTENT PILLAR MAPPING'!E896, "'.", CHAR(10),
"Target audiens saya adalah: '", 'CONTENT PILLAR MAPPING'!D904, "', dengan segmentasi audiens: '", 'CONTENT PILLAR MAPPING'!D905, "'.", CHAR(10), CHAR(10),
"Mohon buatkan script konten yang **sangat powerful, menarik, inovatif, dan siap pakai** dengan judul ide '", B986, "'.", CHAR(10),
"Konten ini memiliki pilar '", C986, "', nilai tambah utama '", F986, "', dan akan menggunakan storytelling framework '", G986, "'.", CHAR(10),
"Gambaran singkat ide kontennya adalah: '", J986, "'.", CHAR(10),
"Konten ini akan diunggah di platform '", E986, "' dengan format '", D986,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MAPPING'!C891, "'.** Sesuaikan dengan gaya komunikasi saya, dengan fokus pada nilai tambah '", F986,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MAPPING'!D904, ", khusus ", 'CONTENT PILLAR MAPPING'!D905, ") dan membantu mereka menyelesaikan masalah atau mencapai tujuan mereka.", CHAR(10),
"✔ Membantuku membangun personal branding yang kuat dan sustainable, sesuai dengan Positioning saya sebagai '", 'CONTENT PILLAR MAPPING'!C891, "' dan Brand Archetype '", 'CONTENT PILLAR MAPPING'!D896, "'.", CHAR(10),
"✔ Kemas dalam bentuk tabel agar rapi, mudah di baca dan dipahami, dengan kolom 'Judul Konten', 'Pilar', 'Format', 'Draft Script', 'CTA', 'Saran Visual', dan 'Full Caption'. (Kosongkan kolom Link Prompt jika ada)."
),
"")</f>
        <v/>
      </c>
      <c r="L986" s="199" t="n"/>
      <c r="M986" s="199" t="n"/>
      <c r="N986" s="102" t="n"/>
      <c r="O986" s="102" t="n"/>
      <c r="P986" s="102" t="n"/>
      <c r="Q986" s="102" t="n"/>
      <c r="R986" s="102" t="n"/>
      <c r="S986" s="102" t="n"/>
      <c r="T986" s="102" t="n"/>
      <c r="U986" s="102" t="n"/>
      <c r="V986" s="102" t="n"/>
      <c r="W986" s="102" t="n"/>
      <c r="X986" s="102" t="n"/>
      <c r="Y986" s="102" t="n"/>
      <c r="Z986" s="102" t="n"/>
      <c r="AA986" s="102" t="n"/>
      <c r="AB986" s="102" t="n"/>
      <c r="AC986" s="102" t="n"/>
      <c r="AD986" s="102" t="n"/>
    </row>
    <row r="987" ht="15.75" customHeight="1" s="205">
      <c r="A987" s="102" t="n"/>
      <c r="B987" s="142" t="n"/>
      <c r="C987" s="143" t="n"/>
      <c r="D987" s="143" t="n"/>
      <c r="E987" s="143" t="n"/>
      <c r="F987" s="143" t="n"/>
      <c r="G987" s="144" t="n"/>
      <c r="H987" s="145">
        <f>IF(K987&lt;&gt;"", HYPERLINK("https://chatgpt.com/?prompt=" &amp; SUBSTITUTE(SUBSTITUTE(K987, " ", "+"), "&amp;", "dan") &amp; "&amp;force-refresh=true&amp;timestamp=" &amp; TEXT(NOW(), "yyyymmddhhmmss"), "👉 Klik untuk Generate Script! 🔥"), "")</f>
        <v/>
      </c>
      <c r="I987" s="143" t="n"/>
      <c r="J987" s="146" t="n"/>
      <c r="K987" s="130">
        <f>IF(AND(B987&lt;&gt;"", C987&lt;&gt;"", D987&lt;&gt;"", E987&lt;&gt;"", F987&lt;&gt;"", G987&lt;&gt;"", J987&lt;&gt;"", 'CONTENT PILLAR MAPPING'!C890&lt;&gt;"", 'CONTENT PILLAR MAPPING'!E890&lt;&gt;"", 'CONTENT PILLAR MAPPING'!F890&lt;&gt;"", 'CONTENT PILLAR MAPPING'!C893&lt;&gt;"", 'CONTENT PILLAR MAPPING'!C898&lt;&gt;"", 'CONTENT PILLAR MAPPING'!D898&lt;&gt;"", 'CONTENT PILLAR MAPPING'!E898&lt;&gt;"", 'CONTENT PILLAR MAPPING'!D906&lt;&gt;"", 'CONTENT PILLAR MAPPING'!D907&lt;&gt;""),
CONCATENATE(
"Sebagai seorang top konten kreator dengan niche utama '", 'CONTENT PILLAR MAPPING'!C890, "', spesifik kategori '", 'CONTENT PILLAR MAPPING'!E890, "', dan super spesifik '", 'CONTENT PILLAR MAPPING'!F890, "', yang dikenal sebagai '", 'CONTENT PILLAR MAPPING'!C893, "'.", CHAR(10),
"Saya memiliki Tone of Voice: '", 'CONTENT PILLAR MAPPING'!C898, "', Brand Archetype: '", 'CONTENT PILLAR MAPPING'!D898, "', dan Deskripsi Gaya Komunikasi: '", 'CONTENT PILLAR MAPPING'!E898, "'.", CHAR(10),
"Target audiens saya adalah: '", 'CONTENT PILLAR MAPPING'!D906, "', dengan segmentasi audiens: '", 'CONTENT PILLAR MAPPING'!D907, "'.", CHAR(10), CHAR(10),
"Mohon buatkan script konten yang **sangat powerful, menarik, inovatif, dan siap pakai** dengan judul ide '", B987, "'.", CHAR(10),
"Konten ini memiliki pilar '", C987, "', nilai tambah utama '", F987, "', dan akan menggunakan storytelling framework '", G987, "'.", CHAR(10),
"Gambaran singkat ide kontennya adalah: '", J987, "'.", CHAR(10),
"Konten ini akan diunggah di platform '", E987, "' dengan format '", D987,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MAPPING'!C893, "'.** Sesuaikan dengan gaya komunikasi saya, dengan fokus pada nilai tambah '", F987,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MAPPING'!D906, ", khusus ", 'CONTENT PILLAR MAPPING'!D907, ") dan membantu mereka menyelesaikan masalah atau mencapai tujuan mereka.", CHAR(10),
"✔ Membantuku membangun personal branding yang kuat dan sustainable, sesuai dengan Positioning saya sebagai '", 'CONTENT PILLAR MAPPING'!C893, "' dan Brand Archetype '", 'CONTENT PILLAR MAPPING'!D898, "'.", CHAR(10),
"✔ Kemas dalam bentuk tabel agar rapi, mudah di baca dan dipahami, dengan kolom 'Judul Konten', 'Pilar', 'Format', 'Draft Script', 'CTA', 'Saran Visual', dan 'Full Caption'. (Kosongkan kolom Link Prompt jika ada)."
),
"")</f>
        <v/>
      </c>
      <c r="L987" s="91" t="n"/>
      <c r="M987" s="91" t="n"/>
      <c r="N987" s="102" t="n"/>
      <c r="O987" s="102" t="n"/>
      <c r="P987" s="102" t="n"/>
      <c r="Q987" s="102" t="n"/>
      <c r="R987" s="102" t="n"/>
      <c r="S987" s="102" t="n"/>
      <c r="T987" s="102" t="n"/>
      <c r="U987" s="102" t="n"/>
      <c r="V987" s="102" t="n"/>
      <c r="W987" s="102" t="n"/>
      <c r="X987" s="102" t="n"/>
      <c r="Y987" s="102" t="n"/>
      <c r="Z987" s="102" t="n"/>
      <c r="AA987" s="102" t="n"/>
      <c r="AB987" s="102" t="n"/>
      <c r="AC987" s="102" t="n"/>
      <c r="AD987" s="102" t="n"/>
    </row>
    <row r="988" ht="15.75" customHeight="1" s="205">
      <c r="A988" s="102" t="n"/>
      <c r="B988" s="147" t="n"/>
      <c r="C988" s="144" t="n"/>
      <c r="D988" s="144" t="n"/>
      <c r="E988" s="144" t="n"/>
      <c r="F988" s="144" t="n"/>
      <c r="G988" s="144" t="n"/>
      <c r="H988" s="141">
        <f>IF(K988&lt;&gt;"", HYPERLINK("https://chatgpt.com/?prompt=" &amp; SUBSTITUTE(SUBSTITUTE(K988, " ", "+"), "&amp;", "dan") &amp; "&amp;force-refresh=true&amp;timestamp=" &amp; TEXT(NOW(), "yyyymmddhhmmss"), "👉 Klik untuk Generate Script! 🔥"), "")</f>
        <v/>
      </c>
      <c r="I988" s="144" t="n"/>
      <c r="J988" s="148" t="n"/>
      <c r="K988" s="140">
        <f>IF(AND(B988&lt;&gt;"", C988&lt;&gt;"", D988&lt;&gt;"", E988&lt;&gt;"", F988&lt;&gt;"", G988&lt;&gt;"", J988&lt;&gt;"", 'CONTENT PILLAR MAPPING'!C890&lt;&gt;"", 'CONTENT PILLAR MAPPING'!E890&lt;&gt;"", 'CONTENT PILLAR MAPPING'!F890&lt;&gt;"", 'CONTENT PILLAR MAPPING'!C893&lt;&gt;"", 'CONTENT PILLAR MAPPING'!C898&lt;&gt;"", 'CONTENT PILLAR MAPPING'!D898&lt;&gt;"", 'CONTENT PILLAR MAPPING'!E898&lt;&gt;"", 'CONTENT PILLAR MAPPING'!D906&lt;&gt;"", 'CONTENT PILLAR MAPPING'!D907&lt;&gt;""),
CONCATENATE(
"Sebagai seorang top konten kreator dengan niche utama '", 'CONTENT PILLAR MAPPING'!C890, "', spesifik kategori '", 'CONTENT PILLAR MAPPING'!E890, "', dan super spesifik '", 'CONTENT PILLAR MAPPING'!F890, "', yang dikenal sebagai '", 'CONTENT PILLAR MAPPING'!C893, "'.", CHAR(10),
"Saya memiliki Tone of Voice: '", 'CONTENT PILLAR MAPPING'!C898, "', Brand Archetype: '", 'CONTENT PILLAR MAPPING'!D898, "', dan Deskripsi Gaya Komunikasi: '", 'CONTENT PILLAR MAPPING'!E898, "'.", CHAR(10),
"Target audiens saya adalah: '", 'CONTENT PILLAR MAPPING'!D906, "', dengan segmentasi audiens: '", 'CONTENT PILLAR MAPPING'!D907, "'.", CHAR(10), CHAR(10),
"Mohon buatkan script konten yang **sangat powerful, menarik, inovatif, dan siap pakai** dengan judul ide '", B988, "'.", CHAR(10),
"Konten ini memiliki pilar '", C988, "', nilai tambah utama '", F988, "', dan akan menggunakan storytelling framework '", G988, "'.", CHAR(10),
"Gambaran singkat ide kontennya adalah: '", J988, "'.", CHAR(10),
"Konten ini akan diunggah di platform '", E988, "' dengan format '", D988,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MAPPING'!C893, "'.** Sesuaikan dengan gaya komunikasi saya, dengan fokus pada nilai tambah '", F988,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MAPPING'!D906, ", khusus ", 'CONTENT PILLAR MAPPING'!D907, ") dan membantu mereka menyelesaikan masalah atau mencapai tujuan mereka.", CHAR(10),
"✔ Membantuku membangun personal branding yang kuat dan sustainable, sesuai dengan Positioning saya sebagai '", 'CONTENT PILLAR MAPPING'!C893, "' dan Brand Archetype '", 'CONTENT PILLAR MAPPING'!D898, "'.", CHAR(10),
"✔ Kemas dalam bentuk tabel agar rapi, mudah di baca dan dipahami, dengan kolom 'Judul Konten', 'Pilar', 'Format', 'Draft Script', 'CTA', 'Saran Visual', dan 'Full Caption'. (Kosongkan kolom Link Prompt jika ada)."
),
"")</f>
        <v/>
      </c>
      <c r="L988" s="199" t="n"/>
      <c r="M988" s="199" t="n"/>
      <c r="N988" s="102" t="n"/>
      <c r="O988" s="102" t="n"/>
      <c r="P988" s="102" t="n"/>
      <c r="Q988" s="102" t="n"/>
      <c r="R988" s="102" t="n"/>
      <c r="S988" s="102" t="n"/>
      <c r="T988" s="102" t="n"/>
      <c r="U988" s="102" t="n"/>
      <c r="V988" s="102" t="n"/>
      <c r="W988" s="102" t="n"/>
      <c r="X988" s="102" t="n"/>
      <c r="Y988" s="102" t="n"/>
      <c r="Z988" s="102" t="n"/>
      <c r="AA988" s="102" t="n"/>
      <c r="AB988" s="102" t="n"/>
      <c r="AC988" s="102" t="n"/>
      <c r="AD988" s="102" t="n"/>
    </row>
    <row r="989" ht="15.75" customHeight="1" s="205">
      <c r="A989" s="102" t="n"/>
      <c r="B989" s="142" t="n"/>
      <c r="C989" s="143" t="n"/>
      <c r="D989" s="143" t="n"/>
      <c r="E989" s="143" t="n"/>
      <c r="F989" s="143" t="n"/>
      <c r="G989" s="144" t="n"/>
      <c r="H989" s="145">
        <f>IF(K989&lt;&gt;"", HYPERLINK("https://chatgpt.com/?prompt=" &amp; SUBSTITUTE(SUBSTITUTE(K989, " ", "+"), "&amp;", "dan") &amp; "&amp;force-refresh=true&amp;timestamp=" &amp; TEXT(NOW(), "yyyymmddhhmmss"), "👉 Klik untuk Generate Script! 🔥"), "")</f>
        <v/>
      </c>
      <c r="I989" s="143" t="n"/>
      <c r="J989" s="146" t="n"/>
      <c r="K989" s="130">
        <f>IF(AND(B989&lt;&gt;"", C989&lt;&gt;"", D989&lt;&gt;"", E989&lt;&gt;"", F989&lt;&gt;"", G989&lt;&gt;"", J989&lt;&gt;"", 'CONTENT PILLAR MAPPING'!C892&lt;&gt;"", 'CONTENT PILLAR MAPPING'!E892&lt;&gt;"", 'CONTENT PILLAR MAPPING'!F892&lt;&gt;"", 'CONTENT PILLAR MAPPING'!C895&lt;&gt;"", 'CONTENT PILLAR MAPPING'!C900&lt;&gt;"", 'CONTENT PILLAR MAPPING'!D900&lt;&gt;"", 'CONTENT PILLAR MAPPING'!E900&lt;&gt;"", 'CONTENT PILLAR MAPPING'!D908&lt;&gt;"", 'CONTENT PILLAR MAPPING'!D909&lt;&gt;""),
CONCATENATE(
"Sebagai seorang top konten kreator dengan niche utama '", 'CONTENT PILLAR MAPPING'!C892, "', spesifik kategori '", 'CONTENT PILLAR MAPPING'!E892, "', dan super spesifik '", 'CONTENT PILLAR MAPPING'!F892, "', yang dikenal sebagai '", 'CONTENT PILLAR MAPPING'!C895, "'.", CHAR(10),
"Saya memiliki Tone of Voice: '", 'CONTENT PILLAR MAPPING'!C900, "', Brand Archetype: '", 'CONTENT PILLAR MAPPING'!D900, "', dan Deskripsi Gaya Komunikasi: '", 'CONTENT PILLAR MAPPING'!E900, "'.", CHAR(10),
"Target audiens saya adalah: '", 'CONTENT PILLAR MAPPING'!D908, "', dengan segmentasi audiens: '", 'CONTENT PILLAR MAPPING'!D909, "'.", CHAR(10), CHAR(10),
"Mohon buatkan script konten yang **sangat powerful, menarik, inovatif, dan siap pakai** dengan judul ide '", B989, "'.", CHAR(10),
"Konten ini memiliki pilar '", C989, "', nilai tambah utama '", F989, "', dan akan menggunakan storytelling framework '", G989, "'.", CHAR(10),
"Gambaran singkat ide kontennya adalah: '", J989, "'.", CHAR(10),
"Konten ini akan diunggah di platform '", E989, "' dengan format '", D989,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MAPPING'!C895, "'.** Sesuaikan dengan gaya komunikasi saya, dengan fokus pada nilai tambah '", F989,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MAPPING'!D908, ", khusus ", 'CONTENT PILLAR MAPPING'!D909, ") dan membantu mereka menyelesaikan masalah atau mencapai tujuan mereka.", CHAR(10),
"✔ Membantuku membangun personal branding yang kuat dan sustainable, sesuai dengan Positioning saya sebagai '", 'CONTENT PILLAR MAPPING'!C895, "' dan Brand Archetype '", 'CONTENT PILLAR MAPPING'!D900, "'.", CHAR(10),
"✔ Kemas dalam bentuk tabel agar rapi, mudah di baca dan dipahami, dengan kolom 'Judul Konten', 'Pilar', 'Format', 'Draft Script', 'CTA', 'Saran Visual', dan 'Full Caption'. (Kosongkan kolom Link Prompt jika ada)."
),
"")</f>
        <v/>
      </c>
      <c r="L989" s="91" t="n"/>
      <c r="M989" s="91" t="n"/>
      <c r="N989" s="102" t="n"/>
      <c r="O989" s="102" t="n"/>
      <c r="P989" s="102" t="n"/>
      <c r="Q989" s="102" t="n"/>
      <c r="R989" s="102" t="n"/>
      <c r="S989" s="102" t="n"/>
      <c r="T989" s="102" t="n"/>
      <c r="U989" s="102" t="n"/>
      <c r="V989" s="102" t="n"/>
      <c r="W989" s="102" t="n"/>
      <c r="X989" s="102" t="n"/>
      <c r="Y989" s="102" t="n"/>
      <c r="Z989" s="102" t="n"/>
      <c r="AA989" s="102" t="n"/>
      <c r="AB989" s="102" t="n"/>
      <c r="AC989" s="102" t="n"/>
      <c r="AD989" s="102" t="n"/>
    </row>
    <row r="990" ht="15.75" customHeight="1" s="205">
      <c r="A990" s="102" t="n"/>
      <c r="B990" s="147" t="n"/>
      <c r="C990" s="144" t="n"/>
      <c r="D990" s="144" t="n"/>
      <c r="E990" s="144" t="n"/>
      <c r="F990" s="144" t="n"/>
      <c r="G990" s="144" t="n"/>
      <c r="H990" s="141">
        <f>IF(K990&lt;&gt;"", HYPERLINK("https://chatgpt.com/?prompt=" &amp; SUBSTITUTE(SUBSTITUTE(K990, " ", "+"), "&amp;", "dan") &amp; "&amp;force-refresh=true&amp;timestamp=" &amp; TEXT(NOW(), "yyyymmddhhmmss"), "👉 Klik untuk Generate Script! 🔥"), "")</f>
        <v/>
      </c>
      <c r="I990" s="144" t="n"/>
      <c r="J990" s="148" t="n"/>
      <c r="K990" s="140">
        <f>IF(AND(B990&lt;&gt;"", C990&lt;&gt;"", D990&lt;&gt;"", E990&lt;&gt;"", F990&lt;&gt;"", G990&lt;&gt;"", J990&lt;&gt;"", 'CONTENT PILLAR MAPPING'!C892&lt;&gt;"", 'CONTENT PILLAR MAPPING'!E892&lt;&gt;"", 'CONTENT PILLAR MAPPING'!F892&lt;&gt;"", 'CONTENT PILLAR MAPPING'!C895&lt;&gt;"", 'CONTENT PILLAR MAPPING'!C900&lt;&gt;"", 'CONTENT PILLAR MAPPING'!D900&lt;&gt;"", 'CONTENT PILLAR MAPPING'!E900&lt;&gt;"", 'CONTENT PILLAR MAPPING'!D908&lt;&gt;"", 'CONTENT PILLAR MAPPING'!D909&lt;&gt;""),
CONCATENATE(
"Sebagai seorang top konten kreator dengan niche utama '", 'CONTENT PILLAR MAPPING'!C892, "', spesifik kategori '", 'CONTENT PILLAR MAPPING'!E892, "', dan super spesifik '", 'CONTENT PILLAR MAPPING'!F892, "', yang dikenal sebagai '", 'CONTENT PILLAR MAPPING'!C895, "'.", CHAR(10),
"Saya memiliki Tone of Voice: '", 'CONTENT PILLAR MAPPING'!C900, "', Brand Archetype: '", 'CONTENT PILLAR MAPPING'!D900, "', dan Deskripsi Gaya Komunikasi: '", 'CONTENT PILLAR MAPPING'!E900, "'.", CHAR(10),
"Target audiens saya adalah: '", 'CONTENT PILLAR MAPPING'!D908, "', dengan segmentasi audiens: '", 'CONTENT PILLAR MAPPING'!D909, "'.", CHAR(10), CHAR(10),
"Mohon buatkan script konten yang **sangat powerful, menarik, inovatif, dan siap pakai** dengan judul ide '", B990, "'.", CHAR(10),
"Konten ini memiliki pilar '", C990, "', nilai tambah utama '", F990, "', dan akan menggunakan storytelling framework '", G990, "'.", CHAR(10),
"Gambaran singkat ide kontennya adalah: '", J990, "'.", CHAR(10),
"Konten ini akan diunggah di platform '", E990, "' dengan format '", D990,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MAPPING'!C895, "'.** Sesuaikan dengan gaya komunikasi saya, dengan fokus pada nilai tambah '", F990,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MAPPING'!D908, ", khusus ", 'CONTENT PILLAR MAPPING'!D909, ") dan membantu mereka menyelesaikan masalah atau mencapai tujuan mereka.", CHAR(10),
"✔ Membantuku membangun personal branding yang kuat dan sustainable, sesuai dengan Positioning saya sebagai '", 'CONTENT PILLAR MAPPING'!C895, "' dan Brand Archetype '", 'CONTENT PILLAR MAPPING'!D900, "'.", CHAR(10),
"✔ Kemas dalam bentuk tabel agar rapi, mudah di baca dan dipahami, dengan kolom 'Judul Konten', 'Pilar', 'Format', 'Draft Script', 'CTA', 'Saran Visual', dan 'Full Caption'. (Kosongkan kolom Link Prompt jika ada)."
),
"")</f>
        <v/>
      </c>
      <c r="L990" s="199" t="n"/>
      <c r="M990" s="199" t="n"/>
      <c r="N990" s="102" t="n"/>
      <c r="O990" s="102" t="n"/>
      <c r="P990" s="102" t="n"/>
      <c r="Q990" s="102" t="n"/>
      <c r="R990" s="102" t="n"/>
      <c r="S990" s="102" t="n"/>
      <c r="T990" s="102" t="n"/>
      <c r="U990" s="102" t="n"/>
      <c r="V990" s="102" t="n"/>
      <c r="W990" s="102" t="n"/>
      <c r="X990" s="102" t="n"/>
      <c r="Y990" s="102" t="n"/>
      <c r="Z990" s="102" t="n"/>
      <c r="AA990" s="102" t="n"/>
      <c r="AB990" s="102" t="n"/>
      <c r="AC990" s="102" t="n"/>
      <c r="AD990" s="102" t="n"/>
    </row>
    <row r="991" ht="15.75" customHeight="1" s="205">
      <c r="A991" s="102" t="n"/>
      <c r="B991" s="142" t="n"/>
      <c r="C991" s="143" t="n"/>
      <c r="D991" s="143" t="n"/>
      <c r="E991" s="143" t="n"/>
      <c r="F991" s="143" t="n"/>
      <c r="G991" s="144" t="n"/>
      <c r="H991" s="145">
        <f>IF(K991&lt;&gt;"", HYPERLINK("https://chatgpt.com/?prompt=" &amp; SUBSTITUTE(SUBSTITUTE(K991, " ", "+"), "&amp;", "dan") &amp; "&amp;force-refresh=true&amp;timestamp=" &amp; TEXT(NOW(), "yyyymmddhhmmss"), "👉 Klik untuk Generate Script! 🔥"), "")</f>
        <v/>
      </c>
      <c r="I991" s="143" t="n"/>
      <c r="J991" s="146" t="n"/>
      <c r="K991" s="130">
        <f>IF(AND(B991&lt;&gt;"", C991&lt;&gt;"", D991&lt;&gt;"", E991&lt;&gt;"", F991&lt;&gt;"", G991&lt;&gt;"", J991&lt;&gt;"", 'CONTENT PILLAR MAPPING'!C894&lt;&gt;"", 'CONTENT PILLAR MAPPING'!E894&lt;&gt;"", 'CONTENT PILLAR MAPPING'!F894&lt;&gt;"", 'CONTENT PILLAR MAPPING'!C897&lt;&gt;"", 'CONTENT PILLAR MAPPING'!C902&lt;&gt;"", 'CONTENT PILLAR MAPPING'!D902&lt;&gt;"", 'CONTENT PILLAR MAPPING'!E902&lt;&gt;"", 'CONTENT PILLAR MAPPING'!D910&lt;&gt;"", 'CONTENT PILLAR MAPPING'!D911&lt;&gt;""),
CONCATENATE(
"Sebagai seorang top konten kreator dengan niche utama '", 'CONTENT PILLAR MAPPING'!C894, "', spesifik kategori '", 'CONTENT PILLAR MAPPING'!E894, "', dan super spesifik '", 'CONTENT PILLAR MAPPING'!F894, "', yang dikenal sebagai '", 'CONTENT PILLAR MAPPING'!C897, "'.", CHAR(10),
"Saya memiliki Tone of Voice: '", 'CONTENT PILLAR MAPPING'!C902, "', Brand Archetype: '", 'CONTENT PILLAR MAPPING'!D902, "', dan Deskripsi Gaya Komunikasi: '", 'CONTENT PILLAR MAPPING'!E902, "'.", CHAR(10),
"Target audiens saya adalah: '", 'CONTENT PILLAR MAPPING'!D910, "', dengan segmentasi audiens: '", 'CONTENT PILLAR MAPPING'!D911, "'.", CHAR(10), CHAR(10),
"Mohon buatkan script konten yang **sangat powerful, menarik, inovatif, dan siap pakai** dengan judul ide '", B991, "'.", CHAR(10),
"Konten ini memiliki pilar '", C991, "', nilai tambah utama '", F991, "', dan akan menggunakan storytelling framework '", G991, "'.", CHAR(10),
"Gambaran singkat ide kontennya adalah: '", J991, "'.", CHAR(10),
"Konten ini akan diunggah di platform '", E991, "' dengan format '", D991,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MAPPING'!C897, "'.** Sesuaikan dengan gaya komunikasi saya, dengan fokus pada nilai tambah '", F991,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MAPPING'!D910, ", khusus ", 'CONTENT PILLAR MAPPING'!D911, ") dan membantu mereka menyelesaikan masalah atau mencapai tujuan mereka.", CHAR(10),
"✔ Membantuku membangun personal branding yang kuat dan sustainable, sesuai dengan Positioning saya sebagai '", 'CONTENT PILLAR MAPPING'!C897, "' dan Brand Archetype '", 'CONTENT PILLAR MAPPING'!D902, "'.", CHAR(10),
"✔ Kemas dalam bentuk tabel agar rapi, mudah di baca dan dipahami, dengan kolom 'Judul Konten', 'Pilar', 'Format', 'Draft Script', 'CTA', 'Saran Visual', dan 'Full Caption'. (Kosongkan kolom Link Prompt jika ada)."
),
"")</f>
        <v/>
      </c>
      <c r="L991" s="91" t="n"/>
      <c r="M991" s="91" t="n"/>
      <c r="N991" s="102" t="n"/>
      <c r="O991" s="102" t="n"/>
      <c r="P991" s="102" t="n"/>
      <c r="Q991" s="102" t="n"/>
      <c r="R991" s="102" t="n"/>
      <c r="S991" s="102" t="n"/>
      <c r="T991" s="102" t="n"/>
      <c r="U991" s="102" t="n"/>
      <c r="V991" s="102" t="n"/>
      <c r="W991" s="102" t="n"/>
      <c r="X991" s="102" t="n"/>
      <c r="Y991" s="102" t="n"/>
      <c r="Z991" s="102" t="n"/>
      <c r="AA991" s="102" t="n"/>
      <c r="AB991" s="102" t="n"/>
      <c r="AC991" s="102" t="n"/>
      <c r="AD991" s="102" t="n"/>
    </row>
    <row r="992" ht="15.75" customHeight="1" s="205">
      <c r="A992" s="102" t="n"/>
      <c r="B992" s="147" t="n"/>
      <c r="C992" s="144" t="n"/>
      <c r="D992" s="144" t="n"/>
      <c r="E992" s="144" t="n"/>
      <c r="F992" s="144" t="n"/>
      <c r="G992" s="144" t="n"/>
      <c r="H992" s="141">
        <f>IF(K992&lt;&gt;"", HYPERLINK("https://chatgpt.com/?prompt=" &amp; SUBSTITUTE(SUBSTITUTE(K992, " ", "+"), "&amp;", "dan") &amp; "&amp;force-refresh=true&amp;timestamp=" &amp; TEXT(NOW(), "yyyymmddhhmmss"), "👉 Klik untuk Generate Script! 🔥"), "")</f>
        <v/>
      </c>
      <c r="I992" s="144" t="n"/>
      <c r="J992" s="148" t="n"/>
      <c r="K992" s="140">
        <f>IF(AND(B992&lt;&gt;"", C992&lt;&gt;"", D992&lt;&gt;"", E992&lt;&gt;"", F992&lt;&gt;"", G992&lt;&gt;"", J992&lt;&gt;"", 'CONTENT PILLAR MAPPING'!C894&lt;&gt;"", 'CONTENT PILLAR MAPPING'!E894&lt;&gt;"", 'CONTENT PILLAR MAPPING'!F894&lt;&gt;"", 'CONTENT PILLAR MAPPING'!C897&lt;&gt;"", 'CONTENT PILLAR MAPPING'!C902&lt;&gt;"", 'CONTENT PILLAR MAPPING'!D902&lt;&gt;"", 'CONTENT PILLAR MAPPING'!E902&lt;&gt;"", 'CONTENT PILLAR MAPPING'!D910&lt;&gt;"", 'CONTENT PILLAR MAPPING'!D911&lt;&gt;""),
CONCATENATE(
"Sebagai seorang top konten kreator dengan niche utama '", 'CONTENT PILLAR MAPPING'!C894, "', spesifik kategori '", 'CONTENT PILLAR MAPPING'!E894, "', dan super spesifik '", 'CONTENT PILLAR MAPPING'!F894, "', yang dikenal sebagai '", 'CONTENT PILLAR MAPPING'!C897, "'.", CHAR(10),
"Saya memiliki Tone of Voice: '", 'CONTENT PILLAR MAPPING'!C902, "', Brand Archetype: '", 'CONTENT PILLAR MAPPING'!D902, "', dan Deskripsi Gaya Komunikasi: '", 'CONTENT PILLAR MAPPING'!E902, "'.", CHAR(10),
"Target audiens saya adalah: '", 'CONTENT PILLAR MAPPING'!D910, "', dengan segmentasi audiens: '", 'CONTENT PILLAR MAPPING'!D911, "'.", CHAR(10), CHAR(10),
"Mohon buatkan script konten yang **sangat powerful, menarik, inovatif, dan siap pakai** dengan judul ide '", B992, "'.", CHAR(10),
"Konten ini memiliki pilar '", C992, "', nilai tambah utama '", F992, "', dan akan menggunakan storytelling framework '", G992, "'.", CHAR(10),
"Gambaran singkat ide kontennya adalah: '", J992, "'.", CHAR(10),
"Konten ini akan diunggah di platform '", E992, "' dengan format '", D992,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MAPPING'!C897, "'.** Sesuaikan dengan gaya komunikasi saya, dengan fokus pada nilai tambah '", F992,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MAPPING'!D910, ", khusus ", 'CONTENT PILLAR MAPPING'!D911, ") dan membantu mereka menyelesaikan masalah atau mencapai tujuan mereka.", CHAR(10),
"✔ Membantuku membangun personal branding yang kuat dan sustainable, sesuai dengan Positioning saya sebagai '", 'CONTENT PILLAR MAPPING'!C897, "' dan Brand Archetype '", 'CONTENT PILLAR MAPPING'!D902, "'.", CHAR(10),
"✔ Kemas dalam bentuk tabel agar rapi, mudah di baca dan dipahami, dengan kolom 'Judul Konten', 'Pilar', 'Format', 'Draft Script', 'CTA', 'Saran Visual', dan 'Full Caption'. (Kosongkan kolom Link Prompt jika ada)."
),
"")</f>
        <v/>
      </c>
      <c r="L992" s="199" t="n"/>
      <c r="M992" s="199" t="n"/>
      <c r="N992" s="102" t="n"/>
      <c r="O992" s="102" t="n"/>
      <c r="P992" s="102" t="n"/>
      <c r="Q992" s="102" t="n"/>
      <c r="R992" s="102" t="n"/>
      <c r="S992" s="102" t="n"/>
      <c r="T992" s="102" t="n"/>
      <c r="U992" s="102" t="n"/>
      <c r="V992" s="102" t="n"/>
      <c r="W992" s="102" t="n"/>
      <c r="X992" s="102" t="n"/>
      <c r="Y992" s="102" t="n"/>
      <c r="Z992" s="102" t="n"/>
      <c r="AA992" s="102" t="n"/>
      <c r="AB992" s="102" t="n"/>
      <c r="AC992" s="102" t="n"/>
      <c r="AD992" s="102" t="n"/>
    </row>
    <row r="993" ht="15.75" customHeight="1" s="205">
      <c r="A993" s="102" t="n"/>
      <c r="B993" s="142" t="n"/>
      <c r="C993" s="143" t="n"/>
      <c r="D993" s="143" t="n"/>
      <c r="E993" s="143" t="n"/>
      <c r="F993" s="143" t="n"/>
      <c r="G993" s="144" t="n"/>
      <c r="H993" s="145">
        <f>IF(K993&lt;&gt;"", HYPERLINK("https://chatgpt.com/?prompt=" &amp; SUBSTITUTE(SUBSTITUTE(K993, " ", "+"), "&amp;", "dan") &amp; "&amp;force-refresh=true&amp;timestamp=" &amp; TEXT(NOW(), "yyyymmddhhmmss"), "👉 Klik untuk Generate Script! 🔥"), "")</f>
        <v/>
      </c>
      <c r="I993" s="143" t="n"/>
      <c r="J993" s="146" t="n"/>
      <c r="K993" s="130">
        <f>IF(AND(B993&lt;&gt;"", C993&lt;&gt;"", D993&lt;&gt;"", E993&lt;&gt;"", F993&lt;&gt;"", G993&lt;&gt;"", J993&lt;&gt;"", 'CONTENT PILLAR MAPPING'!C896&lt;&gt;"", 'CONTENT PILLAR MAPPING'!E896&lt;&gt;"", 'CONTENT PILLAR MAPPING'!F896&lt;&gt;"", 'CONTENT PILLAR MAPPING'!C899&lt;&gt;"", 'CONTENT PILLAR MAPPING'!C904&lt;&gt;"", 'CONTENT PILLAR MAPPING'!D904&lt;&gt;"", 'CONTENT PILLAR MAPPING'!E904&lt;&gt;"", 'CONTENT PILLAR MAPPING'!D912&lt;&gt;"", 'CONTENT PILLAR MAPPING'!D913&lt;&gt;""),
CONCATENATE(
"Sebagai seorang top konten kreator dengan niche utama '", 'CONTENT PILLAR MAPPING'!C896, "', spesifik kategori '", 'CONTENT PILLAR MAPPING'!E896, "', dan super spesifik '", 'CONTENT PILLAR MAPPING'!F896, "', yang dikenal sebagai '", 'CONTENT PILLAR MAPPING'!C899, "'.", CHAR(10),
"Saya memiliki Tone of Voice: '", 'CONTENT PILLAR MAPPING'!C904, "', Brand Archetype: '", 'CONTENT PILLAR MAPPING'!D904, "', dan Deskripsi Gaya Komunikasi: '", 'CONTENT PILLAR MAPPING'!E904, "'.", CHAR(10),
"Target audiens saya adalah: '", 'CONTENT PILLAR MAPPING'!D912, "', dengan segmentasi audiens: '", 'CONTENT PILLAR MAPPING'!D913, "'.", CHAR(10), CHAR(10),
"Mohon buatkan script konten yang **sangat powerful, menarik, inovatif, dan siap pakai** dengan judul ide '", B993, "'.", CHAR(10),
"Konten ini memiliki pilar '", C993, "', nilai tambah utama '", F993, "', dan akan menggunakan storytelling framework '", G993, "'.", CHAR(10),
"Gambaran singkat ide kontennya adalah: '", J993, "'.", CHAR(10),
"Konten ini akan diunggah di platform '", E993, "' dengan format '", D993,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MAPPING'!C899, "'.** Sesuaikan dengan gaya komunikasi saya, dengan fokus pada nilai tambah '", F993,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MAPPING'!D912, ", khusus ", 'CONTENT PILLAR MAPPING'!D913, ") dan membantu mereka menyelesaikan masalah atau mencapai tujuan mereka.", CHAR(10),
"✔ Membantuku membangun personal branding yang kuat dan sustainable, sesuai dengan Positioning saya sebagai '", 'CONTENT PILLAR MAPPING'!C899, "' dan Brand Archetype '", 'CONTENT PILLAR MAPPING'!D904, "'.", CHAR(10),
"✔ Kemas dalam bentuk tabel agar rapi, mudah di baca dan dipahami, dengan kolom 'Judul Konten', 'Pilar', 'Format', 'Draft Script', 'CTA', 'Saran Visual', dan 'Full Caption'. (Kosongkan kolom Link Prompt jika ada)."
),
"")</f>
        <v/>
      </c>
      <c r="L993" s="91" t="n"/>
      <c r="M993" s="91" t="n"/>
      <c r="N993" s="102" t="n"/>
      <c r="O993" s="102" t="n"/>
      <c r="P993" s="102" t="n"/>
      <c r="Q993" s="102" t="n"/>
      <c r="R993" s="102" t="n"/>
      <c r="S993" s="102" t="n"/>
      <c r="T993" s="102" t="n"/>
      <c r="U993" s="102" t="n"/>
      <c r="V993" s="102" t="n"/>
      <c r="W993" s="102" t="n"/>
      <c r="X993" s="102" t="n"/>
      <c r="Y993" s="102" t="n"/>
      <c r="Z993" s="102" t="n"/>
      <c r="AA993" s="102" t="n"/>
      <c r="AB993" s="102" t="n"/>
      <c r="AC993" s="102" t="n"/>
      <c r="AD993" s="102" t="n"/>
    </row>
    <row r="994" ht="15.75" customHeight="1" s="205">
      <c r="A994" s="102" t="n"/>
      <c r="B994" s="147" t="n"/>
      <c r="C994" s="144" t="n"/>
      <c r="D994" s="144" t="n"/>
      <c r="E994" s="144" t="n"/>
      <c r="F994" s="144" t="n"/>
      <c r="G994" s="144" t="n"/>
      <c r="H994" s="141">
        <f>IF(K994&lt;&gt;"", HYPERLINK("https://chatgpt.com/?prompt=" &amp; SUBSTITUTE(SUBSTITUTE(K994, " ", "+"), "&amp;", "dan") &amp; "&amp;force-refresh=true&amp;timestamp=" &amp; TEXT(NOW(), "yyyymmddhhmmss"), "👉 Klik untuk Generate Script! 🔥"), "")</f>
        <v/>
      </c>
      <c r="I994" s="144" t="n"/>
      <c r="J994" s="148" t="n"/>
      <c r="K994" s="140">
        <f>IF(AND(B994&lt;&gt;"", C994&lt;&gt;"", D994&lt;&gt;"", E994&lt;&gt;"", F994&lt;&gt;"", G994&lt;&gt;"", J994&lt;&gt;"", 'CONTENT PILLAR MAPPING'!C896&lt;&gt;"", 'CONTENT PILLAR MAPPING'!E896&lt;&gt;"", 'CONTENT PILLAR MAPPING'!F896&lt;&gt;"", 'CONTENT PILLAR MAPPING'!C899&lt;&gt;"", 'CONTENT PILLAR MAPPING'!C904&lt;&gt;"", 'CONTENT PILLAR MAPPING'!D904&lt;&gt;"", 'CONTENT PILLAR MAPPING'!E904&lt;&gt;"", 'CONTENT PILLAR MAPPING'!D912&lt;&gt;"", 'CONTENT PILLAR MAPPING'!D913&lt;&gt;""),
CONCATENATE(
"Sebagai seorang top konten kreator dengan niche utama '", 'CONTENT PILLAR MAPPING'!C896, "', spesifik kategori '", 'CONTENT PILLAR MAPPING'!E896, "', dan super spesifik '", 'CONTENT PILLAR MAPPING'!F896, "', yang dikenal sebagai '", 'CONTENT PILLAR MAPPING'!C899, "'.", CHAR(10),
"Saya memiliki Tone of Voice: '", 'CONTENT PILLAR MAPPING'!C904, "', Brand Archetype: '", 'CONTENT PILLAR MAPPING'!D904, "', dan Deskripsi Gaya Komunikasi: '", 'CONTENT PILLAR MAPPING'!E904, "'.", CHAR(10),
"Target audiens saya adalah: '", 'CONTENT PILLAR MAPPING'!D912, "', dengan segmentasi audiens: '", 'CONTENT PILLAR MAPPING'!D913, "'.", CHAR(10), CHAR(10),
"Mohon buatkan script konten yang **sangat powerful, menarik, inovatif, dan siap pakai** dengan judul ide '", B994, "'.", CHAR(10),
"Konten ini memiliki pilar '", C994, "', nilai tambah utama '", F994, "', dan akan menggunakan storytelling framework '", G994, "'.", CHAR(10),
"Gambaran singkat ide kontennya adalah: '", J994, "'.", CHAR(10),
"Konten ini akan diunggah di platform '", E994, "' dengan format '", D994, "'.", CHAR(10), CHAR(10),
"Script harus mencakup:", CHAR(10),
"- Ide visual konten yang kreatif dan sangat detail, termasuk saran untuk setiap panel (jika carousel) atau *scene* (jika video), dan elemen visual penunjang untuk format yang dipilih.", CHAR(10),
"- Script hook yang sangat kuat, memancing rasa penasaran, relevan dengan audiens, dan selaras dengan storytelling framework.", CHAR(10),
"- Isi konten utama yang informatif, *engaging*, **memecahkan masalah audiens secara langsung, dan secara subtil menonjolkan keunikan saya sebagai '", 'CONTENT PILLAR MAPPING'!C899, "'.** Sesuaikan dengan gaya komunikasi saya, dengan fokus pada nilai tambah '", F994, "'.", CHAR(10),
"- Call-to-Action (CTA) yang bervariatif, jelas, dan mendorong interaksi atau langkah selanjutnya (misalnya: follow, komen, share, save, kunjungi link di bio, daftar webinar, beli produk).", CHAR(10),
"- Caption lengkap yang meliputi framework copywriting (Headline yang menarik, Bodycopy yang persuasif, dan CTA lagi di dalamnya), serta hashtag yang relevan dan trending.", CHAR(10), CHAR(10),
"**Penting:** Untuk pilihan pertama dari script yang Anda hasilkan, mohon kembangkan menjadi **satu script yang paling detail dan komprehensif**, seolah-olah siap digunakan untuk produksi, dengan semua elemen visual dan naratif yang sangat jelas. Berikan 3"&amp;"-5 pilihan script yang bervariasi, unik, dan siap pakai.", CHAR(10),
"Pastikan outputnya:", CHAR(10),
"✔ Kreatif, menarik, inovatif, dan punya potensi viral sesuai tren terkini.", CHAR(10),
"✔ Sangat relevan dengan target audiens saya (", 'CONTENT PILLAR MAPPING'!D912, ", khusus ", 'CONTENT PILLAR MAPPING'!D913, ") dan membantu mereka menyelesaikan masalah atau mencapai tujuan mereka.", CHAR(10),
"✔ Membantuku membangun personal branding yang kuat dan sustainable, sesuai dengan Positioning saya sebagai '", 'CONTENT PILLAR MAPPING'!C899, "' dan Brand Archetype '", 'CONTENT PILLAR MAPPING'!D904, "'.", CHAR(10),
"✔ Kemas dalam bentuk tabel agar rapi, mudah di baca dan dipahami, dengan kolom 'Judul Konten', 'Pilar', 'Format', 'Draft Script', 'CTA', 'Saran Visual', dan 'Full Caption'. (Kosongkan kolom Link Prompt jika ada)."
),
"")</f>
        <v/>
      </c>
      <c r="L994" s="199" t="n"/>
      <c r="M994" s="199" t="n"/>
      <c r="N994" s="102" t="n"/>
      <c r="O994" s="102" t="n"/>
      <c r="P994" s="102" t="n"/>
      <c r="Q994" s="102" t="n"/>
      <c r="R994" s="102" t="n"/>
      <c r="S994" s="102" t="n"/>
      <c r="T994" s="102" t="n"/>
      <c r="U994" s="102" t="n"/>
      <c r="V994" s="102" t="n"/>
      <c r="W994" s="102" t="n"/>
      <c r="X994" s="102" t="n"/>
      <c r="Y994" s="102" t="n"/>
      <c r="Z994" s="102" t="n"/>
      <c r="AA994" s="102" t="n"/>
      <c r="AB994" s="102" t="n"/>
      <c r="AC994" s="102" t="n"/>
      <c r="AD994" s="102" t="n"/>
    </row>
    <row r="995" ht="15.75" customHeight="1" s="205">
      <c r="A995" s="102" t="n"/>
      <c r="B995" s="102" t="n"/>
      <c r="C995" s="102" t="n"/>
      <c r="D995" s="102" t="n"/>
      <c r="E995" s="102"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c r="AA995" s="102" t="n"/>
      <c r="AB995" s="102" t="n"/>
      <c r="AC995" s="102" t="n"/>
      <c r="AD995" s="102" t="n"/>
    </row>
  </sheetData>
  <mergeCells count="11">
    <mergeCell ref="D4:J4"/>
    <mergeCell ref="D3:J3"/>
    <mergeCell ref="B10:I10"/>
    <mergeCell ref="D6:J6"/>
    <mergeCell ref="B1:B6"/>
    <mergeCell ref="L1:M1"/>
    <mergeCell ref="D2:J2"/>
    <mergeCell ref="L27:M34"/>
    <mergeCell ref="F8:J8"/>
    <mergeCell ref="D5:J5"/>
    <mergeCell ref="D1:J1"/>
  </mergeCells>
  <dataValidations count="5">
    <dataValidation sqref="E12:E994" showDropDown="0" showInputMessage="1" showErrorMessage="1" allowBlank="1" prompt="Click and enter a value from the list of items" type="list">
      <formula1>"Instagram,TikTok,Threads/X,YouTube,LinkedIn"</formula1>
    </dataValidation>
    <dataValidation sqref="G12:G994" showDropDown="0" showInputMessage="1" showErrorMessage="1" allowBlank="1" prompt="Click and enter a value from the list of items" type="list">
      <formula1>"Karakter + Tujuan + Halangan,Karakter + Tujuan + Halangan + Brand as A Hero,Karakter + Tujuan + Halangan + Produk as A Hero,Karakter + Tujuan + Halangan + Kamu as A Hero,Karakter (audienceku) + Tujuan + Halangan,Karakter (Orang lain) + Tujuan + Halangan +"&amp;" Produk as A Hero,Zero to Hero,The Hero's Journey,Problem-Solution,Before-After,Case Study/Testimonial,The Why Story,In Media Res,False Star,The 'Aha' Moment,The Underdog"</formula1>
    </dataValidation>
    <dataValidation sqref="C8 C12:C994" showDropDown="0" showInputMessage="0" showErrorMessage="1" allowBlank="1" type="list">
      <formula1>'SCRIPT GENERATOR'!$C$2:$C$6</formula1>
    </dataValidation>
    <dataValidation sqref="D12:D994" showDropDown="0" showInputMessage="0" showErrorMessage="1" allowBlank="1" type="list">
      <formula1>"Reels,Carousel,Single Image,Text Threads/X,Video Panjang,Video Pendek,Video Voice Over,Video Reaction,Video Multitasking,Faceless,Video Talking Head,Carousel QnA,Carousel Reaction,Carousel Step by Step,Carousel Study Case,Visual Proof/Demo"</formula1>
    </dataValidation>
    <dataValidation sqref="F12:F994" showDropDown="0" showInputMessage="1" showErrorMessage="1" allowBlank="1" prompt="Click and enter a value from the list of items" type="list">
      <formula1>"Edukasi/Wawasan,Solusi,Inspirasi/Motivasi,Hiburan,Validasi/Bukti,Perspektif Baru,Informasi,Komunitas,Conversion/Jualan"</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AB246"/>
  <sheetViews>
    <sheetView workbookViewId="0">
      <selection activeCell="A1" sqref="A1"/>
    </sheetView>
  </sheetViews>
  <sheetFormatPr baseColWidth="8" defaultColWidth="14.43" defaultRowHeight="15" customHeight="1"/>
  <cols>
    <col width="25.29" customWidth="1" style="205" min="1" max="1"/>
    <col width="24.14" customWidth="1" style="205" min="2" max="2"/>
    <col width="32.29" customWidth="1" style="205" min="3" max="3"/>
    <col width="27" customWidth="1" style="205" min="4" max="4"/>
    <col width="49.57" customWidth="1" style="205" min="5" max="5"/>
    <col width="36.71" customWidth="1" style="205" min="6" max="6"/>
    <col width="22.71" customWidth="1" style="205" min="7" max="7"/>
    <col width="34.14" customWidth="1" style="205" min="8" max="8"/>
    <col hidden="1" width="3.86" customWidth="1" style="205" min="9" max="9"/>
    <col hidden="1" width="11.86" customWidth="1" style="205" min="10" max="10"/>
    <col hidden="1" width="23.71" customWidth="1" style="205" min="11" max="11"/>
    <col hidden="1" width="54.43" customWidth="1" style="205" min="12" max="12"/>
    <col hidden="1" width="43.29" customWidth="1" style="205" min="13" max="13"/>
    <col width="16.86" customWidth="1" style="205" min="17" max="17"/>
    <col width="44.71" customWidth="1" style="205" min="18" max="18"/>
    <col width="36.71" customWidth="1" style="205" min="19" max="19"/>
  </cols>
  <sheetData>
    <row r="1">
      <c r="A1" s="151" t="inlineStr">
        <is>
          <t>Jangan menambah atau megurangi kolom agar codenya tidak error 👉🏻</t>
        </is>
      </c>
      <c r="B1" s="152" t="inlineStr">
        <is>
          <t>Generator Text HOOK (Lisan Tulisan)</t>
        </is>
      </c>
      <c r="I1" s="153" t="n"/>
      <c r="L1" s="154" t="n"/>
    </row>
    <row r="2">
      <c r="I2" s="153" t="n"/>
      <c r="L2" s="154" t="n"/>
    </row>
    <row r="3" ht="15" customHeight="1" s="205">
      <c r="B3" s="155" t="inlineStr">
        <is>
          <t>Topik Konten (Ide)</t>
        </is>
      </c>
      <c r="C3" s="155" t="inlineStr">
        <is>
          <t>Masukkan Script Kamu Saat Ini</t>
        </is>
      </c>
      <c r="D3" s="156" t="inlineStr">
        <is>
          <t>Jenis HOOK</t>
        </is>
      </c>
      <c r="E3" s="155" t="inlineStr">
        <is>
          <t>Deskripsi HOOK</t>
        </is>
      </c>
      <c r="F3" s="155" t="inlineStr">
        <is>
          <t>Rumus HOOK</t>
        </is>
      </c>
      <c r="G3" s="155" t="inlineStr">
        <is>
          <t>Emotion Word</t>
        </is>
      </c>
      <c r="H3" s="157">
        <f>IF(I3&lt;&gt;"", HYPERLINK("https://chat.openai.com/?q="&amp;ENCODEURL(I3), "Klik untuk Generate Text Hook🔥"), "")</f>
        <v/>
      </c>
      <c r="I3" s="158">
        <f>IF(AND(B4&lt;&gt;"",C4&lt;&gt;"",D4&lt;&gt;"",E4&lt;&gt;"",F4&lt;&gt;"",G4&lt;&gt;""), CONCATENATE(
"Sebagai seorang pembuat konten, saya ingin membuat text hook yang sangat menarik untuk konten saya.", CHAR(10),
"Berikut detail kontennya:", CHAR(10),
"- Topik Konten: ", B4, CHAR(10),
"- Script Konten Saat Ini: ", C4, CHAR(10),
"- Jenis Hook: ", D4, " (", E4, ")", CHAR(10),
"- Rumus Hook: ", F4, CHAR(10),
"- Kata Emosi yang ingin dibangkitkan: ", G4, CHAR(10), CHAR(10),
"Mohon buatkan 5 pilihan text hook yang sangat powerful, menarik, inovatif, dan siap pakai, yang sesuai dengan detail di atas.", CHAR(10),
"Pastikan hook tersebut relevan dengan topik, selaras dengan script yang ada, mengikuti jenis dan rumus hook yang ditentukan, serta mampu membangkitkan emosi ", G4, ".", CHAR(10),
"Berikan pilihan yang bervariasi dan siap digunakan."
), "")</f>
        <v/>
      </c>
      <c r="J3" s="159" t="inlineStr">
        <is>
          <t>HOOK</t>
        </is>
      </c>
      <c r="K3" s="159" t="inlineStr">
        <is>
          <t>Jenis</t>
        </is>
      </c>
      <c r="L3" s="154" t="inlineStr">
        <is>
          <t>Deskripsi</t>
        </is>
      </c>
      <c r="M3" s="159" t="inlineStr">
        <is>
          <t>Rumus</t>
        </is>
      </c>
    </row>
    <row r="4">
      <c r="B4" s="166" t="inlineStr">
        <is>
          <t>5 Kesalahan Fatal Saat Daftar Lomba yang Bikin Gugur di Awal</t>
        </is>
      </c>
      <c r="C4" s="166" t="inlineStr">
        <is>
          <t>Banyak peserta gagal bukan karena idenya jelek, tapi karena 5 kesalahan dasar ini.
[Slide 1 – Hook]
5 kesalahan fatal saat daftar lomba yang bikin kamu gugur bahkan sebelum karya dinilai.
[Slide 2 – Kesalahan 1]
1. Nggak baca brief sampai habis.
Banyak peserta cuma lihat tema, padahal format file, syarat peserta, dan deadline detail sering jadi penentu lolos atau gugur.
[Slide 3 – Kesalahan 2]
2. Daftar mepet deadline.
Saat website error, file terlalu besar, atau ada data yang salah, kamu sudah nggak punya waktu buat revisi.
[Slide 4 – Kesalahan 3]
3. Pilih lomba cuma karena hadiahnya.
Kalau topiknya nggak nyambung sama skill dan minatmu, peluang menang otomatis lebih kecil.
[Slide 5 – Kesalahan 4]
4. Karya bagus tapi nggak sesuai rubrik.
Juri menilai berdasarkan kriteria, bukan seberapa capek kamu ngerjainnya.
[Slide 6 – Kesalahan 5]
5. Nggak cek ulang file dan identitas.
Nama file, format PDF, ukuran file, sampai data tim sering jadi alasan karya ditolak.
[Slide 7 – Solusi cepat]
Sebelum submit: baca brief, cek rubrik, review file, proofread, dan kirim minimal 24 jam lebih awal.
[Slide 8 – CTA]
Save post ini biar kamu nggak gugur karena hal receh. Tag teman lomba kamu, dan follow @ikutlomba buat update lomba plus tips juara lainnya.</t>
        </is>
      </c>
      <c r="D4" s="161" t="inlineStr">
        <is>
          <t>Data Shcok</t>
        </is>
      </c>
      <c r="E4" s="175" t="inlineStr">
        <is>
          <t>Membuat audiens terkejut dan ingin tahu lebih lanjut</t>
        </is>
      </c>
      <c r="F4" s="175" t="inlineStr">
        <is>
          <t>Angka atau data mengejutkan + dampaknya</t>
        </is>
      </c>
      <c r="G4" s="161" t="inlineStr">
        <is>
          <t>Surprise (Keterkejutan)</t>
        </is>
      </c>
      <c r="I4" s="163" t="n"/>
      <c r="J4" s="60" t="inlineStr">
        <is>
          <t>Text HOOK (Lisan atau Tulisan)</t>
        </is>
      </c>
      <c r="K4" s="99" t="inlineStr">
        <is>
          <t>Pain Trigger</t>
        </is>
      </c>
      <c r="L4" s="164" t="inlineStr">
        <is>
          <t>Menyentil masalah umum dan membongkar penyebab yang sebenarnya</t>
        </is>
      </c>
      <c r="M4" s="60" t="inlineStr">
        <is>
          <t>Masalah yang dirasakan sekarang + alasan tersembunyi di baliknya</t>
        </is>
      </c>
    </row>
    <row r="5">
      <c r="I5" s="163" t="n"/>
      <c r="K5" s="99" t="inlineStr">
        <is>
          <t>Flip Belief</t>
        </is>
      </c>
      <c r="L5" s="164" t="inlineStr">
        <is>
          <t>Membantah asumsi umum yang banyak dipercayai orang</t>
        </is>
      </c>
      <c r="M5" s="60" t="inlineStr">
        <is>
          <t>Hal yang dianggap benar + fakta mengejutkan yang berlawanan</t>
        </is>
      </c>
    </row>
    <row r="6">
      <c r="I6" s="163" t="n"/>
      <c r="K6" s="99" t="inlineStr">
        <is>
          <t>Emotional Question</t>
        </is>
      </c>
      <c r="L6" s="164" t="inlineStr">
        <is>
          <t>Menggugah rasa penasaran atau refleksi diri</t>
        </is>
      </c>
      <c r="M6" s="60" t="inlineStr">
        <is>
          <t>“Pernah ngerasa…” / “Kenapa ya…”</t>
        </is>
      </c>
    </row>
    <row r="7">
      <c r="I7" s="163" t="n"/>
      <c r="K7" s="99" t="inlineStr">
        <is>
          <t>Data Shcok</t>
        </is>
      </c>
      <c r="L7" s="164" t="inlineStr">
        <is>
          <t>Membuat audiens terkejut dan ingin tahu lebih lanjut</t>
        </is>
      </c>
      <c r="M7" s="60" t="inlineStr">
        <is>
          <t>Angka atau data mengejutkan + dampaknya</t>
        </is>
      </c>
    </row>
    <row r="8">
      <c r="I8" s="163" t="n"/>
      <c r="K8" s="99" t="inlineStr">
        <is>
          <t>Bold Declaration</t>
        </is>
      </c>
      <c r="L8" s="164" t="inlineStr">
        <is>
          <t>Menyampaikan hasil atau opini kuat tanpa ragu</t>
        </is>
      </c>
      <c r="M8" s="60" t="inlineStr">
        <is>
          <t>Pernyataan berani + klaim hasil</t>
        </is>
      </c>
    </row>
    <row r="9">
      <c r="I9" s="163" t="n"/>
      <c r="K9" s="99" t="inlineStr">
        <is>
          <t>Real Talk</t>
        </is>
      </c>
      <c r="L9" s="164" t="inlineStr">
        <is>
          <t>Menyampaikan realita yang sering dihindari tapi relate</t>
        </is>
      </c>
      <c r="M9" s="60" t="inlineStr">
        <is>
          <t>Kalimat to the point + fakta menyentil</t>
        </is>
      </c>
    </row>
    <row r="10">
      <c r="I10" s="163" t="n"/>
      <c r="K10" s="99" t="inlineStr">
        <is>
          <t>Urgency Cue</t>
        </is>
      </c>
      <c r="L10" s="164" t="inlineStr">
        <is>
          <t>Membuat audiens merasa harus segera bertindak</t>
        </is>
      </c>
      <c r="M10" s="60" t="inlineStr">
        <is>
          <t>Batas waktu + konsekuensinya</t>
        </is>
      </c>
    </row>
    <row r="11">
      <c r="I11" s="163" t="n"/>
      <c r="K11" s="99" t="inlineStr">
        <is>
          <t>Reversal Trigger</t>
        </is>
      </c>
      <c r="L11" s="164" t="inlineStr">
        <is>
          <t>Menyampaikan hal yang terdengar berlawanan dengan logika umum</t>
        </is>
      </c>
      <c r="M11" s="60" t="inlineStr">
        <is>
          <t>Kalimat yang seolah salah + alasan logis di belakangnya</t>
        </is>
      </c>
    </row>
    <row r="12">
      <c r="I12" s="163" t="n"/>
      <c r="K12" s="99" t="inlineStr">
        <is>
          <t>Mirror Prompt</t>
        </is>
      </c>
      <c r="L12" s="164" t="inlineStr">
        <is>
          <t>Bikin audiens merasa relate dan merasa ‘terpanggil'</t>
        </is>
      </c>
      <c r="M12" s="60" t="inlineStr">
        <is>
          <t>"Mungkin kamu…” + kesalahan umum</t>
        </is>
      </c>
    </row>
    <row r="13">
      <c r="I13" s="163" t="n"/>
      <c r="K13" s="99" t="inlineStr">
        <is>
          <t>Disruption Hook</t>
        </is>
      </c>
      <c r="L13" s="164" t="inlineStr">
        <is>
          <t>Menghentikan aktivitas scroll dengan kalimat tak terduga</t>
        </is>
      </c>
      <c r="M13" s="60" t="inlineStr">
        <is>
          <t>Kalimat pemancing + contoh yang familiar</t>
        </is>
      </c>
    </row>
    <row r="14">
      <c r="I14" s="163" t="n"/>
    </row>
    <row r="15">
      <c r="I15" s="163" t="n"/>
    </row>
    <row r="16">
      <c r="I16" s="163" t="n"/>
    </row>
    <row r="17">
      <c r="I17" s="163" t="n"/>
    </row>
    <row r="18">
      <c r="B18" s="152" t="inlineStr">
        <is>
          <t>Generator Audio HOOK</t>
        </is>
      </c>
      <c r="I18" s="153" t="n"/>
    </row>
    <row r="19">
      <c r="I19" s="153" t="n"/>
    </row>
    <row r="20" ht="16.5" customHeight="1" s="205">
      <c r="B20" s="155" t="inlineStr">
        <is>
          <t>Topik Konten (Ide)</t>
        </is>
      </c>
      <c r="C20" s="155" t="inlineStr">
        <is>
          <t>Script Kamu Saat Ini</t>
        </is>
      </c>
      <c r="D20" s="156" t="inlineStr">
        <is>
          <t>Jenis HOOK</t>
        </is>
      </c>
      <c r="E20" s="155" t="inlineStr">
        <is>
          <t>Deskripsi HOOK</t>
        </is>
      </c>
      <c r="F20" s="155" t="inlineStr">
        <is>
          <t>Rumus HOOK</t>
        </is>
      </c>
      <c r="G20" s="155" t="inlineStr">
        <is>
          <t>Emotion Word</t>
        </is>
      </c>
      <c r="H20" s="165">
        <f>IF(I21&lt;&gt;"", HYPERLINK("https://chat.openai.com/?q="&amp;ENCODEURL(I21), "Klik untuk Generate Audio Hook🔥"), "")</f>
        <v/>
      </c>
      <c r="I20" s="158" t="n"/>
      <c r="J20" s="99" t="inlineStr">
        <is>
          <t>Audio HOOK</t>
        </is>
      </c>
      <c r="K20" s="99" t="inlineStr">
        <is>
          <t>Musik Hook</t>
        </is>
      </c>
      <c r="L20" s="164" t="inlineStr">
        <is>
          <t>Bikin audiens “kaget” sejenak.</t>
        </is>
      </c>
      <c r="M20" s="99" t="inlineStr">
        <is>
          <t>Sound viral terkini + cocok dengan tone atau emosi dari konten</t>
        </is>
      </c>
      <c r="N20" s="99" t="n"/>
      <c r="O20" s="99" t="n"/>
      <c r="P20" s="99" t="n"/>
      <c r="Q20" s="99" t="n"/>
      <c r="R20" s="99" t="n"/>
      <c r="S20" s="99" t="n"/>
      <c r="T20" s="99" t="n"/>
      <c r="U20" s="99" t="n"/>
      <c r="V20" s="99" t="n"/>
      <c r="W20" s="99" t="n"/>
      <c r="X20" s="99" t="n"/>
      <c r="Y20" s="99" t="n"/>
      <c r="Z20" s="99" t="n"/>
      <c r="AA20" s="99" t="n"/>
      <c r="AB20" s="99" t="n"/>
    </row>
    <row r="21" ht="18" customHeight="1" s="205">
      <c r="A21" s="151" t="inlineStr">
        <is>
          <t>Isi Cell Berwarna Putih Aja 👉🏻</t>
        </is>
      </c>
      <c r="B21" s="166" t="n"/>
      <c r="C21" s="166" t="n"/>
      <c r="D21" s="166" t="n"/>
      <c r="E21" s="155">
        <f>IFNA(VLOOKUP(D21,$K$20:$M$21,2,FALSE),"")</f>
        <v/>
      </c>
      <c r="F21" s="155">
        <f>IFNA(VLOOKUP(D21,$K$20:$M$21,3,FALSE),"") </f>
        <v/>
      </c>
      <c r="G21" s="166" t="n"/>
      <c r="I21" s="158">
        <f>IF(AND(B21&lt;&gt;"",C21&lt;&gt;"",D21&lt;&gt;"",E21&lt;&gt;"",F21&lt;&gt;"",G21&lt;&gt;""), CONCATENATE(
"Sebagai seorang pembuat konten yang ingin menciptakan dampak maksimal, saya membutuhkan ide audio hook yang **paling powerful dan relevan** untuk konten saya. Audio hook ini harus mampu menarik perhatian audiens dalam beberapa detik pertama dan sesuai den"&amp;"gan tren terkini.", CHAR(10),
"Berikut detail kontennya:", CHAR(10),
"- Topik Konten: ", B21, CHAR(10),
"- Script Konten Saat Ini: ", C21, CHAR(10),
"- Jenis Hook Audio: ", D21, " (", E21, ")", CHAR(10),
"- Rumus Hook Audio: ", F21, CHAR(10),
"- Kata Emosi yang ingin dibangkitkan: ", G21, CHAR(10), CHAR(10),
"Berdasarkan informasi di atas, mohon hasilkan 5 ide audio hook yang **sangat kuat, menarik, inovatif, dan siap pakai**.", CHAR(10),
"Pastikan setiap ide:", CHAR(10),
"1. Sangat relevan dengan topik dan script konten yang diberikan.", CHAR(10),
"2. Mengikuti jenis dan rumus hook audio yang ditentukan.", CHAR(10),
"3. Mampu membangkitkan emosi ", G21, ".", CHAR(10),
"4. Selaras dengan tren audio viral atau populer terkini di platform media sosial.", CHAR(10),
"Sertakan saran spesifik mengenai jenis musik, efek suara, atau elemen audio lainnya yang bisa digunakan untuk setiap ide."
), "")</f>
        <v/>
      </c>
      <c r="K21" s="159" t="inlineStr">
        <is>
          <t>Sound Effect</t>
        </is>
      </c>
      <c r="L21" s="154" t="inlineStr">
        <is>
          <t>Naikin engagement &amp; familiaritas.</t>
        </is>
      </c>
      <c r="M21" s="159" t="inlineStr">
        <is>
          <t>Sound viral terkini (non-music) + relevan dengan momen awal konten (twist, punchline, ekspresi)</t>
        </is>
      </c>
    </row>
    <row r="22" ht="15.75" customHeight="1" s="205">
      <c r="I22" s="163" t="n"/>
    </row>
    <row r="23" ht="15.75" customHeight="1" s="205">
      <c r="I23" s="163" t="n"/>
    </row>
    <row r="24" ht="15.75" customHeight="1" s="205">
      <c r="I24" s="163" t="n"/>
    </row>
    <row r="25" ht="15.75" customHeight="1" s="205">
      <c r="I25" s="163" t="n"/>
    </row>
    <row r="26" ht="15.75" customHeight="1" s="205">
      <c r="I26" s="163" t="n"/>
      <c r="L26" s="154" t="inlineStr">
        <is>
          <t xml:space="preserve"> </t>
        </is>
      </c>
    </row>
    <row r="27" ht="15.75" customHeight="1" s="205">
      <c r="I27" s="163" t="n"/>
      <c r="L27" s="154" t="n"/>
    </row>
    <row r="28" ht="15.75" customHeight="1" s="205">
      <c r="I28" s="163" t="n"/>
      <c r="L28" s="154" t="n"/>
    </row>
    <row r="29" ht="15.75" customHeight="1" s="205">
      <c r="I29" s="163" t="n"/>
      <c r="J29" s="167" t="n"/>
      <c r="L29" s="154" t="n"/>
    </row>
    <row r="30" ht="15.75" customHeight="1" s="205">
      <c r="I30" s="163" t="n"/>
      <c r="L30" s="154" t="n"/>
    </row>
    <row r="31" ht="15.75" customHeight="1" s="205">
      <c r="I31" s="163" t="n"/>
      <c r="L31" s="154" t="n"/>
    </row>
    <row r="32" ht="15.75" customHeight="1" s="205">
      <c r="I32" s="168" t="n"/>
      <c r="J32" s="169" t="n"/>
      <c r="L32" s="154" t="n"/>
    </row>
    <row r="33" ht="15.75" customHeight="1" s="205">
      <c r="I33" s="163" t="n"/>
      <c r="L33" s="154" t="n"/>
    </row>
    <row r="34" ht="15.75" customHeight="1" s="205">
      <c r="I34" s="163" t="n"/>
      <c r="L34" s="154" t="n"/>
    </row>
    <row r="35" ht="15.75" customHeight="1" s="205">
      <c r="B35" s="152" t="inlineStr">
        <is>
          <t>Generator Visual HOOK</t>
        </is>
      </c>
      <c r="I35" s="153" t="n"/>
      <c r="L35" s="154" t="n"/>
    </row>
    <row r="36" ht="15.75" customHeight="1" s="205">
      <c r="I36" s="153" t="n"/>
      <c r="L36" s="154" t="n"/>
    </row>
    <row r="37" ht="18" customHeight="1" s="205">
      <c r="B37" s="155" t="inlineStr">
        <is>
          <t>Topik Konten (Ide)</t>
        </is>
      </c>
      <c r="C37" s="155" t="inlineStr">
        <is>
          <t>Script Kamu Saat Ini</t>
        </is>
      </c>
      <c r="D37" s="156" t="inlineStr">
        <is>
          <t>Jenis HOOK</t>
        </is>
      </c>
      <c r="E37" s="155" t="inlineStr">
        <is>
          <t>Deskripsi HOOK</t>
        </is>
      </c>
      <c r="F37" s="155" t="inlineStr">
        <is>
          <t>Rumus HOOK</t>
        </is>
      </c>
      <c r="G37" s="155" t="inlineStr">
        <is>
          <t>Emotion Word</t>
        </is>
      </c>
      <c r="H37" s="165">
        <f>IF(I38&lt;&gt;"", HYPERLINK("https://chat.openai.com/?q="&amp;ENCODEURL(I38), "Klik untuk Generate Visual Hook🔥"), "")</f>
        <v/>
      </c>
      <c r="I37" s="163" t="n"/>
      <c r="J37" s="99" t="inlineStr">
        <is>
          <t>Visual HOOK</t>
        </is>
      </c>
      <c r="K37" s="159" t="inlineStr">
        <is>
          <t>Gerakan Badan</t>
        </is>
      </c>
      <c r="L37" s="154" t="inlineStr">
        <is>
          <t>Menggunakan gerakan tubuh yang ekspresif agar menarik perhatian</t>
        </is>
      </c>
      <c r="M37" s="159" t="inlineStr">
        <is>
          <t>Awali video dengan gestur mengejutkan seperti melambaikan tangan ke kamera</t>
        </is>
      </c>
    </row>
    <row r="38" ht="15" customHeight="1" s="205">
      <c r="B38" s="166" t="n"/>
      <c r="C38" s="166" t="n"/>
      <c r="D38" s="166" t="n"/>
      <c r="E38" s="155">
        <f>IFNA(VLOOKUP(D38,$K$37:$M$46,2,FALSE),"")</f>
        <v/>
      </c>
      <c r="F38" s="155">
        <f>IFNA(VLOOKUP(D38,$K$37:$M$46,3,FALSE),"") </f>
        <v/>
      </c>
      <c r="G38" s="166" t="n"/>
      <c r="I38" s="158">
        <f>IF(AND(B38&lt;&gt;"",C38&lt;&gt;"",D38&lt;&gt;"",E38&lt;&gt;"",F38&lt;&gt;"",G38&lt;&gt;""), CONCATENATE(
"Sebagai seorang pembuat konten, saya ingin menemukan ide visual hook yang **paling relevan dan sedang tren** untuk konten saya. Visual hook ini harus mampu menarik perhatian audiens secara instan.", CHAR(10),
"Berikut detail kontennya:", CHAR(10),
"- Topik Konten: ", B38, CHAR(10),
"- Script Konten Saat Ini: ", C38, CHAR(10),
"- Jenis Hook Visual: ", D38, " (", E38, ")", CHAR(10),
"- Rumus Hook Visual: ", F38, CHAR(10),
"- Kata Emosi yang ingin dibangkitkan: ", G38, CHAR(10), CHAR(10),
"Berdasarkan informasi di atas, mohon hasilkan 5 ide visual hook yang **sangat kuat, menarik, inovatif, dan siap pakai**.", CHAR(10),
"Pastikan setiap ide:", CHAR(10),
"1. Sangat relevan dengan topik dan script konten yang diberikan.", CHAR(10),
"2. Mengikuti jenis dan rumus hook visual yang ditentukan (misalnya: ", D38, ").", CHAR(10),
"3. Mampu membangkitkan emosi ", G38, ".", CHAR(10),
"4. Selaras dengan tren visual viral atau populer terkini di platform media sosial.", CHAR(10),
"Sertakan saran spesifik mengenai elemen visual, gerakan kamera, efek teks, atau elemen pop-up yang bisa digunakan untuk setiap ide."
), "")</f>
        <v/>
      </c>
      <c r="K38" s="159" t="inlineStr">
        <is>
          <t>Gerakan Kamera</t>
        </is>
      </c>
      <c r="L38" s="154" t="inlineStr">
        <is>
          <t>Kamera bergerak mengikuti subjek atau berpindah dengan cepat</t>
        </is>
      </c>
      <c r="M38" s="159" t="inlineStr">
        <is>
          <t>Gunakan gerakan dolly-in atau pan cepat ke arah subjek utama</t>
        </is>
      </c>
    </row>
    <row r="39" ht="15.75" customHeight="1" s="205">
      <c r="I39" s="163" t="n"/>
      <c r="K39" s="159" t="inlineStr">
        <is>
          <t>Transisi Object</t>
        </is>
      </c>
      <c r="L39" s="154" t="inlineStr">
        <is>
          <t>Gunakan objek sebagai transisi antar scene atau kalimat</t>
        </is>
      </c>
      <c r="M39" s="159" t="inlineStr">
        <is>
          <t>Tutup lensa dengan benda → lanjutkan dengan transisi ke scene baru</t>
        </is>
      </c>
    </row>
    <row r="40" ht="15.75" customHeight="1" s="205">
      <c r="I40" s="163" t="n"/>
      <c r="K40" s="159" t="inlineStr">
        <is>
          <t>Eye Contact</t>
        </is>
      </c>
      <c r="L40" s="154" t="inlineStr">
        <is>
          <t>Menatap langsung ke kamera untuk menciptakan koneksi</t>
        </is>
      </c>
      <c r="M40" s="159" t="inlineStr">
        <is>
          <t>Buka video dengan tatapan intens ke kamera, lalu bicara dengan mimik kuat</t>
        </is>
      </c>
    </row>
    <row r="41" ht="15.75" customHeight="1" s="205">
      <c r="I41" s="163" t="n"/>
      <c r="K41" s="159" t="inlineStr">
        <is>
          <t>Simbol Visual</t>
        </is>
      </c>
      <c r="L41" s="154" t="inlineStr">
        <is>
          <t>Perkuat personal branding, Simbol atau ikon visual yang bermakna kuat &amp; mudah diingat</t>
        </is>
      </c>
      <c r="M41" s="159" t="inlineStr">
        <is>
          <t>Pakai simbol hati, petir, atau tanda tanya besar di awal video</t>
        </is>
      </c>
    </row>
    <row r="42" ht="15.75" customHeight="1" s="205">
      <c r="I42" s="163" t="n"/>
      <c r="K42" s="159" t="inlineStr">
        <is>
          <t>Text Highligh</t>
        </is>
      </c>
      <c r="L42" s="154" t="inlineStr">
        <is>
          <t>Menonjolkan kata penting dengan teks besar, warna, atau animasi</t>
        </is>
      </c>
      <c r="M42" s="159" t="inlineStr">
        <is>
          <t>Sorot kata “STOP!” di awal dengan font besar &amp; warna kontras</t>
        </is>
      </c>
    </row>
    <row r="43" ht="15.75" customHeight="1" s="205">
      <c r="I43" s="163" t="n"/>
      <c r="K43" s="159" t="inlineStr">
        <is>
          <t>Motion Zoom In/Out</t>
        </is>
      </c>
      <c r="L43" s="154" t="inlineStr">
        <is>
          <t>Efek zoom dramatis pada wajah atau objek</t>
        </is>
      </c>
      <c r="M43" s="159" t="inlineStr">
        <is>
          <t>Gunakan efek zoom in ke wajah saat menyebut kata penting</t>
        </is>
      </c>
    </row>
    <row r="44" ht="15.75" customHeight="1" s="205">
      <c r="I44" s="163" t="n"/>
      <c r="K44" s="159" t="inlineStr">
        <is>
          <t>Flash Cuts/Jump Cuts</t>
        </is>
      </c>
      <c r="L44" s="154" t="inlineStr">
        <is>
          <t>Bikin konten padat &amp; nggak boring, Potongan cepat antar scene untuk menjaga perhatian</t>
        </is>
      </c>
      <c r="M44" s="159" t="inlineStr">
        <is>
          <t>Gabungkan 2-3 adegan dalam 2 detik dengan suara transisi cepat</t>
        </is>
      </c>
    </row>
    <row r="45" ht="15.75" customHeight="1" s="205">
      <c r="I45" s="163" t="n"/>
      <c r="K45" s="159" t="inlineStr">
        <is>
          <t>Element Pop-Up</t>
        </is>
      </c>
      <c r="L45" s="154" t="inlineStr">
        <is>
          <t>Elemen grafis muncul saat kata kunci disebut</t>
        </is>
      </c>
      <c r="M45" s="159" t="inlineStr">
        <is>
          <t>Tambahkan gambar yang sesuai dengan script</t>
        </is>
      </c>
    </row>
    <row r="46" ht="15.75" customHeight="1" s="205">
      <c r="I46" s="163" t="n"/>
      <c r="K46" s="159" t="inlineStr">
        <is>
          <t>Color Shock</t>
        </is>
      </c>
      <c r="L46" s="154" t="inlineStr">
        <is>
          <t>Gunakan warna mencolok &amp; kontras di awal video</t>
        </is>
      </c>
      <c r="M46" s="159" t="inlineStr">
        <is>
          <t>Awali dengan background warna neon/oranye menyala &amp; teks putih tebal</t>
        </is>
      </c>
    </row>
    <row r="47" ht="15.75" customHeight="1" s="205">
      <c r="I47" s="163" t="n"/>
      <c r="L47" s="154" t="n"/>
    </row>
    <row r="48" ht="15.75" customHeight="1" s="205">
      <c r="I48" s="163" t="n"/>
      <c r="L48" s="154" t="n"/>
    </row>
    <row r="49" ht="15.75" customHeight="1" s="205">
      <c r="I49" s="163" t="n"/>
      <c r="L49" s="154" t="n"/>
    </row>
    <row r="50" ht="15.75" customHeight="1" s="205">
      <c r="I50" s="163" t="n"/>
      <c r="L50" s="154" t="n"/>
    </row>
    <row r="51" ht="15.75" customHeight="1" s="205">
      <c r="I51" s="163" t="n"/>
      <c r="L51" s="154" t="n"/>
    </row>
    <row r="52" ht="15.75" customHeight="1" s="205">
      <c r="A52" s="170" t="n"/>
      <c r="B52" s="50" t="n"/>
      <c r="C52" s="50" t="n"/>
      <c r="D52" s="50" t="n"/>
      <c r="E52" s="50" t="n"/>
      <c r="F52" s="50" t="n"/>
      <c r="G52" s="50" t="n"/>
      <c r="H52" s="50" t="n"/>
      <c r="I52" s="171" t="n"/>
      <c r="L52" s="154" t="n"/>
    </row>
    <row r="53" ht="15.75" customHeight="1" s="205">
      <c r="B53" s="50" t="n"/>
      <c r="C53" s="50" t="n"/>
      <c r="D53" s="50" t="n"/>
      <c r="E53" s="50" t="n"/>
      <c r="F53" s="50" t="n"/>
      <c r="G53" s="50" t="n"/>
      <c r="H53" s="50" t="n"/>
      <c r="I53" s="171" t="n"/>
      <c r="L53" s="154" t="n"/>
    </row>
    <row r="54" ht="15.75" customHeight="1" s="205">
      <c r="A54" s="159" t="n"/>
      <c r="B54" s="50" t="n"/>
      <c r="C54" s="50" t="n"/>
      <c r="D54" s="50" t="n"/>
      <c r="E54" s="50" t="n"/>
      <c r="F54" s="50" t="n"/>
      <c r="G54" s="50" t="n"/>
      <c r="H54" s="50" t="n"/>
      <c r="I54" s="171" t="n"/>
      <c r="L54" s="154" t="n"/>
    </row>
    <row r="55" ht="15.75" customHeight="1" s="205">
      <c r="B55" s="50" t="n"/>
      <c r="C55" s="50" t="n"/>
      <c r="D55" s="50" t="n"/>
      <c r="E55" s="50" t="n"/>
      <c r="F55" s="50" t="n"/>
      <c r="G55" s="50" t="n"/>
      <c r="H55" s="50" t="n"/>
      <c r="I55" s="171" t="n"/>
      <c r="L55" s="154" t="n"/>
    </row>
    <row r="56" ht="15.75" customHeight="1" s="205">
      <c r="B56" s="50" t="n"/>
      <c r="C56" s="50" t="n"/>
      <c r="D56" s="50" t="n"/>
      <c r="E56" s="50" t="n"/>
      <c r="F56" s="50" t="n"/>
      <c r="G56" s="50" t="n"/>
      <c r="H56" s="50" t="n"/>
      <c r="I56" s="171" t="n"/>
      <c r="L56" s="154" t="n"/>
    </row>
    <row r="57" ht="15.75" customHeight="1" s="205">
      <c r="B57" s="50" t="n"/>
      <c r="C57" s="50" t="n"/>
      <c r="D57" s="50" t="n"/>
      <c r="E57" s="50" t="n"/>
      <c r="F57" s="50" t="n"/>
      <c r="G57" s="50" t="n"/>
      <c r="H57" s="50" t="n"/>
      <c r="I57" s="171" t="n"/>
      <c r="L57" s="154" t="n"/>
    </row>
    <row r="58" ht="15.75" customHeight="1" s="205">
      <c r="B58" s="50" t="n"/>
      <c r="C58" s="50" t="n"/>
      <c r="D58" s="50" t="n"/>
      <c r="E58" s="50" t="n"/>
      <c r="F58" s="50" t="n"/>
      <c r="G58" s="50" t="n"/>
      <c r="H58" s="50" t="n"/>
      <c r="I58" s="171" t="n"/>
      <c r="L58" s="154" t="n"/>
    </row>
    <row r="59" ht="15.75" customHeight="1" s="205">
      <c r="B59" s="50" t="n"/>
      <c r="C59" s="50" t="n"/>
      <c r="D59" s="50" t="n"/>
      <c r="E59" s="50" t="n"/>
      <c r="F59" s="50" t="n"/>
      <c r="G59" s="50" t="n"/>
      <c r="H59" s="50" t="n"/>
      <c r="I59" s="171" t="n"/>
      <c r="L59" s="154" t="n"/>
    </row>
    <row r="60" ht="15.75" customHeight="1" s="205">
      <c r="B60" s="50" t="n"/>
      <c r="C60" s="50" t="n"/>
      <c r="D60" s="50" t="n"/>
      <c r="E60" s="50" t="n"/>
      <c r="F60" s="50" t="n"/>
      <c r="G60" s="50" t="n"/>
      <c r="H60" s="50" t="n"/>
      <c r="I60" s="171" t="n"/>
      <c r="L60" s="154" t="n"/>
    </row>
    <row r="61" ht="15.75" customHeight="1" s="205">
      <c r="B61" s="50" t="n"/>
      <c r="C61" s="50" t="n"/>
      <c r="D61" s="50" t="n"/>
      <c r="E61" s="50" t="n"/>
      <c r="F61" s="50" t="n"/>
      <c r="G61" s="50" t="n"/>
      <c r="H61" s="50" t="n"/>
      <c r="I61" s="171" t="n"/>
      <c r="L61" s="154" t="n"/>
    </row>
    <row r="62" ht="15.75" customHeight="1" s="205">
      <c r="B62" s="50" t="n"/>
      <c r="C62" s="50" t="n"/>
      <c r="D62" s="50" t="n"/>
      <c r="E62" s="50" t="n"/>
      <c r="F62" s="50" t="n"/>
      <c r="G62" s="50" t="n"/>
      <c r="H62" s="50" t="n"/>
      <c r="I62" s="171" t="n"/>
      <c r="L62" s="154" t="n"/>
    </row>
    <row r="63" ht="15.75" customHeight="1" s="205">
      <c r="B63" s="50" t="n"/>
      <c r="C63" s="50" t="n"/>
      <c r="D63" s="50" t="n"/>
      <c r="E63" s="50" t="n"/>
      <c r="F63" s="50" t="n"/>
      <c r="G63" s="50" t="n"/>
      <c r="H63" s="50" t="n"/>
      <c r="I63" s="171" t="n"/>
      <c r="L63" s="154" t="n"/>
    </row>
    <row r="64" ht="15.75" customHeight="1" s="205">
      <c r="B64" s="50" t="n"/>
      <c r="C64" s="50" t="n"/>
      <c r="D64" s="50" t="n"/>
      <c r="E64" s="50" t="n"/>
      <c r="F64" s="50" t="n"/>
      <c r="G64" s="50" t="n"/>
      <c r="H64" s="50" t="n"/>
      <c r="I64" s="171" t="n"/>
      <c r="L64" s="154" t="n"/>
    </row>
    <row r="65" ht="15.75" customHeight="1" s="205">
      <c r="B65" s="50" t="n"/>
      <c r="C65" s="50" t="n"/>
      <c r="D65" s="50" t="n"/>
      <c r="E65" s="50" t="n"/>
      <c r="F65" s="50" t="n"/>
      <c r="G65" s="50" t="n"/>
      <c r="H65" s="50" t="n"/>
      <c r="I65" s="171" t="n"/>
      <c r="L65" s="154" t="n"/>
    </row>
    <row r="66" ht="15.75" customHeight="1" s="205">
      <c r="B66" s="50" t="n"/>
      <c r="C66" s="50" t="n"/>
      <c r="D66" s="50" t="n"/>
      <c r="E66" s="50" t="n"/>
      <c r="F66" s="50" t="n"/>
      <c r="G66" s="50" t="n"/>
      <c r="H66" s="50" t="n"/>
      <c r="I66" s="171" t="n"/>
      <c r="L66" s="154" t="n"/>
    </row>
    <row r="67" ht="15.75" customHeight="1" s="205">
      <c r="B67" s="50" t="n"/>
      <c r="C67" s="50" t="n"/>
      <c r="D67" s="50" t="n"/>
      <c r="E67" s="50" t="n"/>
      <c r="F67" s="50" t="n"/>
      <c r="G67" s="50" t="n"/>
      <c r="H67" s="50" t="n"/>
      <c r="I67" s="171" t="n"/>
      <c r="L67" s="154" t="n"/>
    </row>
    <row r="68" ht="15.75" customHeight="1" s="205">
      <c r="B68" s="50" t="n"/>
      <c r="C68" s="50" t="n"/>
      <c r="D68" s="50" t="n"/>
      <c r="E68" s="50" t="n"/>
      <c r="F68" s="50" t="n"/>
      <c r="G68" s="50" t="n"/>
      <c r="H68" s="50" t="n"/>
      <c r="I68" s="171" t="n"/>
      <c r="L68" s="154" t="n"/>
    </row>
    <row r="69" ht="15.75" customHeight="1" s="205">
      <c r="B69" s="50" t="n"/>
      <c r="C69" s="50" t="n"/>
      <c r="D69" s="50" t="n"/>
      <c r="E69" s="50" t="n"/>
      <c r="F69" s="50" t="n"/>
      <c r="G69" s="50" t="n"/>
      <c r="H69" s="50" t="n"/>
      <c r="I69" s="171" t="n"/>
      <c r="L69" s="154" t="n"/>
    </row>
    <row r="70" ht="15.75" customHeight="1" s="205">
      <c r="B70" s="50" t="n"/>
      <c r="C70" s="50" t="n"/>
      <c r="D70" s="50" t="n"/>
      <c r="E70" s="50" t="n"/>
      <c r="F70" s="50" t="n"/>
      <c r="G70" s="50" t="n"/>
      <c r="H70" s="50" t="n"/>
      <c r="I70" s="171" t="n"/>
      <c r="L70" s="154" t="n"/>
    </row>
    <row r="71" ht="15.75" customHeight="1" s="205">
      <c r="B71" s="50" t="n"/>
      <c r="C71" s="50" t="n"/>
      <c r="D71" s="50" t="n"/>
      <c r="E71" s="50" t="n"/>
      <c r="F71" s="50" t="n"/>
      <c r="G71" s="50" t="n"/>
      <c r="H71" s="50" t="n"/>
      <c r="I71" s="171" t="n"/>
      <c r="L71" s="154" t="n"/>
    </row>
    <row r="72" ht="15.75" customHeight="1" s="205">
      <c r="B72" s="50" t="n"/>
      <c r="C72" s="50" t="n"/>
      <c r="D72" s="50" t="n"/>
      <c r="E72" s="50" t="n"/>
      <c r="F72" s="50" t="n"/>
      <c r="G72" s="50" t="n"/>
      <c r="H72" s="50" t="n"/>
      <c r="I72" s="171" t="n"/>
      <c r="L72" s="154" t="n"/>
    </row>
    <row r="73" ht="15.75" customHeight="1" s="205">
      <c r="B73" s="50" t="n"/>
      <c r="C73" s="50" t="n"/>
      <c r="D73" s="50" t="n"/>
      <c r="E73" s="50" t="n"/>
      <c r="F73" s="50" t="n"/>
      <c r="G73" s="50" t="n"/>
      <c r="H73" s="50" t="n"/>
      <c r="I73" s="171" t="n"/>
      <c r="L73" s="154" t="n"/>
    </row>
    <row r="74" ht="15.75" customHeight="1" s="205">
      <c r="B74" s="50" t="n"/>
      <c r="C74" s="50" t="n"/>
      <c r="D74" s="50" t="n"/>
      <c r="E74" s="50" t="n"/>
      <c r="F74" s="50" t="n"/>
      <c r="G74" s="50" t="n"/>
      <c r="H74" s="50" t="n"/>
      <c r="I74" s="171" t="n"/>
      <c r="L74" s="154" t="n"/>
    </row>
    <row r="75" ht="15.75" customHeight="1" s="205">
      <c r="B75" s="50" t="n"/>
      <c r="C75" s="50" t="n"/>
      <c r="D75" s="50" t="n"/>
      <c r="E75" s="50" t="n"/>
      <c r="F75" s="50" t="n"/>
      <c r="G75" s="50" t="n"/>
      <c r="H75" s="50" t="n"/>
      <c r="I75" s="171" t="n"/>
      <c r="L75" s="154" t="n"/>
    </row>
    <row r="76" ht="15.75" customHeight="1" s="205">
      <c r="B76" s="50" t="n"/>
      <c r="C76" s="50" t="n"/>
      <c r="D76" s="50" t="n"/>
      <c r="E76" s="50" t="n"/>
      <c r="F76" s="50" t="n"/>
      <c r="G76" s="50" t="n"/>
      <c r="H76" s="50" t="n"/>
      <c r="I76" s="171" t="n"/>
      <c r="L76" s="154" t="n"/>
    </row>
    <row r="77" ht="15.75" customHeight="1" s="205">
      <c r="B77" s="50" t="n"/>
      <c r="C77" s="50" t="n"/>
      <c r="D77" s="50" t="n"/>
      <c r="E77" s="50" t="n"/>
      <c r="F77" s="50" t="n"/>
      <c r="G77" s="50" t="n"/>
      <c r="H77" s="50" t="n"/>
      <c r="I77" s="171" t="n"/>
      <c r="L77" s="154" t="n"/>
    </row>
    <row r="78" ht="15.75" customHeight="1" s="205">
      <c r="B78" s="50" t="n"/>
      <c r="C78" s="50" t="n"/>
      <c r="D78" s="50" t="n"/>
      <c r="E78" s="50" t="n"/>
      <c r="F78" s="50" t="n"/>
      <c r="G78" s="50" t="n"/>
      <c r="H78" s="50" t="n"/>
      <c r="I78" s="171" t="n"/>
      <c r="L78" s="154" t="n"/>
    </row>
    <row r="79" ht="15.75" customHeight="1" s="205">
      <c r="B79" s="50" t="n"/>
      <c r="C79" s="50" t="n"/>
      <c r="D79" s="50" t="n"/>
      <c r="E79" s="50" t="n"/>
      <c r="F79" s="50" t="n"/>
      <c r="G79" s="50" t="n"/>
      <c r="H79" s="50" t="n"/>
      <c r="I79" s="171" t="n"/>
      <c r="L79" s="154" t="n"/>
    </row>
    <row r="80" ht="15.75" customHeight="1" s="205">
      <c r="B80" s="50" t="n"/>
      <c r="C80" s="50" t="n"/>
      <c r="D80" s="50" t="n"/>
      <c r="E80" s="50" t="n"/>
      <c r="F80" s="50" t="n"/>
      <c r="G80" s="50" t="n"/>
      <c r="H80" s="50" t="n"/>
      <c r="I80" s="171" t="n"/>
      <c r="L80" s="154" t="n"/>
    </row>
    <row r="81" ht="15.75" customHeight="1" s="205">
      <c r="B81" s="50" t="n"/>
      <c r="C81" s="50" t="n"/>
      <c r="D81" s="50" t="n"/>
      <c r="E81" s="50" t="n"/>
      <c r="F81" s="50" t="n"/>
      <c r="G81" s="50" t="n"/>
      <c r="H81" s="50" t="n"/>
      <c r="I81" s="171" t="n"/>
      <c r="L81" s="154" t="n"/>
    </row>
    <row r="82" ht="15.75" customHeight="1" s="205">
      <c r="B82" s="50" t="n"/>
      <c r="C82" s="50" t="n"/>
      <c r="D82" s="50" t="n"/>
      <c r="E82" s="50" t="n"/>
      <c r="F82" s="50" t="n"/>
      <c r="G82" s="50" t="n"/>
      <c r="H82" s="50" t="n"/>
      <c r="I82" s="171" t="n"/>
      <c r="L82" s="154" t="n"/>
    </row>
    <row r="83" ht="15.75" customHeight="1" s="205">
      <c r="B83" s="50" t="n"/>
      <c r="C83" s="50" t="n"/>
      <c r="D83" s="50" t="n"/>
      <c r="E83" s="50" t="n"/>
      <c r="F83" s="50" t="n"/>
      <c r="G83" s="50" t="n"/>
      <c r="H83" s="50" t="n"/>
      <c r="I83" s="171" t="n"/>
      <c r="L83" s="154" t="n"/>
    </row>
    <row r="84" ht="15.75" customHeight="1" s="205">
      <c r="B84" s="50" t="n"/>
      <c r="C84" s="50" t="n"/>
      <c r="D84" s="50" t="n"/>
      <c r="E84" s="50" t="n"/>
      <c r="F84" s="50" t="n"/>
      <c r="G84" s="50" t="n"/>
      <c r="H84" s="50" t="n"/>
      <c r="I84" s="171" t="n"/>
      <c r="L84" s="154" t="n"/>
    </row>
    <row r="85" ht="15.75" customHeight="1" s="205">
      <c r="B85" s="50" t="n"/>
      <c r="C85" s="50" t="n"/>
      <c r="D85" s="50" t="n"/>
      <c r="E85" s="50" t="n"/>
      <c r="F85" s="50" t="n"/>
      <c r="G85" s="50" t="n"/>
      <c r="H85" s="50" t="n"/>
      <c r="I85" s="171" t="n"/>
      <c r="L85" s="154" t="n"/>
    </row>
    <row r="86" ht="15.75" customHeight="1" s="205">
      <c r="B86" s="50" t="n"/>
      <c r="C86" s="50" t="n"/>
      <c r="D86" s="50" t="n"/>
      <c r="E86" s="50" t="n"/>
      <c r="F86" s="50" t="n"/>
      <c r="G86" s="50" t="n"/>
      <c r="H86" s="50" t="n"/>
      <c r="I86" s="171" t="n"/>
      <c r="L86" s="154" t="n"/>
    </row>
    <row r="87" ht="15.75" customHeight="1" s="205">
      <c r="B87" s="50" t="n"/>
      <c r="C87" s="50" t="n"/>
      <c r="D87" s="50" t="n"/>
      <c r="E87" s="50" t="n"/>
      <c r="F87" s="50" t="n"/>
      <c r="G87" s="50" t="n"/>
      <c r="H87" s="50" t="n"/>
      <c r="I87" s="171" t="n"/>
      <c r="L87" s="154" t="n"/>
    </row>
    <row r="88" ht="15.75" customHeight="1" s="205">
      <c r="B88" s="50" t="n"/>
      <c r="C88" s="50" t="n"/>
      <c r="D88" s="50" t="n"/>
      <c r="E88" s="50" t="n"/>
      <c r="F88" s="50" t="n"/>
      <c r="G88" s="50" t="n"/>
      <c r="H88" s="50" t="n"/>
      <c r="I88" s="171" t="n"/>
      <c r="L88" s="154" t="n"/>
    </row>
    <row r="89" ht="15.75" customHeight="1" s="205">
      <c r="B89" s="50" t="n"/>
      <c r="C89" s="50" t="n"/>
      <c r="D89" s="50" t="n"/>
      <c r="E89" s="50" t="n"/>
      <c r="F89" s="50" t="n"/>
      <c r="G89" s="50" t="n"/>
      <c r="H89" s="50" t="n"/>
      <c r="I89" s="171" t="n"/>
      <c r="L89" s="154" t="n"/>
    </row>
    <row r="90" ht="15.75" customHeight="1" s="205">
      <c r="B90" s="50" t="n"/>
      <c r="C90" s="50" t="n"/>
      <c r="D90" s="50" t="n"/>
      <c r="E90" s="50" t="n"/>
      <c r="F90" s="50" t="n"/>
      <c r="G90" s="50" t="n"/>
      <c r="H90" s="50" t="n"/>
      <c r="I90" s="171" t="n"/>
      <c r="L90" s="154" t="n"/>
    </row>
    <row r="91" ht="15.75" customHeight="1" s="205">
      <c r="B91" s="50" t="n"/>
      <c r="C91" s="50" t="n"/>
      <c r="D91" s="50" t="n"/>
      <c r="E91" s="50" t="n"/>
      <c r="F91" s="50" t="n"/>
      <c r="G91" s="50" t="n"/>
      <c r="H91" s="50" t="n"/>
      <c r="I91" s="171" t="n"/>
      <c r="L91" s="154" t="n"/>
    </row>
    <row r="92" ht="15.75" customHeight="1" s="205">
      <c r="B92" s="50" t="n"/>
      <c r="C92" s="50" t="n"/>
      <c r="D92" s="50" t="n"/>
      <c r="E92" s="50" t="n"/>
      <c r="F92" s="50" t="n"/>
      <c r="G92" s="50" t="n"/>
      <c r="H92" s="50" t="n"/>
      <c r="I92" s="171" t="n"/>
      <c r="L92" s="154" t="n"/>
    </row>
    <row r="93" ht="15.75" customHeight="1" s="205">
      <c r="B93" s="50" t="n"/>
      <c r="C93" s="50" t="n"/>
      <c r="D93" s="50" t="n"/>
      <c r="E93" s="50" t="n"/>
      <c r="F93" s="50" t="n"/>
      <c r="G93" s="50" t="n"/>
      <c r="H93" s="50" t="n"/>
      <c r="I93" s="171" t="n"/>
      <c r="L93" s="154" t="n"/>
    </row>
    <row r="94" ht="15.75" customHeight="1" s="205">
      <c r="B94" s="50" t="n"/>
      <c r="C94" s="50" t="n"/>
      <c r="D94" s="50" t="n"/>
      <c r="E94" s="50" t="n"/>
      <c r="F94" s="50" t="n"/>
      <c r="G94" s="50" t="n"/>
      <c r="H94" s="50" t="n"/>
      <c r="I94" s="171" t="n"/>
      <c r="L94" s="154" t="n"/>
    </row>
    <row r="95" ht="15.75" customHeight="1" s="205">
      <c r="B95" s="50" t="n"/>
      <c r="C95" s="50" t="n"/>
      <c r="D95" s="50" t="n"/>
      <c r="E95" s="50" t="n"/>
      <c r="F95" s="50" t="n"/>
      <c r="G95" s="50" t="n"/>
      <c r="H95" s="50" t="n"/>
      <c r="I95" s="171" t="n"/>
      <c r="L95" s="154" t="n"/>
    </row>
    <row r="96" ht="15.75" customHeight="1" s="205">
      <c r="B96" s="50" t="n"/>
      <c r="C96" s="50" t="n"/>
      <c r="D96" s="50" t="n"/>
      <c r="E96" s="50" t="n"/>
      <c r="F96" s="50" t="n"/>
      <c r="G96" s="50" t="n"/>
      <c r="H96" s="50" t="n"/>
      <c r="I96" s="171" t="n"/>
      <c r="L96" s="154" t="n"/>
    </row>
    <row r="97" ht="15.75" customHeight="1" s="205">
      <c r="B97" s="50" t="n"/>
      <c r="C97" s="50" t="n"/>
      <c r="D97" s="50" t="n"/>
      <c r="E97" s="50" t="n"/>
      <c r="F97" s="50" t="n"/>
      <c r="G97" s="50" t="n"/>
      <c r="H97" s="50" t="n"/>
      <c r="I97" s="171" t="n"/>
      <c r="L97" s="154" t="n"/>
    </row>
    <row r="98" ht="15.75" customHeight="1" s="205">
      <c r="B98" s="50" t="n"/>
      <c r="C98" s="50" t="n"/>
      <c r="D98" s="50" t="n"/>
      <c r="E98" s="50" t="n"/>
      <c r="F98" s="50" t="n"/>
      <c r="G98" s="50" t="n"/>
      <c r="H98" s="50" t="n"/>
      <c r="I98" s="171" t="n"/>
      <c r="L98" s="154" t="n"/>
    </row>
    <row r="99" ht="15.75" customHeight="1" s="205">
      <c r="B99" s="50" t="n"/>
      <c r="C99" s="50" t="n"/>
      <c r="D99" s="50" t="n"/>
      <c r="E99" s="50" t="n"/>
      <c r="F99" s="50" t="n"/>
      <c r="G99" s="50" t="n"/>
      <c r="H99" s="50" t="n"/>
      <c r="I99" s="171" t="n"/>
      <c r="L99" s="154" t="n"/>
    </row>
    <row r="100" ht="15.75" customHeight="1" s="205">
      <c r="B100" s="50" t="n"/>
      <c r="C100" s="50" t="n"/>
      <c r="D100" s="50" t="n"/>
      <c r="E100" s="50" t="n"/>
      <c r="F100" s="50" t="n"/>
      <c r="G100" s="50" t="n"/>
      <c r="H100" s="50" t="n"/>
      <c r="I100" s="171" t="n"/>
      <c r="L100" s="154" t="n"/>
    </row>
    <row r="101" ht="15.75" customHeight="1" s="205">
      <c r="B101" s="50" t="n"/>
      <c r="C101" s="50" t="n"/>
      <c r="D101" s="50" t="n"/>
      <c r="E101" s="50" t="n"/>
      <c r="F101" s="50" t="n"/>
      <c r="G101" s="50" t="n"/>
      <c r="H101" s="50" t="n"/>
      <c r="I101" s="171" t="n"/>
      <c r="L101" s="154" t="n"/>
    </row>
    <row r="102" ht="15.75" customHeight="1" s="205">
      <c r="B102" s="50" t="n"/>
      <c r="C102" s="50" t="n"/>
      <c r="D102" s="50" t="n"/>
      <c r="E102" s="50" t="n"/>
      <c r="F102" s="50" t="n"/>
      <c r="G102" s="50" t="n"/>
      <c r="H102" s="50" t="n"/>
      <c r="I102" s="171" t="n"/>
      <c r="L102" s="154" t="n"/>
    </row>
    <row r="103" ht="15.75" customHeight="1" s="205">
      <c r="B103" s="50" t="n"/>
      <c r="C103" s="50" t="n"/>
      <c r="D103" s="50" t="n"/>
      <c r="E103" s="50" t="n"/>
      <c r="F103" s="50" t="n"/>
      <c r="G103" s="50" t="n"/>
      <c r="H103" s="50" t="n"/>
      <c r="I103" s="171" t="n"/>
      <c r="L103" s="154" t="n"/>
    </row>
    <row r="104" ht="15.75" customHeight="1" s="205">
      <c r="B104" s="50" t="n"/>
      <c r="C104" s="50" t="n"/>
      <c r="D104" s="50" t="n"/>
      <c r="E104" s="50" t="n"/>
      <c r="F104" s="50" t="n"/>
      <c r="G104" s="50" t="n"/>
      <c r="H104" s="50" t="n"/>
      <c r="I104" s="171" t="n"/>
      <c r="L104" s="154" t="n"/>
    </row>
    <row r="105" ht="15.75" customHeight="1" s="205">
      <c r="B105" s="50" t="n"/>
      <c r="C105" s="50" t="n"/>
      <c r="D105" s="50" t="n"/>
      <c r="E105" s="50" t="n"/>
      <c r="F105" s="50" t="n"/>
      <c r="G105" s="50" t="n"/>
      <c r="H105" s="50" t="n"/>
      <c r="I105" s="171" t="n"/>
      <c r="L105" s="154" t="n"/>
    </row>
    <row r="106" ht="15.75" customHeight="1" s="205">
      <c r="B106" s="50" t="n"/>
      <c r="C106" s="50" t="n"/>
      <c r="D106" s="50" t="n"/>
      <c r="E106" s="50" t="n"/>
      <c r="F106" s="50" t="n"/>
      <c r="G106" s="50" t="n"/>
      <c r="H106" s="50" t="n"/>
      <c r="I106" s="171" t="n"/>
      <c r="L106" s="154" t="n"/>
    </row>
    <row r="107" ht="15.75" customHeight="1" s="205">
      <c r="B107" s="50" t="n"/>
      <c r="C107" s="50" t="n"/>
      <c r="D107" s="50" t="n"/>
      <c r="E107" s="50" t="n"/>
      <c r="F107" s="50" t="n"/>
      <c r="G107" s="50" t="n"/>
      <c r="H107" s="50" t="n"/>
      <c r="I107" s="171" t="n"/>
      <c r="L107" s="154" t="n"/>
    </row>
    <row r="108" ht="15.75" customHeight="1" s="205">
      <c r="B108" s="50" t="n"/>
      <c r="C108" s="50" t="n"/>
      <c r="D108" s="50" t="n"/>
      <c r="E108" s="50" t="n"/>
      <c r="F108" s="50" t="n"/>
      <c r="G108" s="50" t="n"/>
      <c r="H108" s="50" t="n"/>
      <c r="I108" s="171" t="n"/>
      <c r="L108" s="154" t="n"/>
    </row>
    <row r="109" ht="15.75" customHeight="1" s="205">
      <c r="B109" s="50" t="n"/>
      <c r="C109" s="50" t="n"/>
      <c r="D109" s="50" t="n"/>
      <c r="E109" s="50" t="n"/>
      <c r="F109" s="50" t="n"/>
      <c r="G109" s="50" t="n"/>
      <c r="H109" s="50" t="n"/>
      <c r="I109" s="171" t="n"/>
      <c r="L109" s="154" t="n"/>
    </row>
    <row r="110" ht="15.75" customHeight="1" s="205">
      <c r="B110" s="50" t="n"/>
      <c r="C110" s="50" t="n"/>
      <c r="D110" s="50" t="n"/>
      <c r="E110" s="50" t="n"/>
      <c r="F110" s="50" t="n"/>
      <c r="G110" s="50" t="n"/>
      <c r="H110" s="50" t="n"/>
      <c r="I110" s="171" t="n"/>
      <c r="L110" s="154" t="n"/>
    </row>
    <row r="111" ht="15.75" customHeight="1" s="205">
      <c r="B111" s="50" t="n"/>
      <c r="C111" s="50" t="n"/>
      <c r="D111" s="50" t="n"/>
      <c r="E111" s="50" t="n"/>
      <c r="F111" s="50" t="n"/>
      <c r="G111" s="50" t="n"/>
      <c r="H111" s="50" t="n"/>
      <c r="I111" s="171" t="n"/>
      <c r="L111" s="154" t="n"/>
    </row>
    <row r="112" ht="15.75" customHeight="1" s="205">
      <c r="B112" s="50" t="n"/>
      <c r="C112" s="50" t="n"/>
      <c r="D112" s="50" t="n"/>
      <c r="E112" s="50" t="n"/>
      <c r="F112" s="50" t="n"/>
      <c r="G112" s="50" t="n"/>
      <c r="H112" s="50" t="n"/>
      <c r="I112" s="171" t="n"/>
      <c r="L112" s="154" t="n"/>
    </row>
    <row r="113" ht="15.75" customHeight="1" s="205">
      <c r="B113" s="50" t="n"/>
      <c r="C113" s="50" t="n"/>
      <c r="D113" s="50" t="n"/>
      <c r="E113" s="50" t="n"/>
      <c r="F113" s="50" t="n"/>
      <c r="G113" s="50" t="n"/>
      <c r="H113" s="50" t="n"/>
      <c r="I113" s="171" t="n"/>
      <c r="L113" s="154" t="n"/>
    </row>
    <row r="114" ht="15.75" customHeight="1" s="205">
      <c r="B114" s="50" t="n"/>
      <c r="C114" s="50" t="n"/>
      <c r="D114" s="50" t="n"/>
      <c r="E114" s="50" t="n"/>
      <c r="F114" s="50" t="n"/>
      <c r="G114" s="50" t="n"/>
      <c r="H114" s="50" t="n"/>
      <c r="I114" s="171" t="n"/>
      <c r="L114" s="154" t="n"/>
    </row>
    <row r="115" ht="15.75" customHeight="1" s="205">
      <c r="B115" s="50" t="n"/>
      <c r="C115" s="50" t="n"/>
      <c r="D115" s="50" t="n"/>
      <c r="E115" s="50" t="n"/>
      <c r="F115" s="50" t="n"/>
      <c r="G115" s="50" t="n"/>
      <c r="H115" s="50" t="n"/>
      <c r="I115" s="171" t="n"/>
      <c r="L115" s="154" t="n"/>
    </row>
    <row r="116" ht="15.75" customHeight="1" s="205">
      <c r="B116" s="50" t="n"/>
      <c r="C116" s="50" t="n"/>
      <c r="D116" s="50" t="n"/>
      <c r="E116" s="50" t="n"/>
      <c r="F116" s="50" t="n"/>
      <c r="G116" s="50" t="n"/>
      <c r="H116" s="50" t="n"/>
      <c r="I116" s="171" t="n"/>
      <c r="L116" s="154" t="n"/>
    </row>
    <row r="117" ht="15.75" customHeight="1" s="205">
      <c r="B117" s="50" t="n"/>
      <c r="C117" s="50" t="n"/>
      <c r="D117" s="50" t="n"/>
      <c r="E117" s="50" t="n"/>
      <c r="F117" s="50" t="n"/>
      <c r="G117" s="50" t="n"/>
      <c r="H117" s="50" t="n"/>
      <c r="I117" s="171" t="n"/>
      <c r="L117" s="154" t="n"/>
    </row>
    <row r="118" ht="15.75" customHeight="1" s="205">
      <c r="B118" s="50" t="n"/>
      <c r="C118" s="50" t="n"/>
      <c r="D118" s="50" t="n"/>
      <c r="E118" s="50" t="n"/>
      <c r="F118" s="50" t="n"/>
      <c r="G118" s="50" t="n"/>
      <c r="H118" s="50" t="n"/>
      <c r="I118" s="171" t="n"/>
      <c r="L118" s="154" t="n"/>
    </row>
    <row r="119" ht="15.75" customHeight="1" s="205">
      <c r="B119" s="50" t="n"/>
      <c r="C119" s="50" t="n"/>
      <c r="D119" s="50" t="n"/>
      <c r="E119" s="50" t="n"/>
      <c r="F119" s="50" t="n"/>
      <c r="G119" s="50" t="n"/>
      <c r="H119" s="50" t="n"/>
      <c r="I119" s="171" t="n"/>
      <c r="L119" s="154" t="n"/>
    </row>
    <row r="120" ht="15.75" customHeight="1" s="205">
      <c r="B120" s="50" t="n"/>
      <c r="C120" s="50" t="n"/>
      <c r="D120" s="50" t="n"/>
      <c r="E120" s="50" t="n"/>
      <c r="F120" s="50" t="n"/>
      <c r="G120" s="50" t="n"/>
      <c r="H120" s="50" t="n"/>
      <c r="I120" s="171" t="n"/>
      <c r="L120" s="154" t="n"/>
    </row>
    <row r="121" ht="15.75" customHeight="1" s="205">
      <c r="B121" s="50" t="n"/>
      <c r="C121" s="50" t="n"/>
      <c r="D121" s="50" t="n"/>
      <c r="E121" s="50" t="n"/>
      <c r="F121" s="50" t="n"/>
      <c r="G121" s="50" t="n"/>
      <c r="H121" s="50" t="n"/>
      <c r="I121" s="171" t="n"/>
      <c r="L121" s="154" t="n"/>
    </row>
    <row r="122" ht="15.75" customHeight="1" s="205">
      <c r="B122" s="50" t="n"/>
      <c r="C122" s="50" t="n"/>
      <c r="D122" s="50" t="n"/>
      <c r="E122" s="50" t="n"/>
      <c r="F122" s="50" t="n"/>
      <c r="G122" s="50" t="n"/>
      <c r="H122" s="50" t="n"/>
      <c r="I122" s="171" t="n"/>
      <c r="L122" s="154" t="n"/>
    </row>
    <row r="123" ht="15.75" customHeight="1" s="205">
      <c r="B123" s="50" t="n"/>
      <c r="C123" s="50" t="n"/>
      <c r="D123" s="50" t="n"/>
      <c r="E123" s="50" t="n"/>
      <c r="F123" s="50" t="n"/>
      <c r="G123" s="50" t="n"/>
      <c r="H123" s="50" t="n"/>
      <c r="I123" s="171" t="n"/>
      <c r="L123" s="154" t="n"/>
    </row>
    <row r="124" ht="15.75" customHeight="1" s="205">
      <c r="B124" s="50" t="n"/>
      <c r="C124" s="50" t="n"/>
      <c r="D124" s="50" t="n"/>
      <c r="E124" s="50" t="n"/>
      <c r="F124" s="50" t="n"/>
      <c r="G124" s="50" t="n"/>
      <c r="H124" s="50" t="n"/>
      <c r="I124" s="171" t="n"/>
      <c r="L124" s="154" t="n"/>
    </row>
    <row r="125" ht="15.75" customHeight="1" s="205">
      <c r="B125" s="50" t="n"/>
      <c r="C125" s="50" t="n"/>
      <c r="D125" s="50" t="n"/>
      <c r="E125" s="50" t="n"/>
      <c r="F125" s="50" t="n"/>
      <c r="G125" s="50" t="n"/>
      <c r="H125" s="50" t="n"/>
      <c r="I125" s="171" t="n"/>
      <c r="L125" s="154" t="n"/>
    </row>
    <row r="126" ht="15.75" customHeight="1" s="205">
      <c r="B126" s="50" t="n"/>
      <c r="C126" s="50" t="n"/>
      <c r="D126" s="50" t="n"/>
      <c r="E126" s="50" t="n"/>
      <c r="F126" s="50" t="n"/>
      <c r="G126" s="50" t="n"/>
      <c r="H126" s="50" t="n"/>
      <c r="I126" s="171" t="n"/>
      <c r="L126" s="154" t="n"/>
    </row>
    <row r="127" ht="15.75" customHeight="1" s="205">
      <c r="B127" s="50" t="n"/>
      <c r="C127" s="50" t="n"/>
      <c r="D127" s="50" t="n"/>
      <c r="E127" s="50" t="n"/>
      <c r="F127" s="50" t="n"/>
      <c r="G127" s="50" t="n"/>
      <c r="H127" s="50" t="n"/>
      <c r="I127" s="171" t="n"/>
      <c r="L127" s="154" t="n"/>
    </row>
    <row r="128" ht="15.75" customHeight="1" s="205">
      <c r="B128" s="50" t="n"/>
      <c r="C128" s="50" t="n"/>
      <c r="D128" s="50" t="n"/>
      <c r="E128" s="50" t="n"/>
      <c r="F128" s="50" t="n"/>
      <c r="G128" s="50" t="n"/>
      <c r="H128" s="50" t="n"/>
      <c r="I128" s="171" t="n"/>
      <c r="L128" s="154" t="n"/>
    </row>
    <row r="129" ht="15.75" customHeight="1" s="205">
      <c r="B129" s="50" t="n"/>
      <c r="C129" s="50" t="n"/>
      <c r="D129" s="50" t="n"/>
      <c r="E129" s="50" t="n"/>
      <c r="F129" s="50" t="n"/>
      <c r="G129" s="50" t="n"/>
      <c r="H129" s="50" t="n"/>
      <c r="I129" s="171" t="n"/>
      <c r="L129" s="154" t="n"/>
    </row>
    <row r="130" ht="15.75" customHeight="1" s="205">
      <c r="B130" s="50" t="n"/>
      <c r="C130" s="50" t="n"/>
      <c r="D130" s="50" t="n"/>
      <c r="E130" s="50" t="n"/>
      <c r="F130" s="50" t="n"/>
      <c r="G130" s="50" t="n"/>
      <c r="H130" s="50" t="n"/>
      <c r="I130" s="171" t="n"/>
      <c r="L130" s="154" t="n"/>
    </row>
    <row r="131" ht="15.75" customHeight="1" s="205">
      <c r="B131" s="50" t="n"/>
      <c r="C131" s="50" t="n"/>
      <c r="D131" s="50" t="n"/>
      <c r="E131" s="50" t="n"/>
      <c r="F131" s="50" t="n"/>
      <c r="G131" s="50" t="n"/>
      <c r="H131" s="50" t="n"/>
      <c r="I131" s="171" t="n"/>
      <c r="L131" s="154" t="n"/>
    </row>
    <row r="132" ht="15.75" customHeight="1" s="205">
      <c r="B132" s="50" t="n"/>
      <c r="C132" s="50" t="n"/>
      <c r="D132" s="50" t="n"/>
      <c r="E132" s="50" t="n"/>
      <c r="F132" s="50" t="n"/>
      <c r="G132" s="50" t="n"/>
      <c r="H132" s="50" t="n"/>
      <c r="I132" s="171" t="n"/>
      <c r="L132" s="154" t="n"/>
    </row>
    <row r="133" ht="15.75" customHeight="1" s="205">
      <c r="B133" s="50" t="n"/>
      <c r="C133" s="50" t="n"/>
      <c r="D133" s="50" t="n"/>
      <c r="E133" s="50" t="n"/>
      <c r="F133" s="50" t="n"/>
      <c r="G133" s="50" t="n"/>
      <c r="H133" s="50" t="n"/>
      <c r="I133" s="171" t="n"/>
      <c r="L133" s="154" t="n"/>
    </row>
    <row r="134" ht="15.75" customHeight="1" s="205">
      <c r="B134" s="50" t="n"/>
      <c r="C134" s="50" t="n"/>
      <c r="D134" s="50" t="n"/>
      <c r="E134" s="50" t="n"/>
      <c r="F134" s="50" t="n"/>
      <c r="G134" s="50" t="n"/>
      <c r="H134" s="50" t="n"/>
      <c r="I134" s="171" t="n"/>
      <c r="L134" s="154" t="n"/>
    </row>
    <row r="135" ht="15.75" customHeight="1" s="205">
      <c r="B135" s="50" t="n"/>
      <c r="C135" s="50" t="n"/>
      <c r="D135" s="50" t="n"/>
      <c r="E135" s="50" t="n"/>
      <c r="F135" s="50" t="n"/>
      <c r="G135" s="50" t="n"/>
      <c r="H135" s="50" t="n"/>
      <c r="I135" s="171" t="n"/>
      <c r="L135" s="154" t="n"/>
    </row>
    <row r="136" ht="15.75" customHeight="1" s="205">
      <c r="B136" s="50" t="n"/>
      <c r="C136" s="50" t="n"/>
      <c r="D136" s="50" t="n"/>
      <c r="E136" s="50" t="n"/>
      <c r="F136" s="50" t="n"/>
      <c r="G136" s="50" t="n"/>
      <c r="H136" s="50" t="n"/>
      <c r="I136" s="171" t="n"/>
      <c r="L136" s="154" t="n"/>
    </row>
    <row r="137" ht="15.75" customHeight="1" s="205">
      <c r="B137" s="50" t="n"/>
      <c r="C137" s="50" t="n"/>
      <c r="D137" s="50" t="n"/>
      <c r="E137" s="50" t="n"/>
      <c r="F137" s="50" t="n"/>
      <c r="G137" s="50" t="n"/>
      <c r="H137" s="50" t="n"/>
      <c r="I137" s="171" t="n"/>
      <c r="L137" s="154" t="n"/>
    </row>
    <row r="138" ht="15.75" customHeight="1" s="205">
      <c r="B138" s="50" t="n"/>
      <c r="C138" s="50" t="n"/>
      <c r="D138" s="50" t="n"/>
      <c r="E138" s="50" t="n"/>
      <c r="F138" s="50" t="n"/>
      <c r="G138" s="50" t="n"/>
      <c r="H138" s="50" t="n"/>
      <c r="I138" s="171" t="n"/>
      <c r="L138" s="154" t="n"/>
    </row>
    <row r="139" ht="15.75" customHeight="1" s="205">
      <c r="B139" s="50" t="n"/>
      <c r="C139" s="50" t="n"/>
      <c r="D139" s="50" t="n"/>
      <c r="E139" s="50" t="n"/>
      <c r="F139" s="50" t="n"/>
      <c r="G139" s="50" t="n"/>
      <c r="H139" s="50" t="n"/>
      <c r="I139" s="171" t="n"/>
      <c r="L139" s="154" t="n"/>
    </row>
    <row r="140" ht="15.75" customHeight="1" s="205">
      <c r="B140" s="50" t="n"/>
      <c r="C140" s="50" t="n"/>
      <c r="D140" s="50" t="n"/>
      <c r="E140" s="50" t="n"/>
      <c r="F140" s="50" t="n"/>
      <c r="G140" s="50" t="n"/>
      <c r="H140" s="50" t="n"/>
      <c r="I140" s="171" t="n"/>
      <c r="L140" s="154" t="n"/>
    </row>
    <row r="141" ht="15.75" customHeight="1" s="205">
      <c r="B141" s="50" t="n"/>
      <c r="C141" s="50" t="n"/>
      <c r="D141" s="50" t="n"/>
      <c r="E141" s="50" t="n"/>
      <c r="F141" s="50" t="n"/>
      <c r="G141" s="50" t="n"/>
      <c r="H141" s="50" t="n"/>
      <c r="I141" s="171" t="n"/>
      <c r="L141" s="154" t="n"/>
    </row>
    <row r="142" ht="15.75" customHeight="1" s="205">
      <c r="B142" s="50" t="n"/>
      <c r="C142" s="50" t="n"/>
      <c r="D142" s="50" t="n"/>
      <c r="E142" s="50" t="n"/>
      <c r="F142" s="50" t="n"/>
      <c r="G142" s="50" t="n"/>
      <c r="H142" s="50" t="n"/>
      <c r="I142" s="171" t="n"/>
      <c r="L142" s="154" t="n"/>
    </row>
    <row r="143" ht="15.75" customHeight="1" s="205">
      <c r="B143" s="50" t="n"/>
      <c r="C143" s="50" t="n"/>
      <c r="D143" s="50" t="n"/>
      <c r="E143" s="50" t="n"/>
      <c r="F143" s="50" t="n"/>
      <c r="G143" s="50" t="n"/>
      <c r="H143" s="50" t="n"/>
      <c r="I143" s="171" t="n"/>
      <c r="L143" s="154" t="n"/>
    </row>
    <row r="144" ht="15.75" customHeight="1" s="205">
      <c r="B144" s="50" t="n"/>
      <c r="C144" s="50" t="n"/>
      <c r="D144" s="50" t="n"/>
      <c r="E144" s="50" t="n"/>
      <c r="F144" s="50" t="n"/>
      <c r="G144" s="50" t="n"/>
      <c r="H144" s="50" t="n"/>
      <c r="I144" s="171" t="n"/>
      <c r="L144" s="154" t="n"/>
    </row>
    <row r="145" ht="15.75" customHeight="1" s="205">
      <c r="B145" s="50" t="n"/>
      <c r="C145" s="50" t="n"/>
      <c r="D145" s="50" t="n"/>
      <c r="E145" s="50" t="n"/>
      <c r="F145" s="50" t="n"/>
      <c r="G145" s="50" t="n"/>
      <c r="H145" s="50" t="n"/>
      <c r="I145" s="171" t="n"/>
      <c r="L145" s="154" t="n"/>
    </row>
    <row r="146" ht="15.75" customHeight="1" s="205">
      <c r="B146" s="50" t="n"/>
      <c r="C146" s="50" t="n"/>
      <c r="D146" s="50" t="n"/>
      <c r="E146" s="50" t="n"/>
      <c r="F146" s="50" t="n"/>
      <c r="G146" s="50" t="n"/>
      <c r="H146" s="50" t="n"/>
      <c r="I146" s="171" t="n"/>
      <c r="L146" s="154" t="n"/>
    </row>
    <row r="147" ht="15.75" customHeight="1" s="205">
      <c r="B147" s="50" t="n"/>
      <c r="C147" s="50" t="n"/>
      <c r="D147" s="50" t="n"/>
      <c r="E147" s="50" t="n"/>
      <c r="F147" s="50" t="n"/>
      <c r="G147" s="50" t="n"/>
      <c r="H147" s="50" t="n"/>
      <c r="I147" s="171" t="n"/>
      <c r="L147" s="154" t="n"/>
    </row>
    <row r="148" ht="15.75" customHeight="1" s="205">
      <c r="B148" s="50" t="n"/>
      <c r="C148" s="50" t="n"/>
      <c r="D148" s="50" t="n"/>
      <c r="E148" s="50" t="n"/>
      <c r="F148" s="50" t="n"/>
      <c r="G148" s="50" t="n"/>
      <c r="H148" s="50" t="n"/>
      <c r="I148" s="171" t="n"/>
      <c r="L148" s="154" t="n"/>
    </row>
    <row r="149" ht="15.75" customHeight="1" s="205">
      <c r="B149" s="50" t="n"/>
      <c r="C149" s="50" t="n"/>
      <c r="D149" s="50" t="n"/>
      <c r="E149" s="50" t="n"/>
      <c r="F149" s="50" t="n"/>
      <c r="G149" s="50" t="n"/>
      <c r="H149" s="50" t="n"/>
      <c r="I149" s="171" t="n"/>
      <c r="L149" s="154" t="n"/>
    </row>
    <row r="150" ht="15.75" customHeight="1" s="205">
      <c r="B150" s="50" t="n"/>
      <c r="C150" s="50" t="n"/>
      <c r="D150" s="50" t="n"/>
      <c r="E150" s="50" t="n"/>
      <c r="F150" s="50" t="n"/>
      <c r="G150" s="50" t="n"/>
      <c r="H150" s="50" t="n"/>
      <c r="I150" s="171" t="n"/>
      <c r="L150" s="154" t="n"/>
    </row>
    <row r="151" ht="15.75" customHeight="1" s="205">
      <c r="B151" s="50" t="n"/>
      <c r="C151" s="50" t="n"/>
      <c r="D151" s="50" t="n"/>
      <c r="E151" s="50" t="n"/>
      <c r="F151" s="50" t="n"/>
      <c r="G151" s="50" t="n"/>
      <c r="H151" s="50" t="n"/>
      <c r="I151" s="171" t="n"/>
      <c r="L151" s="154" t="n"/>
    </row>
    <row r="152" ht="15.75" customHeight="1" s="205">
      <c r="B152" s="50" t="n"/>
      <c r="C152" s="50" t="n"/>
      <c r="D152" s="50" t="n"/>
      <c r="E152" s="50" t="n"/>
      <c r="F152" s="50" t="n"/>
      <c r="G152" s="50" t="n"/>
      <c r="H152" s="50" t="n"/>
      <c r="I152" s="171" t="n"/>
      <c r="L152" s="154" t="n"/>
    </row>
    <row r="153" ht="15.75" customHeight="1" s="205">
      <c r="B153" s="50" t="n"/>
      <c r="C153" s="50" t="n"/>
      <c r="D153" s="50" t="n"/>
      <c r="E153" s="50" t="n"/>
      <c r="F153" s="50" t="n"/>
      <c r="G153" s="50" t="n"/>
      <c r="H153" s="50" t="n"/>
      <c r="I153" s="171" t="n"/>
      <c r="L153" s="154" t="n"/>
    </row>
    <row r="154" ht="15.75" customHeight="1" s="205">
      <c r="B154" s="50" t="n"/>
      <c r="C154" s="50" t="n"/>
      <c r="D154" s="50" t="n"/>
      <c r="E154" s="50" t="n"/>
      <c r="F154" s="50" t="n"/>
      <c r="G154" s="50" t="n"/>
      <c r="H154" s="50" t="n"/>
      <c r="I154" s="171" t="n"/>
      <c r="L154" s="154" t="n"/>
    </row>
    <row r="155" ht="15.75" customHeight="1" s="205">
      <c r="B155" s="50" t="n"/>
      <c r="C155" s="50" t="n"/>
      <c r="D155" s="50" t="n"/>
      <c r="E155" s="50" t="n"/>
      <c r="F155" s="50" t="n"/>
      <c r="G155" s="50" t="n"/>
      <c r="H155" s="50" t="n"/>
      <c r="I155" s="171" t="n"/>
      <c r="L155" s="154" t="n"/>
    </row>
    <row r="156" ht="15.75" customHeight="1" s="205">
      <c r="B156" s="50" t="n"/>
      <c r="C156" s="50" t="n"/>
      <c r="D156" s="50" t="n"/>
      <c r="E156" s="50" t="n"/>
      <c r="F156" s="50" t="n"/>
      <c r="G156" s="50" t="n"/>
      <c r="H156" s="50" t="n"/>
      <c r="I156" s="171" t="n"/>
      <c r="L156" s="154" t="n"/>
    </row>
    <row r="157" ht="15.75" customHeight="1" s="205">
      <c r="B157" s="50" t="n"/>
      <c r="C157" s="50" t="n"/>
      <c r="D157" s="50" t="n"/>
      <c r="E157" s="50" t="n"/>
      <c r="F157" s="50" t="n"/>
      <c r="G157" s="50" t="n"/>
      <c r="H157" s="50" t="n"/>
      <c r="I157" s="171" t="n"/>
      <c r="L157" s="154" t="n"/>
    </row>
    <row r="158" ht="15.75" customHeight="1" s="205">
      <c r="B158" s="50" t="n"/>
      <c r="C158" s="50" t="n"/>
      <c r="D158" s="50" t="n"/>
      <c r="E158" s="50" t="n"/>
      <c r="F158" s="50" t="n"/>
      <c r="G158" s="50" t="n"/>
      <c r="H158" s="50" t="n"/>
      <c r="I158" s="171" t="n"/>
      <c r="L158" s="154" t="n"/>
    </row>
    <row r="159" ht="15.75" customHeight="1" s="205">
      <c r="B159" s="50" t="n"/>
      <c r="C159" s="50" t="n"/>
      <c r="D159" s="50" t="n"/>
      <c r="E159" s="50" t="n"/>
      <c r="F159" s="50" t="n"/>
      <c r="G159" s="50" t="n"/>
      <c r="H159" s="50" t="n"/>
      <c r="I159" s="171" t="n"/>
      <c r="L159" s="154" t="n"/>
    </row>
    <row r="160" ht="15.75" customHeight="1" s="205">
      <c r="B160" s="50" t="n"/>
      <c r="C160" s="50" t="n"/>
      <c r="D160" s="50" t="n"/>
      <c r="E160" s="50" t="n"/>
      <c r="F160" s="50" t="n"/>
      <c r="G160" s="50" t="n"/>
      <c r="H160" s="50" t="n"/>
      <c r="I160" s="171" t="n"/>
      <c r="L160" s="154" t="n"/>
    </row>
    <row r="161" ht="15.75" customHeight="1" s="205">
      <c r="B161" s="50" t="n"/>
      <c r="C161" s="50" t="n"/>
      <c r="D161" s="50" t="n"/>
      <c r="E161" s="50" t="n"/>
      <c r="F161" s="50" t="n"/>
      <c r="G161" s="50" t="n"/>
      <c r="H161" s="50" t="n"/>
      <c r="I161" s="171" t="n"/>
      <c r="L161" s="154" t="n"/>
    </row>
    <row r="162" ht="15.75" customHeight="1" s="205">
      <c r="B162" s="50" t="n"/>
      <c r="C162" s="50" t="n"/>
      <c r="D162" s="50" t="n"/>
      <c r="E162" s="50" t="n"/>
      <c r="F162" s="50" t="n"/>
      <c r="G162" s="50" t="n"/>
      <c r="H162" s="50" t="n"/>
      <c r="I162" s="171" t="n"/>
      <c r="L162" s="154" t="n"/>
    </row>
    <row r="163" ht="15.75" customHeight="1" s="205">
      <c r="B163" s="50" t="n"/>
      <c r="C163" s="50" t="n"/>
      <c r="D163" s="50" t="n"/>
      <c r="E163" s="50" t="n"/>
      <c r="F163" s="50" t="n"/>
      <c r="G163" s="50" t="n"/>
      <c r="H163" s="50" t="n"/>
      <c r="I163" s="171" t="n"/>
      <c r="L163" s="154" t="n"/>
    </row>
    <row r="164" ht="15.75" customHeight="1" s="205">
      <c r="B164" s="50" t="n"/>
      <c r="C164" s="50" t="n"/>
      <c r="D164" s="50" t="n"/>
      <c r="E164" s="50" t="n"/>
      <c r="F164" s="50" t="n"/>
      <c r="G164" s="50" t="n"/>
      <c r="H164" s="50" t="n"/>
      <c r="I164" s="171" t="n"/>
      <c r="L164" s="154" t="n"/>
    </row>
    <row r="165" ht="15.75" customHeight="1" s="205">
      <c r="B165" s="50" t="n"/>
      <c r="C165" s="50" t="n"/>
      <c r="D165" s="50" t="n"/>
      <c r="E165" s="50" t="n"/>
      <c r="F165" s="50" t="n"/>
      <c r="G165" s="50" t="n"/>
      <c r="H165" s="50" t="n"/>
      <c r="I165" s="171" t="n"/>
      <c r="L165" s="154" t="n"/>
    </row>
    <row r="166" ht="15.75" customHeight="1" s="205">
      <c r="B166" s="50" t="n"/>
      <c r="C166" s="50" t="n"/>
      <c r="D166" s="50" t="n"/>
      <c r="E166" s="50" t="n"/>
      <c r="F166" s="50" t="n"/>
      <c r="G166" s="50" t="n"/>
      <c r="H166" s="50" t="n"/>
      <c r="I166" s="171" t="n"/>
      <c r="L166" s="154" t="n"/>
    </row>
    <row r="167" ht="15.75" customHeight="1" s="205">
      <c r="B167" s="50" t="n"/>
      <c r="C167" s="50" t="n"/>
      <c r="D167" s="50" t="n"/>
      <c r="E167" s="50" t="n"/>
      <c r="F167" s="50" t="n"/>
      <c r="G167" s="50" t="n"/>
      <c r="H167" s="50" t="n"/>
      <c r="I167" s="171" t="n"/>
      <c r="L167" s="154" t="n"/>
    </row>
    <row r="168" ht="15.75" customHeight="1" s="205">
      <c r="B168" s="50" t="n"/>
      <c r="C168" s="50" t="n"/>
      <c r="D168" s="50" t="n"/>
      <c r="E168" s="50" t="n"/>
      <c r="F168" s="50" t="n"/>
      <c r="G168" s="50" t="n"/>
      <c r="H168" s="50" t="n"/>
      <c r="I168" s="171" t="n"/>
      <c r="L168" s="154" t="n"/>
    </row>
    <row r="169" ht="15.75" customHeight="1" s="205">
      <c r="B169" s="50" t="n"/>
      <c r="C169" s="50" t="n"/>
      <c r="D169" s="50" t="n"/>
      <c r="E169" s="50" t="n"/>
      <c r="F169" s="50" t="n"/>
      <c r="G169" s="50" t="n"/>
      <c r="H169" s="50" t="n"/>
      <c r="I169" s="171" t="n"/>
      <c r="L169" s="154" t="n"/>
    </row>
    <row r="170" ht="15.75" customHeight="1" s="205">
      <c r="B170" s="50" t="n"/>
      <c r="C170" s="50" t="n"/>
      <c r="D170" s="50" t="n"/>
      <c r="E170" s="50" t="n"/>
      <c r="F170" s="50" t="n"/>
      <c r="G170" s="50" t="n"/>
      <c r="H170" s="50" t="n"/>
      <c r="I170" s="171" t="n"/>
      <c r="L170" s="154" t="n"/>
    </row>
    <row r="171" ht="15.75" customHeight="1" s="205">
      <c r="B171" s="50" t="n"/>
      <c r="C171" s="50" t="n"/>
      <c r="D171" s="50" t="n"/>
      <c r="E171" s="50" t="n"/>
      <c r="F171" s="50" t="n"/>
      <c r="G171" s="50" t="n"/>
      <c r="H171" s="50" t="n"/>
      <c r="I171" s="171" t="n"/>
      <c r="L171" s="154" t="n"/>
    </row>
    <row r="172" ht="15.75" customHeight="1" s="205">
      <c r="B172" s="50" t="n"/>
      <c r="C172" s="50" t="n"/>
      <c r="D172" s="50" t="n"/>
      <c r="E172" s="50" t="n"/>
      <c r="F172" s="50" t="n"/>
      <c r="G172" s="50" t="n"/>
      <c r="H172" s="50" t="n"/>
      <c r="I172" s="171" t="n"/>
      <c r="L172" s="154" t="n"/>
    </row>
    <row r="173" ht="15.75" customHeight="1" s="205">
      <c r="B173" s="50" t="n"/>
      <c r="C173" s="50" t="n"/>
      <c r="D173" s="50" t="n"/>
      <c r="E173" s="50" t="n"/>
      <c r="F173" s="50" t="n"/>
      <c r="G173" s="50" t="n"/>
      <c r="H173" s="50" t="n"/>
      <c r="I173" s="171" t="n"/>
      <c r="L173" s="154" t="n"/>
    </row>
    <row r="174" ht="15.75" customHeight="1" s="205">
      <c r="B174" s="50" t="n"/>
      <c r="C174" s="50" t="n"/>
      <c r="D174" s="50" t="n"/>
      <c r="E174" s="50" t="n"/>
      <c r="F174" s="50" t="n"/>
      <c r="G174" s="50" t="n"/>
      <c r="H174" s="50" t="n"/>
      <c r="I174" s="171" t="n"/>
      <c r="L174" s="154" t="n"/>
    </row>
    <row r="175" ht="15.75" customHeight="1" s="205">
      <c r="B175" s="50" t="n"/>
      <c r="C175" s="50" t="n"/>
      <c r="D175" s="50" t="n"/>
      <c r="E175" s="50" t="n"/>
      <c r="F175" s="50" t="n"/>
      <c r="G175" s="50" t="n"/>
      <c r="H175" s="50" t="n"/>
      <c r="I175" s="171" t="n"/>
      <c r="L175" s="154" t="n"/>
    </row>
    <row r="176" ht="15.75" customHeight="1" s="205">
      <c r="B176" s="50" t="n"/>
      <c r="C176" s="50" t="n"/>
      <c r="D176" s="50" t="n"/>
      <c r="E176" s="50" t="n"/>
      <c r="F176" s="50" t="n"/>
      <c r="G176" s="50" t="n"/>
      <c r="H176" s="50" t="n"/>
      <c r="I176" s="171" t="n"/>
      <c r="L176" s="154" t="n"/>
    </row>
    <row r="177" ht="15.75" customHeight="1" s="205">
      <c r="B177" s="50" t="n"/>
      <c r="C177" s="50" t="n"/>
      <c r="D177" s="50" t="n"/>
      <c r="E177" s="50" t="n"/>
      <c r="F177" s="50" t="n"/>
      <c r="G177" s="50" t="n"/>
      <c r="H177" s="50" t="n"/>
      <c r="I177" s="171" t="n"/>
      <c r="L177" s="154" t="n"/>
    </row>
    <row r="178" ht="15.75" customHeight="1" s="205">
      <c r="B178" s="50" t="n"/>
      <c r="C178" s="50" t="n"/>
      <c r="D178" s="50" t="n"/>
      <c r="E178" s="50" t="n"/>
      <c r="F178" s="50" t="n"/>
      <c r="G178" s="50" t="n"/>
      <c r="H178" s="50" t="n"/>
      <c r="I178" s="171" t="n"/>
      <c r="L178" s="154" t="n"/>
    </row>
    <row r="179" ht="15.75" customHeight="1" s="205">
      <c r="B179" s="50" t="n"/>
      <c r="C179" s="50" t="n"/>
      <c r="D179" s="50" t="n"/>
      <c r="E179" s="50" t="n"/>
      <c r="F179" s="50" t="n"/>
      <c r="G179" s="50" t="n"/>
      <c r="H179" s="50" t="n"/>
      <c r="I179" s="171" t="n"/>
      <c r="L179" s="154" t="n"/>
    </row>
    <row r="180" ht="15.75" customHeight="1" s="205">
      <c r="B180" s="50" t="n"/>
      <c r="C180" s="50" t="n"/>
      <c r="D180" s="50" t="n"/>
      <c r="E180" s="50" t="n"/>
      <c r="F180" s="50" t="n"/>
      <c r="G180" s="50" t="n"/>
      <c r="H180" s="50" t="n"/>
      <c r="I180" s="171" t="n"/>
      <c r="L180" s="154" t="n"/>
    </row>
    <row r="181" ht="15.75" customHeight="1" s="205">
      <c r="B181" s="50" t="n"/>
      <c r="C181" s="50" t="n"/>
      <c r="D181" s="50" t="n"/>
      <c r="E181" s="50" t="n"/>
      <c r="F181" s="50" t="n"/>
      <c r="G181" s="50" t="n"/>
      <c r="H181" s="50" t="n"/>
      <c r="I181" s="171" t="n"/>
      <c r="L181" s="154" t="n"/>
    </row>
    <row r="182" ht="15.75" customHeight="1" s="205">
      <c r="B182" s="50" t="n"/>
      <c r="C182" s="50" t="n"/>
      <c r="D182" s="50" t="n"/>
      <c r="E182" s="50" t="n"/>
      <c r="F182" s="50" t="n"/>
      <c r="G182" s="50" t="n"/>
      <c r="H182" s="50" t="n"/>
      <c r="I182" s="171" t="n"/>
      <c r="L182" s="154" t="n"/>
    </row>
    <row r="183" ht="15.75" customHeight="1" s="205">
      <c r="B183" s="50" t="n"/>
      <c r="C183" s="50" t="n"/>
      <c r="D183" s="50" t="n"/>
      <c r="E183" s="50" t="n"/>
      <c r="F183" s="50" t="n"/>
      <c r="G183" s="50" t="n"/>
      <c r="H183" s="50" t="n"/>
      <c r="I183" s="171" t="n"/>
      <c r="L183" s="154" t="n"/>
    </row>
    <row r="184" ht="15.75" customHeight="1" s="205">
      <c r="B184" s="50" t="n"/>
      <c r="C184" s="50" t="n"/>
      <c r="D184" s="50" t="n"/>
      <c r="E184" s="50" t="n"/>
      <c r="F184" s="50" t="n"/>
      <c r="G184" s="50" t="n"/>
      <c r="H184" s="50" t="n"/>
      <c r="I184" s="171" t="n"/>
      <c r="L184" s="154" t="n"/>
    </row>
    <row r="185" ht="15.75" customHeight="1" s="205">
      <c r="B185" s="50" t="n"/>
      <c r="C185" s="50" t="n"/>
      <c r="D185" s="50" t="n"/>
      <c r="E185" s="50" t="n"/>
      <c r="F185" s="50" t="n"/>
      <c r="G185" s="50" t="n"/>
      <c r="H185" s="50" t="n"/>
      <c r="I185" s="171" t="n"/>
      <c r="L185" s="154" t="n"/>
    </row>
    <row r="186" ht="15.75" customHeight="1" s="205">
      <c r="B186" s="50" t="n"/>
      <c r="C186" s="50" t="n"/>
      <c r="D186" s="50" t="n"/>
      <c r="E186" s="50" t="n"/>
      <c r="F186" s="50" t="n"/>
      <c r="G186" s="50" t="n"/>
      <c r="H186" s="50" t="n"/>
      <c r="I186" s="171" t="n"/>
      <c r="L186" s="154" t="n"/>
    </row>
    <row r="187" ht="15.75" customHeight="1" s="205">
      <c r="B187" s="50" t="n"/>
      <c r="C187" s="50" t="n"/>
      <c r="D187" s="50" t="n"/>
      <c r="E187" s="50" t="n"/>
      <c r="F187" s="50" t="n"/>
      <c r="G187" s="50" t="n"/>
      <c r="H187" s="50" t="n"/>
      <c r="I187" s="171" t="n"/>
      <c r="L187" s="154" t="n"/>
    </row>
    <row r="188" ht="15.75" customHeight="1" s="205">
      <c r="B188" s="50" t="n"/>
      <c r="C188" s="50" t="n"/>
      <c r="D188" s="50" t="n"/>
      <c r="E188" s="50" t="n"/>
      <c r="F188" s="50" t="n"/>
      <c r="G188" s="50" t="n"/>
      <c r="H188" s="50" t="n"/>
      <c r="I188" s="171" t="n"/>
      <c r="L188" s="154" t="n"/>
    </row>
    <row r="189" ht="15.75" customHeight="1" s="205">
      <c r="B189" s="50" t="n"/>
      <c r="C189" s="50" t="n"/>
      <c r="D189" s="50" t="n"/>
      <c r="E189" s="50" t="n"/>
      <c r="F189" s="50" t="n"/>
      <c r="G189" s="50" t="n"/>
      <c r="H189" s="50" t="n"/>
      <c r="I189" s="171" t="n"/>
      <c r="L189" s="154" t="n"/>
    </row>
    <row r="190" ht="15.75" customHeight="1" s="205">
      <c r="B190" s="50" t="n"/>
      <c r="C190" s="50" t="n"/>
      <c r="D190" s="50" t="n"/>
      <c r="E190" s="50" t="n"/>
      <c r="F190" s="50" t="n"/>
      <c r="G190" s="50" t="n"/>
      <c r="H190" s="50" t="n"/>
      <c r="I190" s="171" t="n"/>
      <c r="L190" s="154" t="n"/>
    </row>
    <row r="191" ht="15.75" customHeight="1" s="205">
      <c r="B191" s="50" t="n"/>
      <c r="C191" s="50" t="n"/>
      <c r="D191" s="50" t="n"/>
      <c r="E191" s="50" t="n"/>
      <c r="F191" s="50" t="n"/>
      <c r="G191" s="50" t="n"/>
      <c r="H191" s="50" t="n"/>
      <c r="I191" s="171" t="n"/>
      <c r="L191" s="154" t="n"/>
    </row>
    <row r="192" ht="15.75" customHeight="1" s="205">
      <c r="B192" s="50" t="n"/>
      <c r="C192" s="50" t="n"/>
      <c r="D192" s="50" t="n"/>
      <c r="E192" s="50" t="n"/>
      <c r="F192" s="50" t="n"/>
      <c r="G192" s="50" t="n"/>
      <c r="H192" s="50" t="n"/>
      <c r="I192" s="171" t="n"/>
      <c r="L192" s="154" t="n"/>
    </row>
    <row r="193" ht="15.75" customHeight="1" s="205">
      <c r="B193" s="50" t="n"/>
      <c r="C193" s="50" t="n"/>
      <c r="D193" s="50" t="n"/>
      <c r="E193" s="50" t="n"/>
      <c r="F193" s="50" t="n"/>
      <c r="G193" s="50" t="n"/>
      <c r="H193" s="50" t="n"/>
      <c r="I193" s="171" t="n"/>
      <c r="L193" s="154" t="n"/>
    </row>
    <row r="194" ht="15.75" customHeight="1" s="205">
      <c r="B194" s="50" t="n"/>
      <c r="C194" s="50" t="n"/>
      <c r="D194" s="50" t="n"/>
      <c r="E194" s="50" t="n"/>
      <c r="F194" s="50" t="n"/>
      <c r="G194" s="50" t="n"/>
      <c r="H194" s="50" t="n"/>
      <c r="I194" s="171" t="n"/>
      <c r="L194" s="154" t="n"/>
    </row>
    <row r="195" ht="15.75" customHeight="1" s="205">
      <c r="B195" s="50" t="n"/>
      <c r="C195" s="50" t="n"/>
      <c r="D195" s="50" t="n"/>
      <c r="E195" s="50" t="n"/>
      <c r="F195" s="50" t="n"/>
      <c r="G195" s="50" t="n"/>
      <c r="H195" s="50" t="n"/>
      <c r="I195" s="171" t="n"/>
      <c r="L195" s="154" t="n"/>
    </row>
    <row r="196" ht="15.75" customHeight="1" s="205">
      <c r="B196" s="50" t="n"/>
      <c r="C196" s="50" t="n"/>
      <c r="D196" s="50" t="n"/>
      <c r="E196" s="50" t="n"/>
      <c r="F196" s="50" t="n"/>
      <c r="G196" s="50" t="n"/>
      <c r="H196" s="50" t="n"/>
      <c r="I196" s="171" t="n"/>
      <c r="L196" s="154" t="n"/>
    </row>
    <row r="197" ht="15.75" customHeight="1" s="205">
      <c r="B197" s="50" t="n"/>
      <c r="C197" s="50" t="n"/>
      <c r="D197" s="50" t="n"/>
      <c r="E197" s="50" t="n"/>
      <c r="F197" s="50" t="n"/>
      <c r="G197" s="50" t="n"/>
      <c r="H197" s="50" t="n"/>
      <c r="I197" s="171" t="n"/>
      <c r="L197" s="154" t="n"/>
    </row>
    <row r="198" ht="15.75" customHeight="1" s="205">
      <c r="B198" s="50" t="n"/>
      <c r="C198" s="50" t="n"/>
      <c r="D198" s="50" t="n"/>
      <c r="E198" s="50" t="n"/>
      <c r="F198" s="50" t="n"/>
      <c r="G198" s="50" t="n"/>
      <c r="H198" s="50" t="n"/>
      <c r="I198" s="171" t="n"/>
      <c r="L198" s="154" t="n"/>
    </row>
    <row r="199" ht="15.75" customHeight="1" s="205">
      <c r="B199" s="50" t="n"/>
      <c r="C199" s="50" t="n"/>
      <c r="D199" s="50" t="n"/>
      <c r="E199" s="50" t="n"/>
      <c r="F199" s="50" t="n"/>
      <c r="G199" s="50" t="n"/>
      <c r="H199" s="50" t="n"/>
      <c r="I199" s="171" t="n"/>
      <c r="L199" s="154" t="n"/>
    </row>
    <row r="200" ht="15.75" customHeight="1" s="205">
      <c r="B200" s="50" t="n"/>
      <c r="C200" s="50" t="n"/>
      <c r="D200" s="50" t="n"/>
      <c r="E200" s="50" t="n"/>
      <c r="F200" s="50" t="n"/>
      <c r="G200" s="50" t="n"/>
      <c r="H200" s="50" t="n"/>
      <c r="I200" s="171" t="n"/>
      <c r="L200" s="154" t="n"/>
    </row>
    <row r="201" ht="15.75" customHeight="1" s="205">
      <c r="B201" s="50" t="n"/>
      <c r="C201" s="50" t="n"/>
      <c r="D201" s="50" t="n"/>
      <c r="E201" s="50" t="n"/>
      <c r="F201" s="50" t="n"/>
      <c r="G201" s="50" t="n"/>
      <c r="H201" s="50" t="n"/>
      <c r="I201" s="171" t="n"/>
      <c r="L201" s="154" t="n"/>
    </row>
    <row r="202" ht="15.75" customHeight="1" s="205">
      <c r="B202" s="50" t="n"/>
      <c r="C202" s="50" t="n"/>
      <c r="D202" s="50" t="n"/>
      <c r="E202" s="50" t="n"/>
      <c r="F202" s="50" t="n"/>
      <c r="G202" s="50" t="n"/>
      <c r="H202" s="50" t="n"/>
      <c r="I202" s="171" t="n"/>
      <c r="L202" s="154" t="n"/>
    </row>
    <row r="203" ht="15.75" customHeight="1" s="205">
      <c r="B203" s="50" t="n"/>
      <c r="C203" s="50" t="n"/>
      <c r="D203" s="50" t="n"/>
      <c r="E203" s="50" t="n"/>
      <c r="F203" s="50" t="n"/>
      <c r="G203" s="50" t="n"/>
      <c r="H203" s="50" t="n"/>
      <c r="I203" s="171" t="n"/>
      <c r="L203" s="154" t="n"/>
    </row>
    <row r="204" ht="15.75" customHeight="1" s="205">
      <c r="B204" s="50" t="n"/>
      <c r="C204" s="50" t="n"/>
      <c r="D204" s="50" t="n"/>
      <c r="E204" s="50" t="n"/>
      <c r="F204" s="50" t="n"/>
      <c r="G204" s="50" t="n"/>
      <c r="H204" s="50" t="n"/>
      <c r="I204" s="171" t="n"/>
      <c r="L204" s="154" t="n"/>
    </row>
    <row r="205" ht="15.75" customHeight="1" s="205">
      <c r="B205" s="50" t="n"/>
      <c r="C205" s="50" t="n"/>
      <c r="D205" s="50" t="n"/>
      <c r="E205" s="50" t="n"/>
      <c r="F205" s="50" t="n"/>
      <c r="G205" s="50" t="n"/>
      <c r="H205" s="50" t="n"/>
      <c r="I205" s="171" t="n"/>
      <c r="L205" s="154" t="n"/>
    </row>
    <row r="206" ht="15.75" customHeight="1" s="205">
      <c r="B206" s="50" t="n"/>
      <c r="C206" s="50" t="n"/>
      <c r="D206" s="50" t="n"/>
      <c r="E206" s="50" t="n"/>
      <c r="F206" s="50" t="n"/>
      <c r="G206" s="50" t="n"/>
      <c r="H206" s="50" t="n"/>
      <c r="I206" s="171" t="n"/>
      <c r="L206" s="154" t="n"/>
    </row>
    <row r="207" ht="15.75" customHeight="1" s="205">
      <c r="B207" s="50" t="n"/>
      <c r="C207" s="50" t="n"/>
      <c r="D207" s="50" t="n"/>
      <c r="E207" s="50" t="n"/>
      <c r="F207" s="50" t="n"/>
      <c r="G207" s="50" t="n"/>
      <c r="H207" s="50" t="n"/>
      <c r="I207" s="171" t="n"/>
      <c r="L207" s="154" t="n"/>
    </row>
    <row r="208" ht="15.75" customHeight="1" s="205">
      <c r="B208" s="50" t="n"/>
      <c r="C208" s="50" t="n"/>
      <c r="D208" s="50" t="n"/>
      <c r="E208" s="50" t="n"/>
      <c r="F208" s="50" t="n"/>
      <c r="G208" s="50" t="n"/>
      <c r="H208" s="50" t="n"/>
      <c r="I208" s="171" t="n"/>
      <c r="L208" s="154" t="n"/>
    </row>
    <row r="209" ht="15.75" customHeight="1" s="205">
      <c r="B209" s="50" t="n"/>
      <c r="C209" s="50" t="n"/>
      <c r="D209" s="50" t="n"/>
      <c r="E209" s="50" t="n"/>
      <c r="F209" s="50" t="n"/>
      <c r="G209" s="50" t="n"/>
      <c r="H209" s="50" t="n"/>
      <c r="I209" s="171" t="n"/>
      <c r="L209" s="154" t="n"/>
    </row>
    <row r="210" ht="15.75" customHeight="1" s="205">
      <c r="B210" s="50" t="n"/>
      <c r="C210" s="50" t="n"/>
      <c r="D210" s="50" t="n"/>
      <c r="E210" s="50" t="n"/>
      <c r="F210" s="50" t="n"/>
      <c r="G210" s="50" t="n"/>
      <c r="H210" s="50" t="n"/>
      <c r="I210" s="171" t="n"/>
      <c r="L210" s="154" t="n"/>
    </row>
    <row r="211" ht="15.75" customHeight="1" s="205">
      <c r="B211" s="50" t="n"/>
      <c r="C211" s="50" t="n"/>
      <c r="D211" s="50" t="n"/>
      <c r="E211" s="50" t="n"/>
      <c r="F211" s="50" t="n"/>
      <c r="G211" s="50" t="n"/>
      <c r="H211" s="50" t="n"/>
      <c r="I211" s="171" t="n"/>
      <c r="L211" s="154" t="n"/>
    </row>
    <row r="212" ht="15.75" customHeight="1" s="205">
      <c r="B212" s="50" t="n"/>
      <c r="C212" s="50" t="n"/>
      <c r="D212" s="50" t="n"/>
      <c r="E212" s="50" t="n"/>
      <c r="F212" s="50" t="n"/>
      <c r="G212" s="50" t="n"/>
      <c r="H212" s="50" t="n"/>
      <c r="I212" s="171" t="n"/>
      <c r="L212" s="154" t="n"/>
    </row>
    <row r="213" ht="15.75" customHeight="1" s="205">
      <c r="B213" s="50" t="n"/>
      <c r="C213" s="50" t="n"/>
      <c r="D213" s="50" t="n"/>
      <c r="E213" s="50" t="n"/>
      <c r="F213" s="50" t="n"/>
      <c r="G213" s="50" t="n"/>
      <c r="H213" s="50" t="n"/>
      <c r="I213" s="171" t="n"/>
      <c r="L213" s="154" t="n"/>
    </row>
    <row r="214" ht="15.75" customHeight="1" s="205">
      <c r="B214" s="50" t="n"/>
      <c r="C214" s="50" t="n"/>
      <c r="D214" s="50" t="n"/>
      <c r="E214" s="50" t="n"/>
      <c r="F214" s="50" t="n"/>
      <c r="G214" s="50" t="n"/>
      <c r="H214" s="50" t="n"/>
      <c r="I214" s="171" t="n"/>
      <c r="L214" s="154" t="n"/>
    </row>
    <row r="215" ht="15.75" customHeight="1" s="205">
      <c r="B215" s="50" t="n"/>
      <c r="C215" s="50" t="n"/>
      <c r="D215" s="50" t="n"/>
      <c r="E215" s="50" t="n"/>
      <c r="F215" s="50" t="n"/>
      <c r="G215" s="50" t="n"/>
      <c r="H215" s="50" t="n"/>
      <c r="I215" s="171" t="n"/>
      <c r="L215" s="154" t="n"/>
    </row>
    <row r="216" ht="15.75" customHeight="1" s="205">
      <c r="B216" s="50" t="n"/>
      <c r="C216" s="50" t="n"/>
      <c r="D216" s="50" t="n"/>
      <c r="E216" s="50" t="n"/>
      <c r="F216" s="50" t="n"/>
      <c r="G216" s="50" t="n"/>
      <c r="H216" s="50" t="n"/>
      <c r="I216" s="171" t="n"/>
      <c r="L216" s="154" t="n"/>
    </row>
    <row r="217" ht="15.75" customHeight="1" s="205">
      <c r="B217" s="50" t="n"/>
      <c r="C217" s="50" t="n"/>
      <c r="D217" s="50" t="n"/>
      <c r="E217" s="50" t="n"/>
      <c r="F217" s="50" t="n"/>
      <c r="G217" s="50" t="n"/>
      <c r="H217" s="50" t="n"/>
      <c r="I217" s="171" t="n"/>
      <c r="L217" s="154" t="n"/>
    </row>
    <row r="218" ht="15.75" customHeight="1" s="205">
      <c r="B218" s="50" t="n"/>
      <c r="C218" s="50" t="n"/>
      <c r="D218" s="50" t="n"/>
      <c r="E218" s="50" t="n"/>
      <c r="F218" s="50" t="n"/>
      <c r="G218" s="50" t="n"/>
      <c r="H218" s="50" t="n"/>
      <c r="I218" s="171" t="n"/>
      <c r="L218" s="154" t="n"/>
    </row>
    <row r="219" ht="15.75" customHeight="1" s="205">
      <c r="B219" s="50" t="n"/>
      <c r="C219" s="50" t="n"/>
      <c r="D219" s="50" t="n"/>
      <c r="E219" s="50" t="n"/>
      <c r="F219" s="50" t="n"/>
      <c r="G219" s="50" t="n"/>
      <c r="H219" s="50" t="n"/>
      <c r="I219" s="171" t="n"/>
      <c r="L219" s="154" t="n"/>
    </row>
    <row r="220" ht="15.75" customHeight="1" s="205">
      <c r="B220" s="50" t="n"/>
      <c r="C220" s="50" t="n"/>
      <c r="D220" s="50" t="n"/>
      <c r="E220" s="50" t="n"/>
      <c r="F220" s="50" t="n"/>
      <c r="G220" s="50" t="n"/>
      <c r="H220" s="50" t="n"/>
      <c r="I220" s="171" t="n"/>
      <c r="L220" s="154" t="n"/>
    </row>
    <row r="221" ht="15.75" customHeight="1" s="205">
      <c r="B221" s="50" t="n"/>
      <c r="C221" s="50" t="n"/>
      <c r="D221" s="50" t="n"/>
      <c r="E221" s="50" t="n"/>
      <c r="F221" s="50" t="n"/>
      <c r="G221" s="50" t="n"/>
      <c r="H221" s="50" t="n"/>
      <c r="I221" s="171" t="n"/>
      <c r="L221" s="154" t="n"/>
    </row>
    <row r="222" ht="15.75" customHeight="1" s="205">
      <c r="B222" s="50" t="n"/>
      <c r="C222" s="50" t="n"/>
      <c r="D222" s="50" t="n"/>
      <c r="E222" s="50" t="n"/>
      <c r="F222" s="50" t="n"/>
      <c r="G222" s="50" t="n"/>
      <c r="H222" s="50" t="n"/>
      <c r="I222" s="171" t="n"/>
      <c r="L222" s="154" t="n"/>
    </row>
    <row r="223" ht="15.75" customHeight="1" s="205">
      <c r="B223" s="50" t="n"/>
      <c r="C223" s="50" t="n"/>
      <c r="D223" s="50" t="n"/>
      <c r="E223" s="50" t="n"/>
      <c r="F223" s="50" t="n"/>
      <c r="G223" s="50" t="n"/>
      <c r="H223" s="50" t="n"/>
      <c r="I223" s="171" t="n"/>
      <c r="L223" s="154" t="n"/>
    </row>
    <row r="224" ht="15.75" customHeight="1" s="205">
      <c r="B224" s="50" t="n"/>
      <c r="C224" s="50" t="n"/>
      <c r="D224" s="50" t="n"/>
      <c r="E224" s="50" t="n"/>
      <c r="F224" s="50" t="n"/>
      <c r="G224" s="50" t="n"/>
      <c r="H224" s="50" t="n"/>
      <c r="I224" s="171" t="n"/>
      <c r="L224" s="154" t="n"/>
    </row>
    <row r="225" ht="15.75" customHeight="1" s="205">
      <c r="B225" s="50" t="n"/>
      <c r="C225" s="50" t="n"/>
      <c r="D225" s="50" t="n"/>
      <c r="E225" s="50" t="n"/>
      <c r="F225" s="50" t="n"/>
      <c r="G225" s="50" t="n"/>
      <c r="H225" s="50" t="n"/>
      <c r="I225" s="171" t="n"/>
      <c r="L225" s="154" t="n"/>
    </row>
    <row r="226" ht="15.75" customHeight="1" s="205">
      <c r="B226" s="50" t="n"/>
      <c r="C226" s="50" t="n"/>
      <c r="D226" s="50" t="n"/>
      <c r="E226" s="50" t="n"/>
      <c r="F226" s="50" t="n"/>
      <c r="G226" s="50" t="n"/>
      <c r="H226" s="50" t="n"/>
      <c r="I226" s="171" t="n"/>
      <c r="L226" s="154" t="n"/>
    </row>
    <row r="227" ht="15.75" customHeight="1" s="205">
      <c r="B227" s="50" t="n"/>
      <c r="C227" s="50" t="n"/>
      <c r="D227" s="50" t="n"/>
      <c r="E227" s="50" t="n"/>
      <c r="F227" s="50" t="n"/>
      <c r="G227" s="50" t="n"/>
      <c r="H227" s="50" t="n"/>
      <c r="I227" s="171" t="n"/>
      <c r="L227" s="154" t="n"/>
    </row>
    <row r="228" ht="15.75" customHeight="1" s="205">
      <c r="B228" s="50" t="n"/>
      <c r="C228" s="50" t="n"/>
      <c r="D228" s="50" t="n"/>
      <c r="E228" s="50" t="n"/>
      <c r="F228" s="50" t="n"/>
      <c r="G228" s="50" t="n"/>
      <c r="H228" s="50" t="n"/>
      <c r="I228" s="171" t="n"/>
      <c r="L228" s="154" t="n"/>
    </row>
    <row r="229" ht="15.75" customHeight="1" s="205">
      <c r="B229" s="50" t="n"/>
      <c r="C229" s="50" t="n"/>
      <c r="D229" s="50" t="n"/>
      <c r="E229" s="50" t="n"/>
      <c r="F229" s="50" t="n"/>
      <c r="G229" s="50" t="n"/>
      <c r="H229" s="50" t="n"/>
      <c r="I229" s="171" t="n"/>
      <c r="L229" s="154" t="n"/>
    </row>
    <row r="230" ht="15.75" customHeight="1" s="205">
      <c r="B230" s="50" t="n"/>
      <c r="C230" s="50" t="n"/>
      <c r="D230" s="50" t="n"/>
      <c r="E230" s="50" t="n"/>
      <c r="F230" s="50" t="n"/>
      <c r="G230" s="50" t="n"/>
      <c r="H230" s="50" t="n"/>
      <c r="I230" s="171" t="n"/>
      <c r="L230" s="154" t="n"/>
    </row>
    <row r="231" ht="15.75" customHeight="1" s="205">
      <c r="B231" s="50" t="n"/>
      <c r="C231" s="50" t="n"/>
      <c r="D231" s="50" t="n"/>
      <c r="E231" s="50" t="n"/>
      <c r="F231" s="50" t="n"/>
      <c r="G231" s="50" t="n"/>
      <c r="H231" s="50" t="n"/>
      <c r="I231" s="171" t="n"/>
      <c r="L231" s="154" t="n"/>
    </row>
    <row r="232" ht="15.75" customHeight="1" s="205">
      <c r="B232" s="50" t="n"/>
      <c r="C232" s="50" t="n"/>
      <c r="D232" s="50" t="n"/>
      <c r="E232" s="50" t="n"/>
      <c r="F232" s="50" t="n"/>
      <c r="G232" s="50" t="n"/>
      <c r="H232" s="50" t="n"/>
      <c r="I232" s="171" t="n"/>
      <c r="L232" s="154" t="n"/>
    </row>
    <row r="233" ht="15.75" customHeight="1" s="205">
      <c r="B233" s="50" t="n"/>
      <c r="C233" s="50" t="n"/>
      <c r="D233" s="50" t="n"/>
      <c r="E233" s="50" t="n"/>
      <c r="F233" s="50" t="n"/>
      <c r="G233" s="50" t="n"/>
      <c r="H233" s="50" t="n"/>
      <c r="I233" s="171" t="n"/>
      <c r="L233" s="154" t="n"/>
    </row>
    <row r="234" ht="15.75" customHeight="1" s="205">
      <c r="B234" s="50" t="n"/>
      <c r="C234" s="50" t="n"/>
      <c r="D234" s="50" t="n"/>
      <c r="E234" s="50" t="n"/>
      <c r="F234" s="50" t="n"/>
      <c r="G234" s="50" t="n"/>
      <c r="H234" s="50" t="n"/>
      <c r="I234" s="171" t="n"/>
      <c r="L234" s="154" t="n"/>
    </row>
    <row r="235" ht="15.75" customHeight="1" s="205">
      <c r="B235" s="50" t="n"/>
      <c r="C235" s="50" t="n"/>
      <c r="D235" s="50" t="n"/>
      <c r="E235" s="50" t="n"/>
      <c r="F235" s="50" t="n"/>
      <c r="G235" s="50" t="n"/>
      <c r="H235" s="50" t="n"/>
      <c r="I235" s="171" t="n"/>
      <c r="L235" s="154" t="n"/>
    </row>
    <row r="236" ht="15.75" customHeight="1" s="205">
      <c r="B236" s="50" t="n"/>
      <c r="C236" s="50" t="n"/>
      <c r="D236" s="50" t="n"/>
      <c r="E236" s="50" t="n"/>
      <c r="F236" s="50" t="n"/>
      <c r="G236" s="50" t="n"/>
      <c r="H236" s="50" t="n"/>
      <c r="I236" s="171" t="n"/>
      <c r="L236" s="154" t="n"/>
    </row>
    <row r="237" ht="15.75" customHeight="1" s="205">
      <c r="B237" s="50" t="n"/>
      <c r="C237" s="50" t="n"/>
      <c r="D237" s="50" t="n"/>
      <c r="E237" s="50" t="n"/>
      <c r="F237" s="50" t="n"/>
      <c r="G237" s="50" t="n"/>
      <c r="H237" s="50" t="n"/>
      <c r="I237" s="171" t="n"/>
      <c r="L237" s="154" t="n"/>
    </row>
    <row r="238" ht="15.75" customHeight="1" s="205">
      <c r="B238" s="50" t="n"/>
      <c r="C238" s="50" t="n"/>
      <c r="D238" s="50" t="n"/>
      <c r="E238" s="50" t="n"/>
      <c r="F238" s="50" t="n"/>
      <c r="G238" s="50" t="n"/>
      <c r="H238" s="50" t="n"/>
      <c r="I238" s="171" t="n"/>
      <c r="L238" s="154" t="n"/>
    </row>
    <row r="239" ht="15.75" customHeight="1" s="205">
      <c r="B239" s="50" t="n"/>
      <c r="C239" s="50" t="n"/>
      <c r="D239" s="50" t="n"/>
      <c r="E239" s="50" t="n"/>
      <c r="F239" s="50" t="n"/>
      <c r="G239" s="50" t="n"/>
      <c r="H239" s="50" t="n"/>
      <c r="I239" s="171" t="n"/>
      <c r="L239" s="154" t="n"/>
    </row>
    <row r="240" ht="15.75" customHeight="1" s="205">
      <c r="B240" s="50" t="n"/>
      <c r="C240" s="50" t="n"/>
      <c r="D240" s="50" t="n"/>
      <c r="E240" s="50" t="n"/>
      <c r="F240" s="50" t="n"/>
      <c r="G240" s="50" t="n"/>
      <c r="H240" s="50" t="n"/>
      <c r="I240" s="171" t="n"/>
      <c r="L240" s="154" t="n"/>
    </row>
    <row r="241" ht="15.75" customHeight="1" s="205">
      <c r="B241" s="50" t="n"/>
      <c r="C241" s="50" t="n"/>
      <c r="D241" s="50" t="n"/>
      <c r="E241" s="50" t="n"/>
      <c r="F241" s="50" t="n"/>
      <c r="G241" s="50" t="n"/>
      <c r="H241" s="50" t="n"/>
      <c r="I241" s="171" t="n"/>
      <c r="L241" s="154" t="n"/>
    </row>
    <row r="242" ht="15.75" customHeight="1" s="205">
      <c r="B242" s="50" t="n"/>
      <c r="C242" s="50" t="n"/>
      <c r="D242" s="50" t="n"/>
      <c r="E242" s="50" t="n"/>
      <c r="F242" s="50" t="n"/>
      <c r="G242" s="50" t="n"/>
      <c r="H242" s="50" t="n"/>
      <c r="I242" s="171" t="n"/>
      <c r="L242" s="154" t="n"/>
    </row>
    <row r="243" ht="15.75" customHeight="1" s="205">
      <c r="B243" s="50" t="n"/>
      <c r="C243" s="50" t="n"/>
      <c r="D243" s="50" t="n"/>
      <c r="E243" s="50" t="n"/>
      <c r="F243" s="50" t="n"/>
      <c r="G243" s="50" t="n"/>
      <c r="H243" s="50" t="n"/>
      <c r="I243" s="171" t="n"/>
      <c r="L243" s="154" t="n"/>
    </row>
    <row r="244" ht="15.75" customHeight="1" s="205">
      <c r="B244" s="50" t="n"/>
      <c r="C244" s="50" t="n"/>
      <c r="D244" s="50" t="n"/>
      <c r="E244" s="50" t="n"/>
      <c r="F244" s="50" t="n"/>
      <c r="G244" s="50" t="n"/>
      <c r="H244" s="50" t="n"/>
      <c r="I244" s="171" t="n"/>
      <c r="L244" s="154" t="n"/>
    </row>
    <row r="245" ht="15.75" customHeight="1" s="205">
      <c r="B245" s="50" t="n"/>
      <c r="C245" s="50" t="n"/>
      <c r="D245" s="50" t="n"/>
      <c r="E245" s="50" t="n"/>
      <c r="F245" s="50" t="n"/>
      <c r="G245" s="50" t="n"/>
      <c r="H245" s="50" t="n"/>
      <c r="I245" s="171" t="n"/>
      <c r="L245" s="154" t="n"/>
    </row>
    <row r="246" ht="15.75" customHeight="1" s="205">
      <c r="B246" s="50" t="n"/>
      <c r="C246" s="50" t="n"/>
      <c r="D246" s="50" t="n"/>
      <c r="E246" s="50" t="n"/>
      <c r="F246" s="50" t="n"/>
      <c r="G246" s="50" t="n"/>
      <c r="H246" s="50" t="n"/>
      <c r="I246" s="171" t="n"/>
      <c r="L246" s="154" t="n"/>
    </row>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row r="987" ht="15.75" customHeight="1" s="205"/>
    <row r="988" ht="15.75" customHeight="1" s="205"/>
    <row r="989" ht="15.75" customHeight="1" s="205"/>
    <row r="990" ht="15.75" customHeight="1" s="205"/>
    <row r="991" ht="15.75" customHeight="1" s="205"/>
    <row r="992" ht="15.75" customHeight="1" s="205"/>
    <row r="993" ht="15.75" customHeight="1" s="205"/>
    <row r="994" ht="15.75" customHeight="1" s="205"/>
    <row r="995" ht="15.75" customHeight="1" s="205"/>
    <row r="996" ht="15.75" customHeight="1" s="205"/>
    <row r="997" ht="15.75" customHeight="1" s="205"/>
    <row r="998" ht="15.75" customHeight="1" s="205"/>
    <row r="999" ht="15.75" customHeight="1" s="205"/>
    <row r="1000" ht="15.75" customHeight="1" s="205"/>
  </sheetData>
  <mergeCells count="29">
    <mergeCell ref="H20:H34"/>
    <mergeCell ref="B18:H19"/>
    <mergeCell ref="F38:F51"/>
    <mergeCell ref="G4:G17"/>
    <mergeCell ref="A21:A51"/>
    <mergeCell ref="B4:B17"/>
    <mergeCell ref="C38:C51"/>
    <mergeCell ref="F4:F17"/>
    <mergeCell ref="J20:J21"/>
    <mergeCell ref="D38:D51"/>
    <mergeCell ref="G21:G34"/>
    <mergeCell ref="J37:J46"/>
    <mergeCell ref="B1:H2"/>
    <mergeCell ref="E21:E34"/>
    <mergeCell ref="C4:C17"/>
    <mergeCell ref="E4:E17"/>
    <mergeCell ref="B21:B34"/>
    <mergeCell ref="D21:D34"/>
    <mergeCell ref="H37:H51"/>
    <mergeCell ref="A1:A20"/>
    <mergeCell ref="J4:J13"/>
    <mergeCell ref="F21:F34"/>
    <mergeCell ref="H3:H17"/>
    <mergeCell ref="E38:E51"/>
    <mergeCell ref="G38:G51"/>
    <mergeCell ref="D4:D17"/>
    <mergeCell ref="C21:C34"/>
    <mergeCell ref="B38:B51"/>
    <mergeCell ref="B35:H36"/>
  </mergeCells>
  <dataValidations count="6">
    <dataValidation sqref="D21 K20:K21" showDropDown="0" showInputMessage="0" showErrorMessage="1" allowBlank="1" type="list">
      <formula1>"Musik Hook,Sound Effect"</formula1>
    </dataValidation>
    <dataValidation sqref="D38" showDropDown="0" showInputMessage="0" showErrorMessage="1" allowBlank="1" type="list">
      <formula1>"Gerakan Badan,Gerakan Kamera,Transisi Object,Eye Contact,Simbol Visual,Text Highlight,Motion Zoom In/Out,Flash Cuts/Jump Cuts,Elemet Pop-Up,Color Shock"</formula1>
    </dataValidation>
    <dataValidation sqref="D4" showDropDown="0" showInputMessage="0" showErrorMessage="1" allowBlank="1" type="list">
      <formula1>"Bold Declaration,Data Shcok,Disruption Hook,Emotional Question,Flip Belief,Mirror Prompt,Pain Trigger,Real Talk,Reversal Trigger,Urgency Cue"</formula1>
    </dataValidation>
    <dataValidation sqref="K37:K46" showDropDown="0" showInputMessage="0" showErrorMessage="1" allowBlank="1" type="list">
      <formula1>"Color Shock,Element Pop-Up,Eye Contact,Flash Cuts/Jump Cuts,Gerakan Badan,Gerakan Kamera,Motion Zoom In/Out,Simbol Visual,Text Highligh,Transisi Object"</formula1>
    </dataValidation>
    <dataValidation sqref="G4 G21 G38" showDropDown="0" showInputMessage="0" showErrorMessage="1" allowBlank="1" type="list">
      <formula1>"Anger (Marah),Disgust (Penolakan),Sadness (Sedih),Fear (Takut),Joy (Bahagia),Anticipation (Penantian),Surprise (Keterkejutan),Trust (Kepercayaan)"</formula1>
    </dataValidation>
    <dataValidation sqref="K4:K13" showDropDown="0" showInputMessage="0" showErrorMessage="1" allowBlank="1" type="list">
      <formula1>"Bold Declaration,Data Shock,Disruption Hook,Emotional Question,Flip Belief,Mirror Prompt,Pain Trigger,Real Talk,Reversal Trigger,Urgency Cue"</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M19"/>
  <sheetViews>
    <sheetView workbookViewId="0">
      <selection activeCell="A1" sqref="A1"/>
    </sheetView>
  </sheetViews>
  <sheetFormatPr baseColWidth="8" defaultColWidth="14.43" defaultRowHeight="15" customHeight="1"/>
  <cols>
    <col width="17.86" customWidth="1" style="205" min="1" max="1"/>
    <col width="32.29" customWidth="1" style="205" min="2" max="2"/>
    <col width="50.14" customWidth="1" style="205" min="3" max="3"/>
    <col width="27.29" customWidth="1" style="205" min="4" max="4"/>
    <col width="26.14" customWidth="1" style="205" min="5" max="5"/>
    <col width="25" customWidth="1" style="205" min="6" max="6"/>
    <col width="29.57" customWidth="1" style="205" min="7" max="7"/>
    <col width="41" customWidth="1" style="205" min="8" max="8"/>
    <col width="38.14" customWidth="1" style="205" min="9" max="9"/>
    <col hidden="1" width="14.43" customWidth="1" style="205" min="10" max="10"/>
  </cols>
  <sheetData>
    <row r="1">
      <c r="A1" s="172" t="inlineStr">
        <is>
          <t>Jangan menambah atau megurangi kolom agar codenya tidak error 👉🏻</t>
        </is>
      </c>
      <c r="B1" s="152" t="inlineStr">
        <is>
          <t>Caption Generator</t>
        </is>
      </c>
      <c r="J1" s="173" t="n"/>
      <c r="K1" s="173" t="n"/>
      <c r="L1" s="173" t="n"/>
      <c r="M1" s="173" t="n"/>
    </row>
    <row r="2" ht="15" customHeight="1" s="205">
      <c r="J2" s="174">
        <f>"Sebagai konten kreator dengan niche utama '"&amp;'CONTENT PILLAR MAPPING'!C2&amp;"', spesifik kategori '"&amp;'CONTENT PILLAR MAPPING'!E2&amp;"', dan super spesifik '"&amp;'CONTENT PILLAR MAPPING'!F2&amp;"', yang dikenal sebagai '"&amp;'CONTENT PILLAR MAPPING'!C5&amp;"'. Saya memiliki Tone of Voice: '"&amp;'CONTENT PILLAR MAPPING'!C10&amp;"', Brand Archetype: '"&amp;'CONTENT PILLAR MAPPING'!D10&amp;"', dan Deskripsi Gaya Komunikasi: '"&amp;'CONTENT PILLAR MAPPING'!E10&amp;"'. Target audiens saya adalah: '"&amp;'CONTENT PILLAR MAPPING'!D18&amp;"', dengan segmentasi audiens: '"&amp;'CONTENT PILLAR MAPPING'!D19&amp;"'. Mohon buatkan caption yang SANGAT powerful, menarik, inovatif, dan siap pakai. Caption ini untuk ide konten: '"&amp;B4&amp;"', dengan skrip lengkap: '"&amp;C4&amp;"', yang akan diunggah di platform '"&amp;D4&amp;"', dengan nada suara '"&amp;E4&amp;"', call-to-action (CTA) fokus pada: '"&amp;F4&amp;"', mengikuti kerangka caption: '"&amp;G4&amp;"', dan dalam format '"&amp;H4&amp;"'. Pastikan caption ini sangat relevan dengan audiens target saya dan mencerminkan persona saya."</f>
        <v/>
      </c>
      <c r="K2" s="173" t="n"/>
      <c r="L2" s="173" t="n"/>
      <c r="M2" s="173" t="n"/>
    </row>
    <row r="3">
      <c r="B3" s="175" t="inlineStr">
        <is>
          <t>Topik Konten (Ide)</t>
        </is>
      </c>
      <c r="C3" s="175" t="inlineStr">
        <is>
          <t>Masukkan Script Kamu Saat Ini</t>
        </is>
      </c>
      <c r="D3" s="176" t="inlineStr">
        <is>
          <t>Platform</t>
        </is>
      </c>
      <c r="E3" s="175" t="inlineStr">
        <is>
          <t>Tone of Voice</t>
        </is>
      </c>
      <c r="F3" s="175" t="inlineStr">
        <is>
          <t>CTA</t>
        </is>
      </c>
      <c r="G3" s="175" t="inlineStr">
        <is>
          <t>Rumus Caption</t>
        </is>
      </c>
      <c r="H3" s="175" t="inlineStr">
        <is>
          <t>Format Caption</t>
        </is>
      </c>
      <c r="I3" s="157">
        <f>HYPERLINK("https://chat.openai.com/?q="&amp;ENCODEURL(J2),"Klik untuk Generate Caption🔥")</f>
        <v/>
      </c>
      <c r="J3" s="173" t="n"/>
      <c r="K3" s="173" t="n"/>
      <c r="L3" s="173" t="n"/>
      <c r="M3" s="173" t="n"/>
    </row>
    <row r="4">
      <c r="B4" s="161" t="inlineStr">
        <is>
          <t>5 Kesalahan Fatal Saat Daftar Lomba yang Bikin Gugur di Awal</t>
        </is>
      </c>
      <c r="C4" s="161" t="inlineStr">
        <is>
          <t>Banyak peserta gagal bukan karena idenya jelek, tapi karena 5 kesalahan dasar ini.
[Slide 1 – Hook]
5 kesalahan fatal saat daftar lomba yang bikin kamu gugur bahkan sebelum karya dinilai.
[Slide 2 – Kesalahan 1]
1. Nggak baca brief sampai habis.
Banyak peserta cuma lihat tema, padahal format file, syarat peserta, dan deadline detail sering jadi penentu lolos atau gugur.
[Slide 3 – Kesalahan 2]
2. Daftar mepet deadline.
Saat website error, file terlalu besar, atau ada data yang salah, kamu sudah nggak punya waktu buat revisi.
[Slide 4 – Kesalahan 3]
3. Pilih lomba cuma karena hadiahnya.
Kalau topiknya nggak nyambung sama skill dan minatmu, peluang menang otomatis lebih kecil.
[Slide 5 – Kesalahan 4]
4. Karya bagus tapi nggak sesuai rubrik.
Juri menilai berdasarkan kriteria, bukan seberapa capek kamu ngerjainnya.
[Slide 6 – Kesalahan 5]
5. Nggak cek ulang file dan identitas.
Nama file, format PDF, ukuran file, sampai data tim sering jadi alasan karya ditolak.
[Slide 7 – Solusi cepat]
Sebelum submit: baca brief, cek rubrik, review file, proofread, dan kirim minimal 24 jam lebih awal.
[Slide 8 – CTA]
Save post ini biar kamu nggak gugur karena hal receh. Tag teman lomba kamu, dan follow @ikutlomba buat update lomba plus tips juara lainnya.</t>
        </is>
      </c>
      <c r="D4" s="262" t="inlineStr">
        <is>
          <t>Instagram</t>
        </is>
      </c>
      <c r="E4" s="247" t="inlineStr">
        <is>
          <t>Friendly</t>
        </is>
      </c>
      <c r="F4" s="263" t="inlineStr">
        <is>
          <t>Untuk Engagement</t>
        </is>
      </c>
      <c r="G4" s="263" t="inlineStr">
        <is>
          <t>Hook - Value - CTA</t>
        </is>
      </c>
      <c r="H4" s="179" t="inlineStr">
        <is>
          <t>Caption Singkat</t>
        </is>
      </c>
      <c r="J4" s="173" t="n"/>
      <c r="K4" s="173" t="n"/>
      <c r="L4" s="173" t="n"/>
      <c r="M4" s="173" t="n"/>
    </row>
    <row r="5">
      <c r="E5" s="238" t="n"/>
      <c r="F5" s="238" t="n"/>
      <c r="G5" s="238" t="n"/>
      <c r="J5" s="173" t="n"/>
      <c r="K5" s="173" t="n"/>
      <c r="L5" s="173" t="n"/>
      <c r="M5" s="173" t="n"/>
    </row>
    <row r="6">
      <c r="E6" s="238" t="n"/>
      <c r="F6" s="238" t="n"/>
      <c r="G6" s="238" t="n"/>
      <c r="J6" s="173" t="n"/>
      <c r="K6" s="173" t="n"/>
      <c r="L6" s="173" t="n"/>
      <c r="M6" s="173" t="n"/>
    </row>
    <row r="7">
      <c r="E7" s="238" t="n"/>
      <c r="F7" s="238" t="n"/>
      <c r="G7" s="238" t="n"/>
      <c r="J7" s="173" t="n"/>
      <c r="K7" s="173" t="n"/>
      <c r="L7" s="173" t="n"/>
      <c r="M7" s="173" t="n"/>
    </row>
    <row r="8">
      <c r="E8" s="238" t="n"/>
      <c r="F8" s="238" t="n"/>
      <c r="G8" s="238" t="n"/>
      <c r="J8" s="173" t="n"/>
      <c r="K8" s="173" t="n"/>
      <c r="L8" s="173" t="n"/>
      <c r="M8" s="173" t="n"/>
    </row>
    <row r="9">
      <c r="E9" s="238" t="n"/>
      <c r="F9" s="238" t="n"/>
      <c r="G9" s="238" t="n"/>
      <c r="J9" s="173" t="n"/>
      <c r="K9" s="173" t="n"/>
      <c r="L9" s="173" t="n"/>
      <c r="M9" s="173" t="n"/>
    </row>
    <row r="10">
      <c r="E10" s="238" t="n"/>
      <c r="F10" s="238" t="n"/>
      <c r="G10" s="238" t="n"/>
      <c r="J10" s="173" t="n"/>
      <c r="K10" s="173" t="n"/>
      <c r="L10" s="173" t="n"/>
      <c r="M10" s="173" t="n"/>
    </row>
    <row r="11">
      <c r="E11" s="238" t="n"/>
      <c r="F11" s="238" t="n"/>
      <c r="G11" s="238" t="n"/>
      <c r="J11" s="173" t="n"/>
      <c r="K11" s="173" t="n"/>
      <c r="L11" s="173" t="n"/>
      <c r="M11" s="173" t="n"/>
    </row>
    <row r="12">
      <c r="E12" s="238" t="n"/>
      <c r="F12" s="238" t="n"/>
      <c r="G12" s="238" t="n"/>
      <c r="J12" s="173" t="n"/>
      <c r="K12" s="173" t="n"/>
      <c r="L12" s="173" t="n"/>
      <c r="M12" s="173" t="n"/>
    </row>
    <row r="13">
      <c r="E13" s="238" t="n"/>
      <c r="F13" s="238" t="n"/>
      <c r="G13" s="238" t="n"/>
      <c r="J13" s="173" t="n"/>
      <c r="K13" s="173" t="n"/>
      <c r="L13" s="173" t="n"/>
      <c r="M13" s="173" t="n"/>
    </row>
    <row r="14">
      <c r="E14" s="238" t="n"/>
      <c r="F14" s="238" t="n"/>
      <c r="G14" s="238" t="n"/>
      <c r="J14" s="173" t="n"/>
      <c r="K14" s="173" t="n"/>
      <c r="L14" s="173" t="n"/>
      <c r="M14" s="173" t="n"/>
    </row>
    <row r="15">
      <c r="E15" s="238" t="n"/>
      <c r="F15" s="238" t="n"/>
      <c r="G15" s="238" t="n"/>
      <c r="J15" s="173" t="n"/>
      <c r="K15" s="173" t="n"/>
      <c r="L15" s="173" t="n"/>
      <c r="M15" s="173" t="n"/>
    </row>
    <row r="16">
      <c r="E16" s="238" t="n"/>
      <c r="F16" s="238" t="n"/>
      <c r="G16" s="238" t="n"/>
      <c r="J16" s="173" t="n"/>
      <c r="K16" s="173" t="n"/>
      <c r="L16" s="173" t="n"/>
      <c r="M16" s="173" t="n"/>
    </row>
    <row r="17" ht="189" customHeight="1" s="205">
      <c r="A17" s="172" t="inlineStr">
        <is>
          <t>Isi Cell Berwarna Putih Aja 👉🏻</t>
        </is>
      </c>
      <c r="D17" s="246" t="n"/>
      <c r="E17" s="241" t="n"/>
      <c r="F17" s="241" t="n"/>
      <c r="G17" s="241" t="n"/>
      <c r="J17" s="173" t="n"/>
      <c r="K17" s="173" t="n"/>
      <c r="L17" s="173" t="n"/>
      <c r="M17" s="173" t="n"/>
    </row>
    <row r="18">
      <c r="B18" s="173" t="n"/>
      <c r="C18" s="173" t="n"/>
      <c r="D18" s="173" t="n"/>
      <c r="E18" s="173" t="n"/>
      <c r="F18" s="173" t="n"/>
      <c r="G18" s="173" t="n"/>
      <c r="H18" s="173" t="n"/>
      <c r="I18" s="173" t="n"/>
      <c r="J18" s="173" t="n"/>
      <c r="K18" s="173" t="n"/>
      <c r="L18" s="173" t="n"/>
      <c r="M18" s="173" t="n"/>
    </row>
    <row r="19">
      <c r="B19" s="173" t="n"/>
      <c r="C19" s="173" t="n"/>
      <c r="D19" s="173" t="n"/>
      <c r="E19" s="173" t="n"/>
      <c r="F19" s="173" t="n"/>
      <c r="G19" s="173" t="n"/>
      <c r="H19" s="173" t="n"/>
      <c r="I19" s="173" t="n"/>
      <c r="J19" s="173" t="n"/>
      <c r="K19" s="173" t="n"/>
      <c r="L19" s="173" t="n"/>
      <c r="M19" s="173" t="n"/>
    </row>
    <row r="21" ht="15.75" customHeight="1" s="205"/>
    <row r="22" ht="15.75" customHeight="1" s="205"/>
    <row r="23" ht="15.75" customHeight="1" s="205"/>
    <row r="24" ht="15.75" customHeight="1" s="205"/>
    <row r="25" ht="15.75" customHeight="1" s="205"/>
    <row r="26" ht="15.75" customHeight="1" s="205"/>
    <row r="27" ht="15.75" customHeight="1" s="205"/>
    <row r="28" ht="15.75" customHeight="1" s="205"/>
    <row r="29" ht="15.75" customHeight="1" s="205"/>
    <row r="30" ht="15.75" customHeight="1" s="205"/>
    <row r="31" ht="15.75" customHeight="1" s="205"/>
    <row r="32" ht="15.75" customHeight="1" s="205"/>
    <row r="33" ht="15.75" customHeight="1" s="205"/>
    <row r="34" ht="15.75" customHeight="1" s="205"/>
    <row r="35" ht="15.75" customHeight="1" s="205"/>
    <row r="36" ht="15.75" customHeight="1" s="205"/>
    <row r="37" ht="15.75" customHeight="1" s="205"/>
    <row r="38" ht="15.75" customHeight="1" s="205"/>
    <row r="39" ht="15.75" customHeight="1" s="205"/>
    <row r="40" ht="15.75" customHeight="1" s="205"/>
    <row r="41" ht="15.75" customHeight="1" s="205"/>
    <row r="42" ht="15.75" customHeight="1" s="205"/>
    <row r="43" ht="15.75" customHeight="1" s="205"/>
    <row r="44" ht="15.75" customHeight="1" s="205"/>
    <row r="45" ht="15.75" customHeight="1" s="205"/>
    <row r="46" ht="15.75" customHeight="1" s="205"/>
    <row r="47" ht="15.75" customHeight="1" s="205"/>
    <row r="48" ht="15.75" customHeight="1" s="205"/>
    <row r="49" ht="15.75" customHeight="1" s="205"/>
    <row r="50" ht="15.75" customHeight="1" s="205"/>
    <row r="51" ht="15.75" customHeight="1" s="205"/>
    <row r="52" ht="15.75" customHeight="1" s="205"/>
    <row r="53" ht="15.75" customHeight="1" s="205"/>
    <row r="54" ht="15.75" customHeight="1" s="205"/>
    <row r="55" ht="15.75" customHeight="1" s="205"/>
    <row r="56" ht="15.75" customHeight="1" s="205"/>
    <row r="57" ht="15.75" customHeight="1" s="205"/>
    <row r="58" ht="15.75" customHeight="1" s="205"/>
    <row r="59" ht="15.75" customHeight="1" s="205"/>
    <row r="60" ht="15.75" customHeight="1" s="205"/>
    <row r="61" ht="15.75" customHeight="1" s="205"/>
    <row r="62" ht="15.75" customHeight="1" s="205"/>
    <row r="63" ht="15.75" customHeight="1" s="205"/>
    <row r="64" ht="15.75" customHeight="1" s="205"/>
    <row r="65" ht="15.75" customHeight="1" s="205"/>
    <row r="66" ht="15.75" customHeight="1" s="205"/>
    <row r="67" ht="15.75" customHeight="1" s="205"/>
    <row r="68" ht="15.75" customHeight="1" s="205"/>
    <row r="69" ht="15.75" customHeight="1" s="205"/>
    <row r="70" ht="15.75" customHeight="1" s="205"/>
    <row r="71" ht="15.75" customHeight="1" s="205"/>
    <row r="72" ht="15.75" customHeight="1" s="205"/>
    <row r="73" ht="15.75" customHeight="1" s="205"/>
    <row r="74" ht="15.75" customHeight="1" s="205"/>
    <row r="75" ht="15.75" customHeight="1" s="205"/>
    <row r="76" ht="15.75" customHeight="1" s="205"/>
    <row r="77" ht="15.75" customHeight="1" s="205"/>
    <row r="78" ht="15.75" customHeight="1" s="205"/>
    <row r="79" ht="15.75" customHeight="1" s="205"/>
    <row r="80" ht="15.75" customHeight="1" s="205"/>
    <row r="81" ht="15.75" customHeight="1" s="205"/>
    <row r="82" ht="15.75" customHeight="1" s="205"/>
    <row r="83" ht="15.75" customHeight="1" s="205"/>
    <row r="84" ht="15.75" customHeight="1" s="205"/>
    <row r="85" ht="15.75" customHeight="1" s="205"/>
    <row r="86" ht="15.75" customHeight="1" s="205"/>
    <row r="87" ht="15.75" customHeight="1" s="205"/>
    <row r="88" ht="15.75" customHeight="1" s="205"/>
    <row r="89" ht="15.75" customHeight="1" s="205"/>
    <row r="90" ht="15.75" customHeight="1" s="205"/>
    <row r="91" ht="15.75" customHeight="1" s="205"/>
    <row r="92" ht="15.75" customHeight="1" s="205"/>
    <row r="93" ht="15.75" customHeight="1" s="205"/>
    <row r="94" ht="15.75" customHeight="1" s="205"/>
    <row r="95" ht="15.75" customHeight="1" s="205"/>
    <row r="96" ht="15.75" customHeight="1" s="205"/>
    <row r="97" ht="15.75" customHeight="1" s="205"/>
    <row r="98" ht="15.75" customHeight="1" s="205"/>
    <row r="99" ht="15.75" customHeight="1" s="205"/>
    <row r="100" ht="15.75" customHeight="1" s="205"/>
    <row r="101" ht="15.75" customHeight="1" s="205"/>
    <row r="102" ht="15.75" customHeight="1" s="205"/>
    <row r="103" ht="15.75" customHeight="1" s="205"/>
    <row r="104" ht="15.75" customHeight="1" s="205"/>
    <row r="105" ht="15.75" customHeight="1" s="205"/>
    <row r="106" ht="15.75" customHeight="1" s="205"/>
    <row r="107" ht="15.75" customHeight="1" s="205"/>
    <row r="108" ht="15.75" customHeight="1" s="205"/>
    <row r="109" ht="15.75" customHeight="1" s="205"/>
    <row r="110" ht="15.75" customHeight="1" s="205"/>
    <row r="111" ht="15.75" customHeight="1" s="205"/>
    <row r="112" ht="15.75" customHeight="1" s="205"/>
    <row r="113" ht="15.75" customHeight="1" s="205"/>
    <row r="114" ht="15.75" customHeight="1" s="205"/>
    <row r="115" ht="15.75" customHeight="1" s="205"/>
    <row r="116" ht="15.75" customHeight="1" s="205"/>
    <row r="117" ht="15.75" customHeight="1" s="205"/>
    <row r="118" ht="15.75" customHeight="1" s="205"/>
    <row r="119" ht="15.75" customHeight="1" s="205"/>
    <row r="120" ht="15.75" customHeight="1" s="205"/>
    <row r="121" ht="15.75" customHeight="1" s="205"/>
    <row r="122" ht="15.75" customHeight="1" s="205"/>
    <row r="123" ht="15.75" customHeight="1" s="205"/>
    <row r="124" ht="15.75" customHeight="1" s="205"/>
    <row r="125" ht="15.75" customHeight="1" s="205"/>
    <row r="126" ht="15.75" customHeight="1" s="205"/>
    <row r="127" ht="15.75" customHeight="1" s="205"/>
    <row r="128" ht="15.75" customHeight="1" s="205"/>
    <row r="129" ht="15.75" customHeight="1" s="205"/>
    <row r="130" ht="15.75" customHeight="1" s="205"/>
    <row r="131" ht="15.75" customHeight="1" s="205"/>
    <row r="132" ht="15.75" customHeight="1" s="205"/>
    <row r="133" ht="15.75" customHeight="1" s="205"/>
    <row r="134" ht="15.75" customHeight="1" s="205"/>
    <row r="135" ht="15.75" customHeight="1" s="205"/>
    <row r="136" ht="15.75" customHeight="1" s="205"/>
    <row r="137" ht="15.75" customHeight="1" s="205"/>
    <row r="138" ht="15.75" customHeight="1" s="205"/>
    <row r="139" ht="15.75" customHeight="1" s="205"/>
    <row r="140" ht="15.75" customHeight="1" s="205"/>
    <row r="141" ht="15.75" customHeight="1" s="205"/>
    <row r="142" ht="15.75" customHeight="1" s="205"/>
    <row r="143" ht="15.75" customHeight="1" s="205"/>
    <row r="144" ht="15.75" customHeight="1" s="205"/>
    <row r="145" ht="15.75" customHeight="1" s="205"/>
    <row r="146" ht="15.75" customHeight="1" s="205"/>
    <row r="147" ht="15.75" customHeight="1" s="205"/>
    <row r="148" ht="15.75" customHeight="1" s="205"/>
    <row r="149" ht="15.75" customHeight="1" s="205"/>
    <row r="150" ht="15.75" customHeight="1" s="205"/>
    <row r="151" ht="15.75" customHeight="1" s="205"/>
    <row r="152" ht="15.75" customHeight="1" s="205"/>
    <row r="153" ht="15.75" customHeight="1" s="205"/>
    <row r="154" ht="15.75" customHeight="1" s="205"/>
    <row r="155" ht="15.75" customHeight="1" s="205"/>
    <row r="156" ht="15.75" customHeight="1" s="205"/>
    <row r="157" ht="15.75" customHeight="1" s="205"/>
    <row r="158" ht="15.75" customHeight="1" s="205"/>
    <row r="159" ht="15.75" customHeight="1" s="205"/>
    <row r="160" ht="15.75" customHeight="1" s="205"/>
    <row r="161" ht="15.75" customHeight="1" s="205"/>
    <row r="162" ht="15.75" customHeight="1" s="205"/>
    <row r="163" ht="15.75" customHeight="1" s="205"/>
    <row r="164" ht="15.75" customHeight="1" s="205"/>
    <row r="165" ht="15.75" customHeight="1" s="205"/>
    <row r="166" ht="15.75" customHeight="1" s="205"/>
    <row r="167" ht="15.75" customHeight="1" s="205"/>
    <row r="168" ht="15.75" customHeight="1" s="205"/>
    <row r="169" ht="15.75" customHeight="1" s="205"/>
    <row r="170" ht="15.75" customHeight="1" s="205"/>
    <row r="171" ht="15.75" customHeight="1" s="205"/>
    <row r="172" ht="15.75" customHeight="1" s="205"/>
    <row r="173" ht="15.75" customHeight="1" s="205"/>
    <row r="174" ht="15.75" customHeight="1" s="205"/>
    <row r="175" ht="15.75" customHeight="1" s="205"/>
    <row r="176" ht="15.75" customHeight="1" s="205"/>
    <row r="177" ht="15.75" customHeight="1" s="205"/>
    <row r="178" ht="15.75" customHeight="1" s="205"/>
    <row r="179" ht="15.75" customHeight="1" s="205"/>
    <row r="180" ht="15.75" customHeight="1" s="205"/>
    <row r="181" ht="15.75" customHeight="1" s="205"/>
    <row r="182" ht="15.75" customHeight="1" s="205"/>
    <row r="183" ht="15.75" customHeight="1" s="205"/>
    <row r="184" ht="15.75" customHeight="1" s="205"/>
    <row r="185" ht="15.75" customHeight="1" s="205"/>
    <row r="186" ht="15.75" customHeight="1" s="205"/>
    <row r="187" ht="15.75" customHeight="1" s="205"/>
    <row r="188" ht="15.75" customHeight="1" s="205"/>
    <row r="189" ht="15.75" customHeight="1" s="205"/>
    <row r="190" ht="15.75" customHeight="1" s="205"/>
    <row r="191" ht="15.75" customHeight="1" s="205"/>
    <row r="192" ht="15.75" customHeight="1" s="205"/>
    <row r="193" ht="15.75" customHeight="1" s="205"/>
    <row r="194" ht="15.75" customHeight="1" s="205"/>
    <row r="195" ht="15.75" customHeight="1" s="205"/>
    <row r="196" ht="15.75" customHeight="1" s="205"/>
    <row r="197" ht="15.75" customHeight="1" s="205"/>
    <row r="198" ht="15.75" customHeight="1" s="205"/>
    <row r="199" ht="15.75" customHeight="1" s="205"/>
    <row r="200" ht="15.75" customHeight="1" s="205"/>
    <row r="201" ht="15.75" customHeight="1" s="205"/>
    <row r="202" ht="15.75" customHeight="1" s="205"/>
    <row r="203" ht="15.75" customHeight="1" s="205"/>
    <row r="204" ht="15.75" customHeight="1" s="205"/>
    <row r="205" ht="15.75" customHeight="1" s="205"/>
    <row r="206" ht="15.75" customHeight="1" s="205"/>
    <row r="207" ht="15.75" customHeight="1" s="205"/>
    <row r="208" ht="15.75" customHeight="1" s="205"/>
    <row r="209" ht="15.75" customHeight="1" s="205"/>
    <row r="210" ht="15.75" customHeight="1" s="205"/>
    <row r="211" ht="15.75" customHeight="1" s="205"/>
    <row r="212" ht="15.75" customHeight="1" s="205"/>
    <row r="213" ht="15.75" customHeight="1" s="205"/>
    <row r="214" ht="15.75" customHeight="1" s="205"/>
    <row r="215" ht="15.75" customHeight="1" s="205"/>
    <row r="216" ht="15.75" customHeight="1" s="205"/>
    <row r="217" ht="15.75" customHeight="1" s="205"/>
    <row r="218" ht="15.75" customHeight="1" s="205"/>
    <row r="219" ht="15.75" customHeight="1" s="205"/>
    <row r="220" ht="15.75" customHeight="1" s="205"/>
    <row r="221" ht="15.75" customHeight="1" s="205"/>
    <row r="222" ht="15.75" customHeight="1" s="205"/>
    <row r="223" ht="15.75" customHeight="1" s="205"/>
    <row r="224" ht="15.75" customHeight="1" s="205"/>
    <row r="225" ht="15.75" customHeight="1" s="205"/>
    <row r="226" ht="15.75" customHeight="1" s="205"/>
    <row r="227" ht="15.75" customHeight="1" s="205"/>
    <row r="228" ht="15.75" customHeight="1" s="205"/>
    <row r="229" ht="15.75" customHeight="1" s="205"/>
    <row r="230" ht="15.75" customHeight="1" s="205"/>
    <row r="231" ht="15.75" customHeight="1" s="205"/>
    <row r="232" ht="15.75" customHeight="1" s="205"/>
    <row r="233" ht="15.75" customHeight="1" s="205"/>
    <row r="234" ht="15.75" customHeight="1" s="205"/>
    <row r="235" ht="15.75" customHeight="1" s="205"/>
    <row r="236" ht="15.75" customHeight="1" s="205"/>
    <row r="237" ht="15.75" customHeight="1" s="205"/>
    <row r="238" ht="15.75" customHeight="1" s="205"/>
    <row r="239" ht="15.75" customHeight="1" s="205"/>
    <row r="240" ht="15.75" customHeight="1" s="205"/>
    <row r="241" ht="15.75" customHeight="1" s="205"/>
    <row r="242" ht="15.75" customHeight="1" s="205"/>
    <row r="243" ht="15.75" customHeight="1" s="205"/>
    <row r="244" ht="15.75" customHeight="1" s="205"/>
    <row r="245" ht="15.75" customHeight="1" s="205"/>
    <row r="246" ht="15.75" customHeight="1" s="205"/>
    <row r="247" ht="15.75" customHeight="1" s="205"/>
    <row r="248" ht="15.75" customHeight="1" s="205"/>
    <row r="249" ht="15.75" customHeight="1" s="205"/>
    <row r="250" ht="15.75" customHeight="1" s="205"/>
    <row r="251" ht="15.75" customHeight="1" s="205"/>
    <row r="252" ht="15.75" customHeight="1" s="205"/>
    <row r="253" ht="15.75" customHeight="1" s="205"/>
    <row r="254" ht="15.75" customHeight="1" s="205"/>
    <row r="255" ht="15.75" customHeight="1" s="205"/>
    <row r="256" ht="15.75" customHeight="1" s="205"/>
    <row r="257" ht="15.75" customHeight="1" s="205"/>
    <row r="258" ht="15.75" customHeight="1" s="205"/>
    <row r="259" ht="15.75" customHeight="1" s="205"/>
    <row r="260" ht="15.75" customHeight="1" s="205"/>
    <row r="261" ht="15.75" customHeight="1" s="205"/>
    <row r="262" ht="15.75" customHeight="1" s="205"/>
    <row r="263" ht="15.75" customHeight="1" s="205"/>
    <row r="264" ht="15.75" customHeight="1" s="205"/>
    <row r="265" ht="15.75" customHeight="1" s="205"/>
    <row r="266" ht="15.75" customHeight="1" s="205"/>
    <row r="267" ht="15.75" customHeight="1" s="205"/>
    <row r="268" ht="15.75" customHeight="1" s="205"/>
    <row r="269" ht="15.75" customHeight="1" s="205"/>
    <row r="270" ht="15.75" customHeight="1" s="205"/>
    <row r="271" ht="15.75" customHeight="1" s="205"/>
    <row r="272" ht="15.75" customHeight="1" s="205"/>
    <row r="273" ht="15.75" customHeight="1" s="205"/>
    <row r="274" ht="15.75" customHeight="1" s="205"/>
    <row r="275" ht="15.75" customHeight="1" s="205"/>
    <row r="276" ht="15.75" customHeight="1" s="205"/>
    <row r="277" ht="15.75" customHeight="1" s="205"/>
    <row r="278" ht="15.75" customHeight="1" s="205"/>
    <row r="279" ht="15.75" customHeight="1" s="205"/>
    <row r="280" ht="15.75" customHeight="1" s="205"/>
    <row r="281" ht="15.75" customHeight="1" s="205"/>
    <row r="282" ht="15.75" customHeight="1" s="205"/>
    <row r="283" ht="15.75" customHeight="1" s="205"/>
    <row r="284" ht="15.75" customHeight="1" s="205"/>
    <row r="285" ht="15.75" customHeight="1" s="205"/>
    <row r="286" ht="15.75" customHeight="1" s="205"/>
    <row r="287" ht="15.75" customHeight="1" s="205"/>
    <row r="288" ht="15.75" customHeight="1" s="205"/>
    <row r="289" ht="15.75" customHeight="1" s="205"/>
    <row r="290" ht="15.75" customHeight="1" s="205"/>
    <row r="291" ht="15.75" customHeight="1" s="205"/>
    <row r="292" ht="15.75" customHeight="1" s="205"/>
    <row r="293" ht="15.75" customHeight="1" s="205"/>
    <row r="294" ht="15.75" customHeight="1" s="205"/>
    <row r="295" ht="15.75" customHeight="1" s="205"/>
    <row r="296" ht="15.75" customHeight="1" s="205"/>
    <row r="297" ht="15.75" customHeight="1" s="205"/>
    <row r="298" ht="15.75" customHeight="1" s="205"/>
    <row r="299" ht="15.75" customHeight="1" s="205"/>
    <row r="300" ht="15.75" customHeight="1" s="205"/>
    <row r="301" ht="15.75" customHeight="1" s="205"/>
    <row r="302" ht="15.75" customHeight="1" s="205"/>
    <row r="303" ht="15.75" customHeight="1" s="205"/>
    <row r="304" ht="15.75" customHeight="1" s="205"/>
    <row r="305" ht="15.75" customHeight="1" s="205"/>
    <row r="306" ht="15.75" customHeight="1" s="205"/>
    <row r="307" ht="15.75" customHeight="1" s="205"/>
    <row r="308" ht="15.75" customHeight="1" s="205"/>
    <row r="309" ht="15.75" customHeight="1" s="205"/>
    <row r="310" ht="15.75" customHeight="1" s="205"/>
    <row r="311" ht="15.75" customHeight="1" s="205"/>
    <row r="312" ht="15.75" customHeight="1" s="205"/>
    <row r="313" ht="15.75" customHeight="1" s="205"/>
    <row r="314" ht="15.75" customHeight="1" s="205"/>
    <row r="315" ht="15.75" customHeight="1" s="205"/>
    <row r="316" ht="15.75" customHeight="1" s="205"/>
    <row r="317" ht="15.75" customHeight="1" s="205"/>
    <row r="318" ht="15.75" customHeight="1" s="205"/>
    <row r="319" ht="15.75" customHeight="1" s="205"/>
    <row r="320" ht="15.75" customHeight="1" s="205"/>
    <row r="321" ht="15.75" customHeight="1" s="205"/>
    <row r="322" ht="15.75" customHeight="1" s="205"/>
    <row r="323" ht="15.75" customHeight="1" s="205"/>
    <row r="324" ht="15.75" customHeight="1" s="205"/>
    <row r="325" ht="15.75" customHeight="1" s="205"/>
    <row r="326" ht="15.75" customHeight="1" s="205"/>
    <row r="327" ht="15.75" customHeight="1" s="205"/>
    <row r="328" ht="15.75" customHeight="1" s="205"/>
    <row r="329" ht="15.75" customHeight="1" s="205"/>
    <row r="330" ht="15.75" customHeight="1" s="205"/>
    <row r="331" ht="15.75" customHeight="1" s="205"/>
    <row r="332" ht="15.75" customHeight="1" s="205"/>
    <row r="333" ht="15.75" customHeight="1" s="205"/>
    <row r="334" ht="15.75" customHeight="1" s="205"/>
    <row r="335" ht="15.75" customHeight="1" s="205"/>
    <row r="336" ht="15.75" customHeight="1" s="205"/>
    <row r="337" ht="15.75" customHeight="1" s="205"/>
    <row r="338" ht="15.75" customHeight="1" s="205"/>
    <row r="339" ht="15.75" customHeight="1" s="205"/>
    <row r="340" ht="15.75" customHeight="1" s="205"/>
    <row r="341" ht="15.75" customHeight="1" s="205"/>
    <row r="342" ht="15.75" customHeight="1" s="205"/>
    <row r="343" ht="15.75" customHeight="1" s="205"/>
    <row r="344" ht="15.75" customHeight="1" s="205"/>
    <row r="345" ht="15.75" customHeight="1" s="205"/>
    <row r="346" ht="15.75" customHeight="1" s="205"/>
    <row r="347" ht="15.75" customHeight="1" s="205"/>
    <row r="348" ht="15.75" customHeight="1" s="205"/>
    <row r="349" ht="15.75" customHeight="1" s="205"/>
    <row r="350" ht="15.75" customHeight="1" s="205"/>
    <row r="351" ht="15.75" customHeight="1" s="205"/>
    <row r="352" ht="15.75" customHeight="1" s="205"/>
    <row r="353" ht="15.75" customHeight="1" s="205"/>
    <row r="354" ht="15.75" customHeight="1" s="205"/>
    <row r="355" ht="15.75" customHeight="1" s="205"/>
    <row r="356" ht="15.75" customHeight="1" s="205"/>
    <row r="357" ht="15.75" customHeight="1" s="205"/>
    <row r="358" ht="15.75" customHeight="1" s="205"/>
    <row r="359" ht="15.75" customHeight="1" s="205"/>
    <row r="360" ht="15.75" customHeight="1" s="205"/>
    <row r="361" ht="15.75" customHeight="1" s="205"/>
    <row r="362" ht="15.75" customHeight="1" s="205"/>
    <row r="363" ht="15.75" customHeight="1" s="205"/>
    <row r="364" ht="15.75" customHeight="1" s="205"/>
    <row r="365" ht="15.75" customHeight="1" s="205"/>
    <row r="366" ht="15.75" customHeight="1" s="205"/>
    <row r="367" ht="15.75" customHeight="1" s="205"/>
    <row r="368" ht="15.75" customHeight="1" s="205"/>
    <row r="369" ht="15.75" customHeight="1" s="205"/>
    <row r="370" ht="15.75" customHeight="1" s="205"/>
    <row r="371" ht="15.75" customHeight="1" s="205"/>
    <row r="372" ht="15.75" customHeight="1" s="205"/>
    <row r="373" ht="15.75" customHeight="1" s="205"/>
    <row r="374" ht="15.75" customHeight="1" s="205"/>
    <row r="375" ht="15.75" customHeight="1" s="205"/>
    <row r="376" ht="15.75" customHeight="1" s="205"/>
    <row r="377" ht="15.75" customHeight="1" s="205"/>
    <row r="378" ht="15.75" customHeight="1" s="205"/>
    <row r="379" ht="15.75" customHeight="1" s="205"/>
    <row r="380" ht="15.75" customHeight="1" s="205"/>
    <row r="381" ht="15.75" customHeight="1" s="205"/>
    <row r="382" ht="15.75" customHeight="1" s="205"/>
    <row r="383" ht="15.75" customHeight="1" s="205"/>
    <row r="384" ht="15.75" customHeight="1" s="205"/>
    <row r="385" ht="15.75" customHeight="1" s="205"/>
    <row r="386" ht="15.75" customHeight="1" s="205"/>
    <row r="387" ht="15.75" customHeight="1" s="205"/>
    <row r="388" ht="15.75" customHeight="1" s="205"/>
    <row r="389" ht="15.75" customHeight="1" s="205"/>
    <row r="390" ht="15.75" customHeight="1" s="205"/>
    <row r="391" ht="15.75" customHeight="1" s="205"/>
    <row r="392" ht="15.75" customHeight="1" s="205"/>
    <row r="393" ht="15.75" customHeight="1" s="205"/>
    <row r="394" ht="15.75" customHeight="1" s="205"/>
    <row r="395" ht="15.75" customHeight="1" s="205"/>
    <row r="396" ht="15.75" customHeight="1" s="205"/>
    <row r="397" ht="15.75" customHeight="1" s="205"/>
    <row r="398" ht="15.75" customHeight="1" s="205"/>
    <row r="399" ht="15.75" customHeight="1" s="205"/>
    <row r="400" ht="15.75" customHeight="1" s="205"/>
    <row r="401" ht="15.75" customHeight="1" s="205"/>
    <row r="402" ht="15.75" customHeight="1" s="205"/>
    <row r="403" ht="15.75" customHeight="1" s="205"/>
    <row r="404" ht="15.75" customHeight="1" s="205"/>
    <row r="405" ht="15.75" customHeight="1" s="205"/>
    <row r="406" ht="15.75" customHeight="1" s="205"/>
    <row r="407" ht="15.75" customHeight="1" s="205"/>
    <row r="408" ht="15.75" customHeight="1" s="205"/>
    <row r="409" ht="15.75" customHeight="1" s="205"/>
    <row r="410" ht="15.75" customHeight="1" s="205"/>
    <row r="411" ht="15.75" customHeight="1" s="205"/>
    <row r="412" ht="15.75" customHeight="1" s="205"/>
    <row r="413" ht="15.75" customHeight="1" s="205"/>
    <row r="414" ht="15.75" customHeight="1" s="205"/>
    <row r="415" ht="15.75" customHeight="1" s="205"/>
    <row r="416" ht="15.75" customHeight="1" s="205"/>
    <row r="417" ht="15.75" customHeight="1" s="205"/>
    <row r="418" ht="15.75" customHeight="1" s="205"/>
    <row r="419" ht="15.75" customHeight="1" s="205"/>
    <row r="420" ht="15.75" customHeight="1" s="205"/>
    <row r="421" ht="15.75" customHeight="1" s="205"/>
    <row r="422" ht="15.75" customHeight="1" s="205"/>
    <row r="423" ht="15.75" customHeight="1" s="205"/>
    <row r="424" ht="15.75" customHeight="1" s="205"/>
    <row r="425" ht="15.75" customHeight="1" s="205"/>
    <row r="426" ht="15.75" customHeight="1" s="205"/>
    <row r="427" ht="15.75" customHeight="1" s="205"/>
    <row r="428" ht="15.75" customHeight="1" s="205"/>
    <row r="429" ht="15.75" customHeight="1" s="205"/>
    <row r="430" ht="15.75" customHeight="1" s="205"/>
    <row r="431" ht="15.75" customHeight="1" s="205"/>
    <row r="432" ht="15.75" customHeight="1" s="205"/>
    <row r="433" ht="15.75" customHeight="1" s="205"/>
    <row r="434" ht="15.75" customHeight="1" s="205"/>
    <row r="435" ht="15.75" customHeight="1" s="205"/>
    <row r="436" ht="15.75" customHeight="1" s="205"/>
    <row r="437" ht="15.75" customHeight="1" s="205"/>
    <row r="438" ht="15.75" customHeight="1" s="205"/>
    <row r="439" ht="15.75" customHeight="1" s="205"/>
    <row r="440" ht="15.75" customHeight="1" s="205"/>
    <row r="441" ht="15.75" customHeight="1" s="205"/>
    <row r="442" ht="15.75" customHeight="1" s="205"/>
    <row r="443" ht="15.75" customHeight="1" s="205"/>
    <row r="444" ht="15.75" customHeight="1" s="205"/>
    <row r="445" ht="15.75" customHeight="1" s="205"/>
    <row r="446" ht="15.75" customHeight="1" s="205"/>
    <row r="447" ht="15.75" customHeight="1" s="205"/>
    <row r="448" ht="15.75" customHeight="1" s="205"/>
    <row r="449" ht="15.75" customHeight="1" s="205"/>
    <row r="450" ht="15.75" customHeight="1" s="205"/>
    <row r="451" ht="15.75" customHeight="1" s="205"/>
    <row r="452" ht="15.75" customHeight="1" s="205"/>
    <row r="453" ht="15.75" customHeight="1" s="205"/>
    <row r="454" ht="15.75" customHeight="1" s="205"/>
    <row r="455" ht="15.75" customHeight="1" s="205"/>
    <row r="456" ht="15.75" customHeight="1" s="205"/>
    <row r="457" ht="15.75" customHeight="1" s="205"/>
    <row r="458" ht="15.75" customHeight="1" s="205"/>
    <row r="459" ht="15.75" customHeight="1" s="205"/>
    <row r="460" ht="15.75" customHeight="1" s="205"/>
    <row r="461" ht="15.75" customHeight="1" s="205"/>
    <row r="462" ht="15.75" customHeight="1" s="205"/>
    <row r="463" ht="15.75" customHeight="1" s="205"/>
    <row r="464" ht="15.75" customHeight="1" s="205"/>
    <row r="465" ht="15.75" customHeight="1" s="205"/>
    <row r="466" ht="15.75" customHeight="1" s="205"/>
    <row r="467" ht="15.75" customHeight="1" s="205"/>
    <row r="468" ht="15.75" customHeight="1" s="205"/>
    <row r="469" ht="15.75" customHeight="1" s="205"/>
    <row r="470" ht="15.75" customHeight="1" s="205"/>
    <row r="471" ht="15.75" customHeight="1" s="205"/>
    <row r="472" ht="15.75" customHeight="1" s="205"/>
    <row r="473" ht="15.75" customHeight="1" s="205"/>
    <row r="474" ht="15.75" customHeight="1" s="205"/>
    <row r="475" ht="15.75" customHeight="1" s="205"/>
    <row r="476" ht="15.75" customHeight="1" s="205"/>
    <row r="477" ht="15.75" customHeight="1" s="205"/>
    <row r="478" ht="15.75" customHeight="1" s="205"/>
    <row r="479" ht="15.75" customHeight="1" s="205"/>
    <row r="480" ht="15.75" customHeight="1" s="205"/>
    <row r="481" ht="15.75" customHeight="1" s="205"/>
    <row r="482" ht="15.75" customHeight="1" s="205"/>
    <row r="483" ht="15.75" customHeight="1" s="205"/>
    <row r="484" ht="15.75" customHeight="1" s="205"/>
    <row r="485" ht="15.75" customHeight="1" s="205"/>
    <row r="486" ht="15.75" customHeight="1" s="205"/>
    <row r="487" ht="15.75" customHeight="1" s="205"/>
    <row r="488" ht="15.75" customHeight="1" s="205"/>
    <row r="489" ht="15.75" customHeight="1" s="205"/>
    <row r="490" ht="15.75" customHeight="1" s="205"/>
    <row r="491" ht="15.75" customHeight="1" s="205"/>
    <row r="492" ht="15.75" customHeight="1" s="205"/>
    <row r="493" ht="15.75" customHeight="1" s="205"/>
    <row r="494" ht="15.75" customHeight="1" s="205"/>
    <row r="495" ht="15.75" customHeight="1" s="205"/>
    <row r="496" ht="15.75" customHeight="1" s="205"/>
    <row r="497" ht="15.75" customHeight="1" s="205"/>
    <row r="498" ht="15.75" customHeight="1" s="205"/>
    <row r="499" ht="15.75" customHeight="1" s="205"/>
    <row r="500" ht="15.75" customHeight="1" s="205"/>
    <row r="501" ht="15.75" customHeight="1" s="205"/>
    <row r="502" ht="15.75" customHeight="1" s="205"/>
    <row r="503" ht="15.75" customHeight="1" s="205"/>
    <row r="504" ht="15.75" customHeight="1" s="205"/>
    <row r="505" ht="15.75" customHeight="1" s="205"/>
    <row r="506" ht="15.75" customHeight="1" s="205"/>
    <row r="507" ht="15.75" customHeight="1" s="205"/>
    <row r="508" ht="15.75" customHeight="1" s="205"/>
    <row r="509" ht="15.75" customHeight="1" s="205"/>
    <row r="510" ht="15.75" customHeight="1" s="205"/>
    <row r="511" ht="15.75" customHeight="1" s="205"/>
    <row r="512" ht="15.75" customHeight="1" s="205"/>
    <row r="513" ht="15.75" customHeight="1" s="205"/>
    <row r="514" ht="15.75" customHeight="1" s="205"/>
    <row r="515" ht="15.75" customHeight="1" s="205"/>
    <row r="516" ht="15.75" customHeight="1" s="205"/>
    <row r="517" ht="15.75" customHeight="1" s="205"/>
    <row r="518" ht="15.75" customHeight="1" s="205"/>
    <row r="519" ht="15.75" customHeight="1" s="205"/>
    <row r="520" ht="15.75" customHeight="1" s="205"/>
    <row r="521" ht="15.75" customHeight="1" s="205"/>
    <row r="522" ht="15.75" customHeight="1" s="205"/>
    <row r="523" ht="15.75" customHeight="1" s="205"/>
    <row r="524" ht="15.75" customHeight="1" s="205"/>
    <row r="525" ht="15.75" customHeight="1" s="205"/>
    <row r="526" ht="15.75" customHeight="1" s="205"/>
    <row r="527" ht="15.75" customHeight="1" s="205"/>
    <row r="528" ht="15.75" customHeight="1" s="205"/>
    <row r="529" ht="15.75" customHeight="1" s="205"/>
    <row r="530" ht="15.75" customHeight="1" s="205"/>
    <row r="531" ht="15.75" customHeight="1" s="205"/>
    <row r="532" ht="15.75" customHeight="1" s="205"/>
    <row r="533" ht="15.75" customHeight="1" s="205"/>
    <row r="534" ht="15.75" customHeight="1" s="205"/>
    <row r="535" ht="15.75" customHeight="1" s="205"/>
    <row r="536" ht="15.75" customHeight="1" s="205"/>
    <row r="537" ht="15.75" customHeight="1" s="205"/>
    <row r="538" ht="15.75" customHeight="1" s="205"/>
    <row r="539" ht="15.75" customHeight="1" s="205"/>
    <row r="540" ht="15.75" customHeight="1" s="205"/>
    <row r="541" ht="15.75" customHeight="1" s="205"/>
    <row r="542" ht="15.75" customHeight="1" s="205"/>
    <row r="543" ht="15.75" customHeight="1" s="205"/>
    <row r="544" ht="15.75" customHeight="1" s="205"/>
    <row r="545" ht="15.75" customHeight="1" s="205"/>
    <row r="546" ht="15.75" customHeight="1" s="205"/>
    <row r="547" ht="15.75" customHeight="1" s="205"/>
    <row r="548" ht="15.75" customHeight="1" s="205"/>
    <row r="549" ht="15.75" customHeight="1" s="205"/>
    <row r="550" ht="15.75" customHeight="1" s="205"/>
    <row r="551" ht="15.75" customHeight="1" s="205"/>
    <row r="552" ht="15.75" customHeight="1" s="205"/>
    <row r="553" ht="15.75" customHeight="1" s="205"/>
    <row r="554" ht="15.75" customHeight="1" s="205"/>
    <row r="555" ht="15.75" customHeight="1" s="205"/>
    <row r="556" ht="15.75" customHeight="1" s="205"/>
    <row r="557" ht="15.75" customHeight="1" s="205"/>
    <row r="558" ht="15.75" customHeight="1" s="205"/>
    <row r="559" ht="15.75" customHeight="1" s="205"/>
    <row r="560" ht="15.75" customHeight="1" s="205"/>
    <row r="561" ht="15.75" customHeight="1" s="205"/>
    <row r="562" ht="15.75" customHeight="1" s="205"/>
    <row r="563" ht="15.75" customHeight="1" s="205"/>
    <row r="564" ht="15.75" customHeight="1" s="205"/>
    <row r="565" ht="15.75" customHeight="1" s="205"/>
    <row r="566" ht="15.75" customHeight="1" s="205"/>
    <row r="567" ht="15.75" customHeight="1" s="205"/>
    <row r="568" ht="15.75" customHeight="1" s="205"/>
    <row r="569" ht="15.75" customHeight="1" s="205"/>
    <row r="570" ht="15.75" customHeight="1" s="205"/>
    <row r="571" ht="15.75" customHeight="1" s="205"/>
    <row r="572" ht="15.75" customHeight="1" s="205"/>
    <row r="573" ht="15.75" customHeight="1" s="205"/>
    <row r="574" ht="15.75" customHeight="1" s="205"/>
    <row r="575" ht="15.75" customHeight="1" s="205"/>
    <row r="576" ht="15.75" customHeight="1" s="205"/>
    <row r="577" ht="15.75" customHeight="1" s="205"/>
    <row r="578" ht="15.75" customHeight="1" s="205"/>
    <row r="579" ht="15.75" customHeight="1" s="205"/>
    <row r="580" ht="15.75" customHeight="1" s="205"/>
    <row r="581" ht="15.75" customHeight="1" s="205"/>
    <row r="582" ht="15.75" customHeight="1" s="205"/>
    <row r="583" ht="15.75" customHeight="1" s="205"/>
    <row r="584" ht="15.75" customHeight="1" s="205"/>
    <row r="585" ht="15.75" customHeight="1" s="205"/>
    <row r="586" ht="15.75" customHeight="1" s="205"/>
    <row r="587" ht="15.75" customHeight="1" s="205"/>
    <row r="588" ht="15.75" customHeight="1" s="205"/>
    <row r="589" ht="15.75" customHeight="1" s="205"/>
    <row r="590" ht="15.75" customHeight="1" s="205"/>
    <row r="591" ht="15.75" customHeight="1" s="205"/>
    <row r="592" ht="15.75" customHeight="1" s="205"/>
    <row r="593" ht="15.75" customHeight="1" s="205"/>
    <row r="594" ht="15.75" customHeight="1" s="205"/>
    <row r="595" ht="15.75" customHeight="1" s="205"/>
    <row r="596" ht="15.75" customHeight="1" s="205"/>
    <row r="597" ht="15.75" customHeight="1" s="205"/>
    <row r="598" ht="15.75" customHeight="1" s="205"/>
    <row r="599" ht="15.75" customHeight="1" s="205"/>
    <row r="600" ht="15.75" customHeight="1" s="205"/>
    <row r="601" ht="15.75" customHeight="1" s="205"/>
    <row r="602" ht="15.75" customHeight="1" s="205"/>
    <row r="603" ht="15.75" customHeight="1" s="205"/>
    <row r="604" ht="15.75" customHeight="1" s="205"/>
    <row r="605" ht="15.75" customHeight="1" s="205"/>
    <row r="606" ht="15.75" customHeight="1" s="205"/>
    <row r="607" ht="15.75" customHeight="1" s="205"/>
    <row r="608" ht="15.75" customHeight="1" s="205"/>
    <row r="609" ht="15.75" customHeight="1" s="205"/>
    <row r="610" ht="15.75" customHeight="1" s="205"/>
    <row r="611" ht="15.75" customHeight="1" s="205"/>
    <row r="612" ht="15.75" customHeight="1" s="205"/>
    <row r="613" ht="15.75" customHeight="1" s="205"/>
    <row r="614" ht="15.75" customHeight="1" s="205"/>
    <row r="615" ht="15.75" customHeight="1" s="205"/>
    <row r="616" ht="15.75" customHeight="1" s="205"/>
    <row r="617" ht="15.75" customHeight="1" s="205"/>
    <row r="618" ht="15.75" customHeight="1" s="205"/>
    <row r="619" ht="15.75" customHeight="1" s="205"/>
    <row r="620" ht="15.75" customHeight="1" s="205"/>
    <row r="621" ht="15.75" customHeight="1" s="205"/>
    <row r="622" ht="15.75" customHeight="1" s="205"/>
    <row r="623" ht="15.75" customHeight="1" s="205"/>
    <row r="624" ht="15.75" customHeight="1" s="205"/>
    <row r="625" ht="15.75" customHeight="1" s="205"/>
    <row r="626" ht="15.75" customHeight="1" s="205"/>
    <row r="627" ht="15.75" customHeight="1" s="205"/>
    <row r="628" ht="15.75" customHeight="1" s="205"/>
    <row r="629" ht="15.75" customHeight="1" s="205"/>
    <row r="630" ht="15.75" customHeight="1" s="205"/>
    <row r="631" ht="15.75" customHeight="1" s="205"/>
    <row r="632" ht="15.75" customHeight="1" s="205"/>
    <row r="633" ht="15.75" customHeight="1" s="205"/>
    <row r="634" ht="15.75" customHeight="1" s="205"/>
    <row r="635" ht="15.75" customHeight="1" s="205"/>
    <row r="636" ht="15.75" customHeight="1" s="205"/>
    <row r="637" ht="15.75" customHeight="1" s="205"/>
    <row r="638" ht="15.75" customHeight="1" s="205"/>
    <row r="639" ht="15.75" customHeight="1" s="205"/>
    <row r="640" ht="15.75" customHeight="1" s="205"/>
    <row r="641" ht="15.75" customHeight="1" s="205"/>
    <row r="642" ht="15.75" customHeight="1" s="205"/>
    <row r="643" ht="15.75" customHeight="1" s="205"/>
    <row r="644" ht="15.75" customHeight="1" s="205"/>
    <row r="645" ht="15.75" customHeight="1" s="205"/>
    <row r="646" ht="15.75" customHeight="1" s="205"/>
    <row r="647" ht="15.75" customHeight="1" s="205"/>
    <row r="648" ht="15.75" customHeight="1" s="205"/>
    <row r="649" ht="15.75" customHeight="1" s="205"/>
    <row r="650" ht="15.75" customHeight="1" s="205"/>
    <row r="651" ht="15.75" customHeight="1" s="205"/>
    <row r="652" ht="15.75" customHeight="1" s="205"/>
    <row r="653" ht="15.75" customHeight="1" s="205"/>
    <row r="654" ht="15.75" customHeight="1" s="205"/>
    <row r="655" ht="15.75" customHeight="1" s="205"/>
    <row r="656" ht="15.75" customHeight="1" s="205"/>
    <row r="657" ht="15.75" customHeight="1" s="205"/>
    <row r="658" ht="15.75" customHeight="1" s="205"/>
    <row r="659" ht="15.75" customHeight="1" s="205"/>
    <row r="660" ht="15.75" customHeight="1" s="205"/>
    <row r="661" ht="15.75" customHeight="1" s="205"/>
    <row r="662" ht="15.75" customHeight="1" s="205"/>
    <row r="663" ht="15.75" customHeight="1" s="205"/>
    <row r="664" ht="15.75" customHeight="1" s="205"/>
    <row r="665" ht="15.75" customHeight="1" s="205"/>
    <row r="666" ht="15.75" customHeight="1" s="205"/>
    <row r="667" ht="15.75" customHeight="1" s="205"/>
    <row r="668" ht="15.75" customHeight="1" s="205"/>
    <row r="669" ht="15.75" customHeight="1" s="205"/>
    <row r="670" ht="15.75" customHeight="1" s="205"/>
    <row r="671" ht="15.75" customHeight="1" s="205"/>
    <row r="672" ht="15.75" customHeight="1" s="205"/>
    <row r="673" ht="15.75" customHeight="1" s="205"/>
    <row r="674" ht="15.75" customHeight="1" s="205"/>
    <row r="675" ht="15.75" customHeight="1" s="205"/>
    <row r="676" ht="15.75" customHeight="1" s="205"/>
    <row r="677" ht="15.75" customHeight="1" s="205"/>
    <row r="678" ht="15.75" customHeight="1" s="205"/>
    <row r="679" ht="15.75" customHeight="1" s="205"/>
    <row r="680" ht="15.75" customHeight="1" s="205"/>
    <row r="681" ht="15.75" customHeight="1" s="205"/>
    <row r="682" ht="15.75" customHeight="1" s="205"/>
    <row r="683" ht="15.75" customHeight="1" s="205"/>
    <row r="684" ht="15.75" customHeight="1" s="205"/>
    <row r="685" ht="15.75" customHeight="1" s="205"/>
    <row r="686" ht="15.75" customHeight="1" s="205"/>
    <row r="687" ht="15.75" customHeight="1" s="205"/>
    <row r="688" ht="15.75" customHeight="1" s="205"/>
    <row r="689" ht="15.75" customHeight="1" s="205"/>
    <row r="690" ht="15.75" customHeight="1" s="205"/>
    <row r="691" ht="15.75" customHeight="1" s="205"/>
    <row r="692" ht="15.75" customHeight="1" s="205"/>
    <row r="693" ht="15.75" customHeight="1" s="205"/>
    <row r="694" ht="15.75" customHeight="1" s="205"/>
    <row r="695" ht="15.75" customHeight="1" s="205"/>
    <row r="696" ht="15.75" customHeight="1" s="205"/>
    <row r="697" ht="15.75" customHeight="1" s="205"/>
    <row r="698" ht="15.75" customHeight="1" s="205"/>
    <row r="699" ht="15.75" customHeight="1" s="205"/>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row r="987" ht="15.75" customHeight="1" s="205"/>
    <row r="988" ht="15.75" customHeight="1" s="205"/>
    <row r="989" ht="15.75" customHeight="1" s="205"/>
    <row r="990" ht="15.75" customHeight="1" s="205"/>
    <row r="991" ht="15.75" customHeight="1" s="205"/>
    <row r="992" ht="15.75" customHeight="1" s="205"/>
    <row r="993" ht="15.75" customHeight="1" s="205"/>
    <row r="994" ht="15.75" customHeight="1" s="205"/>
    <row r="995" ht="15.75" customHeight="1" s="205"/>
    <row r="996" ht="15.75" customHeight="1" s="205"/>
    <row r="997" ht="15.75" customHeight="1" s="205"/>
    <row r="998" ht="15.75" customHeight="1" s="205"/>
    <row r="999" ht="15.75" customHeight="1" s="205"/>
    <row r="1000" ht="15.75" customHeight="1" s="205"/>
  </sheetData>
  <mergeCells count="10">
    <mergeCell ref="B4:B17"/>
    <mergeCell ref="C4:C17"/>
    <mergeCell ref="F4:F17"/>
    <mergeCell ref="B1:I2"/>
    <mergeCell ref="I3:I17"/>
    <mergeCell ref="G4:G17"/>
    <mergeCell ref="D4:D17"/>
    <mergeCell ref="E4:E17"/>
    <mergeCell ref="H4:H17"/>
    <mergeCell ref="A1:A16"/>
  </mergeCells>
  <dataValidations count="5">
    <dataValidation sqref="G4" showDropDown="0" showInputMessage="0" showErrorMessage="1" allowBlank="1" type="list">
      <formula1>"Hook - Value - CTA,Problem - Solution - CTA,Cerita - Insight - Interaksi,Data Shock - Penyebab - Tips Ringan,Pertanyaan - Jawaban - CTA,Relate - Solusi - Reminder,Listicle - Insight - CTA,Gagal - Belajar - Repeat,Fakta - Twist - Insight Baru,Kutipan - Rel"&amp;"evansi - CTA"</formula1>
    </dataValidation>
    <dataValidation sqref="E4" showDropDown="0" showInputMessage="0" showErrorMessage="1" allowBlank="1" type="list">
      <formula1>"Friendly,Professional,Confident,Playful,Calm,Fun &amp; Energetic,Elegant,Warm,Bold,Empathetic,Inspirational,Witty,Serious"</formula1>
    </dataValidation>
    <dataValidation sqref="F4" showDropDown="0" showInputMessage="0" showErrorMessage="1" allowBlank="1" type="list">
      <formula1>"Untuk Engagement,Untuk Aksi Lanjutan,Untuk Repeat Visit &amp; Reminder,Untuk Edukasi &amp; Refleksi,Komentar Kata Tertentu"</formula1>
    </dataValidation>
    <dataValidation sqref="D4" showDropDown="0" showInputMessage="1" showErrorMessage="1" allowBlank="1" prompt="Click and enter a value from the list of items" type="list">
      <formula1>"Instagram,TikTok,YouTube,LinkedIn"</formula1>
    </dataValidation>
    <dataValidation sqref="H4" showDropDown="0" showInputMessage="0" showErrorMessage="1" allowBlank="1" type="list">
      <formula1>"Caption Singkat,Caption Panjang"</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A699"/>
  <sheetViews>
    <sheetView workbookViewId="0">
      <selection activeCell="A1" sqref="A1"/>
    </sheetView>
  </sheetViews>
  <sheetFormatPr baseColWidth="8" defaultColWidth="14.43" defaultRowHeight="15" customHeight="1"/>
  <cols>
    <col width="3.57" customWidth="1" style="205" min="1" max="1"/>
    <col width="37" customWidth="1" style="205" min="2" max="2"/>
    <col width="25.14" customWidth="1" style="205" min="3" max="3"/>
    <col width="15.86" customWidth="1" style="205" min="4" max="4"/>
    <col width="15.43" customWidth="1" style="205" min="5" max="5"/>
    <col width="19.29" customWidth="1" style="205" min="6" max="6"/>
    <col width="13.29" customWidth="1" style="205" min="7" max="7"/>
    <col width="23.57" customWidth="1" style="205" min="8" max="8"/>
    <col width="16.71" customWidth="1" style="205" min="9" max="9"/>
    <col width="21" customWidth="1" style="205" min="10" max="10"/>
    <col width="28.43" customWidth="1" style="205" min="11" max="11"/>
    <col width="21.43" customWidth="1" style="205" min="15" max="15"/>
    <col width="12.29" customWidth="1" style="205" min="22" max="22"/>
    <col width="13.86" customWidth="1" style="205" min="23" max="24"/>
    <col width="22.14" customWidth="1" style="205" min="25" max="25"/>
    <col width="16.43" customWidth="1" style="205" min="26" max="27"/>
  </cols>
  <sheetData>
    <row r="1">
      <c r="A1" s="199" t="n"/>
      <c r="B1" s="180" t="inlineStr">
        <is>
          <t xml:space="preserve">             CONTENT BATCHING - HARIAN, MINGGUAN &amp; BULANAN</t>
        </is>
      </c>
      <c r="R1" s="181" t="inlineStr">
        <is>
          <t xml:space="preserve">     CONTENT REPORT</t>
        </is>
      </c>
    </row>
    <row r="2">
      <c r="A2" s="199" t="n"/>
    </row>
    <row r="3">
      <c r="A3" s="199" t="n"/>
    </row>
    <row r="4">
      <c r="A4" s="199" t="n"/>
    </row>
    <row r="5">
      <c r="A5" s="199" t="n"/>
    </row>
    <row r="6">
      <c r="A6" s="182" t="n"/>
      <c r="B6" s="183" t="inlineStr">
        <is>
          <t>Tanggal Posting</t>
        </is>
      </c>
      <c r="C6" s="183" t="inlineStr">
        <is>
          <t>Jam Posting</t>
        </is>
      </c>
      <c r="D6" s="183" t="inlineStr">
        <is>
          <t>PIC</t>
        </is>
      </c>
      <c r="E6" s="183" t="inlineStr">
        <is>
          <t>Platform</t>
        </is>
      </c>
      <c r="F6" s="183" t="inlineStr">
        <is>
          <t>Format Konten</t>
        </is>
      </c>
      <c r="G6" s="183" t="inlineStr">
        <is>
          <t>Goals</t>
        </is>
      </c>
      <c r="H6" s="183" t="inlineStr">
        <is>
          <t>Content Pillar</t>
        </is>
      </c>
      <c r="I6" s="183" t="inlineStr">
        <is>
          <t>Judul Konten</t>
        </is>
      </c>
      <c r="J6" s="183" t="inlineStr">
        <is>
          <t>Script Konten</t>
        </is>
      </c>
      <c r="K6" s="183" t="inlineStr">
        <is>
          <t>Link Referensi (Optional)</t>
        </is>
      </c>
      <c r="L6" s="183" t="inlineStr">
        <is>
          <t>Keterangan Postingan (Caption)</t>
        </is>
      </c>
      <c r="M6" s="183" t="inlineStr">
        <is>
          <t>Link Design Final</t>
        </is>
      </c>
      <c r="N6" s="183" t="inlineStr">
        <is>
          <t>Gambar Design</t>
        </is>
      </c>
      <c r="O6" s="183" t="inlineStr">
        <is>
          <t>Status Konten</t>
        </is>
      </c>
      <c r="P6" s="183" t="inlineStr">
        <is>
          <t>Link Konten yang sudah diupload</t>
        </is>
      </c>
      <c r="Q6" s="183" t="inlineStr">
        <is>
          <t>Catatan</t>
        </is>
      </c>
      <c r="R6" s="184" t="inlineStr">
        <is>
          <t>Reach</t>
        </is>
      </c>
      <c r="S6" s="184" t="inlineStr">
        <is>
          <t>Views</t>
        </is>
      </c>
      <c r="T6" s="184" t="inlineStr">
        <is>
          <t>Likes</t>
        </is>
      </c>
      <c r="U6" s="184" t="inlineStr">
        <is>
          <t>Comment</t>
        </is>
      </c>
      <c r="V6" s="184" t="inlineStr">
        <is>
          <t>Share</t>
        </is>
      </c>
      <c r="W6" s="184" t="inlineStr">
        <is>
          <t>Save</t>
        </is>
      </c>
      <c r="X6" s="184" t="inlineStr">
        <is>
          <t>Repost</t>
        </is>
      </c>
      <c r="Y6" s="184" t="inlineStr">
        <is>
          <t>Followers Saat Ini</t>
        </is>
      </c>
      <c r="Z6" s="184" t="inlineStr">
        <is>
          <t>Engagement</t>
        </is>
      </c>
      <c r="AA6" s="184" t="inlineStr">
        <is>
          <t>Engagement Rate (ER)</t>
        </is>
      </c>
    </row>
    <row r="7" ht="39" customHeight="1" s="205">
      <c r="A7" s="185" t="n"/>
    </row>
    <row r="8">
      <c r="A8" s="199" t="n"/>
      <c r="B8" s="186" t="inlineStr">
        <is>
          <t>6 Mei 2026</t>
        </is>
      </c>
      <c r="C8" s="187" t="inlineStr">
        <is>
          <t>19:00</t>
        </is>
      </c>
      <c r="D8" s="199" t="inlineStr">
        <is>
          <t>zacklyne</t>
        </is>
      </c>
      <c r="E8" s="199" t="inlineStr">
        <is>
          <t>Instagram</t>
        </is>
      </c>
      <c r="F8" s="199" t="inlineStr">
        <is>
          <t>Carousel</t>
        </is>
      </c>
      <c r="G8" s="199" t="inlineStr">
        <is>
          <t>Engagement</t>
        </is>
      </c>
      <c r="H8" s="199" t="inlineStr">
        <is>
          <t>Tips &amp; Strategi Juara Lomba (Edukasi)</t>
        </is>
      </c>
      <c r="I8" s="189" t="inlineStr">
        <is>
          <t>5 Kesalahan Fatal Saat Daftar Lomba yang Bikin Gugur di Awal</t>
        </is>
      </c>
      <c r="J8" s="190" t="inlineStr">
        <is>
          <t>Banyak peserta gagal bukan karena idenya jelek, tapi karena 5 kesalahan dasar ini. Slide 1 hook, slide 2-6 kesalahan utama, slide 7 solusi cepat, slide 8 CTA save, tag teman, dan follow @ikutlomba.</t>
        </is>
      </c>
      <c r="K8" s="199" t="n"/>
      <c r="L8" s="199" t="n"/>
      <c r="M8" s="199" t="n"/>
      <c r="N8" s="199" t="n"/>
      <c r="O8" s="199" t="inlineStr">
        <is>
          <t>Siap Posting</t>
        </is>
      </c>
      <c r="P8" s="199" t="n"/>
      <c r="Q8" s="199" t="n"/>
      <c r="R8" s="202" t="n">
        <v>26000</v>
      </c>
      <c r="S8" s="202" t="n">
        <v>30000</v>
      </c>
      <c r="T8" s="202" t="n">
        <v>100</v>
      </c>
      <c r="U8" s="202" t="n">
        <v>105</v>
      </c>
      <c r="V8" s="202" t="n">
        <v>24</v>
      </c>
      <c r="W8" s="202" t="n">
        <v>11</v>
      </c>
      <c r="X8" s="202" t="n">
        <v>20</v>
      </c>
      <c r="Y8" s="202" t="n">
        <v>25000</v>
      </c>
      <c r="Z8" s="202">
        <f>sum(T8:X8)</f>
        <v/>
      </c>
      <c r="AA8" s="203">
        <f>sum(Z8/Y8)*100%</f>
        <v/>
      </c>
    </row>
    <row r="9">
      <c r="A9" s="199" t="n"/>
      <c r="B9" s="200" t="n"/>
      <c r="C9" s="201" t="n"/>
      <c r="D9" s="199" t="n"/>
      <c r="E9" s="199" t="n"/>
      <c r="F9" s="199" t="n"/>
      <c r="G9" s="199" t="n"/>
      <c r="H9" s="199" t="n"/>
      <c r="I9" s="201" t="n"/>
      <c r="J9" s="201" t="n"/>
      <c r="K9" s="201" t="n"/>
      <c r="L9" s="201" t="n"/>
      <c r="M9" s="201" t="n"/>
      <c r="N9" s="201" t="n"/>
      <c r="O9" s="201" t="n"/>
      <c r="P9" s="201" t="n"/>
      <c r="Q9" s="201" t="n"/>
      <c r="R9" s="201" t="n"/>
      <c r="S9" s="201" t="n"/>
      <c r="T9" s="201" t="n"/>
      <c r="U9" s="201" t="n"/>
      <c r="V9" s="201" t="n"/>
      <c r="W9" s="201" t="n"/>
      <c r="X9" s="201" t="n"/>
      <c r="Y9" s="201" t="n"/>
      <c r="Z9" s="202">
        <f>sum(T9:X9)</f>
        <v/>
      </c>
      <c r="AA9" s="203">
        <f>sum(Z9/Y9)*100%</f>
        <v/>
      </c>
    </row>
    <row r="10">
      <c r="A10" s="199" t="n"/>
      <c r="B10" s="204" t="n"/>
      <c r="C10" s="199" t="n"/>
      <c r="D10" s="199" t="n"/>
      <c r="E10" s="199" t="n"/>
      <c r="F10" s="199" t="n"/>
      <c r="G10" s="199" t="n"/>
      <c r="H10" s="199" t="n"/>
      <c r="I10" s="199" t="n"/>
      <c r="J10" s="199" t="n"/>
      <c r="K10" s="199" t="n"/>
      <c r="L10" s="199" t="n"/>
      <c r="M10" s="199" t="n"/>
      <c r="N10" s="199" t="n"/>
      <c r="O10" s="199" t="n"/>
      <c r="P10" s="199" t="n"/>
      <c r="Q10" s="199" t="n"/>
      <c r="R10" s="199" t="n"/>
      <c r="S10" s="199" t="n"/>
      <c r="T10" s="199" t="n"/>
      <c r="U10" s="199" t="n"/>
      <c r="V10" s="199" t="n"/>
      <c r="W10" s="199" t="n"/>
      <c r="X10" s="199" t="n"/>
      <c r="Y10" s="199" t="n"/>
      <c r="Z10" s="202">
        <f>sum(T10:X10)</f>
        <v/>
      </c>
      <c r="AA10" s="203">
        <f>sum(Z10/Y10)*100%</f>
        <v/>
      </c>
    </row>
    <row r="11">
      <c r="A11" s="199" t="n"/>
      <c r="B11" s="200" t="n"/>
      <c r="C11" s="201" t="n"/>
      <c r="D11" s="199" t="n"/>
      <c r="E11" s="199" t="n"/>
      <c r="F11" s="199" t="n"/>
      <c r="G11" s="199" t="n"/>
      <c r="H11" s="199" t="n"/>
      <c r="I11" s="201" t="n"/>
      <c r="J11" s="201" t="n"/>
      <c r="K11" s="201" t="n"/>
      <c r="L11" s="201" t="n"/>
      <c r="M11" s="201" t="n"/>
      <c r="N11" s="201" t="n"/>
      <c r="O11" s="201" t="n"/>
      <c r="P11" s="201" t="n"/>
      <c r="Q11" s="201" t="n"/>
      <c r="R11" s="201" t="n"/>
      <c r="S11" s="201" t="n"/>
      <c r="T11" s="201" t="n"/>
      <c r="U11" s="201" t="n"/>
      <c r="V11" s="201" t="n"/>
      <c r="W11" s="201" t="n"/>
      <c r="X11" s="201" t="n"/>
      <c r="Y11" s="201" t="n"/>
      <c r="Z11" s="202">
        <f>sum(T11:X11)</f>
        <v/>
      </c>
      <c r="AA11" s="203">
        <f>sum(Z11/Y11)*100%</f>
        <v/>
      </c>
    </row>
    <row r="12">
      <c r="A12" s="199" t="n"/>
      <c r="B12" s="196" t="n"/>
      <c r="C12" s="197" t="n"/>
      <c r="D12" s="199" t="n"/>
      <c r="E12" s="199" t="n"/>
      <c r="F12" s="199" t="n"/>
      <c r="G12" s="199" t="n"/>
      <c r="H12" s="199" t="n"/>
      <c r="I12" s="199" t="n"/>
      <c r="J12" s="199" t="n"/>
      <c r="K12" s="199" t="n"/>
      <c r="L12" s="199" t="n"/>
      <c r="M12" s="199" t="n"/>
      <c r="N12" s="199" t="n"/>
      <c r="O12" s="199" t="n"/>
      <c r="P12" s="199" t="n"/>
      <c r="Q12" s="199" t="n"/>
      <c r="R12" s="182" t="n"/>
      <c r="S12" s="182" t="n"/>
      <c r="T12" s="182" t="n"/>
      <c r="U12" s="182" t="n"/>
      <c r="V12" s="182" t="n"/>
      <c r="W12" s="182" t="n"/>
      <c r="X12" s="182" t="n"/>
      <c r="Y12" s="182" t="n"/>
      <c r="Z12" s="202">
        <f>sum(T12:X12)</f>
        <v/>
      </c>
      <c r="AA12" s="203">
        <f>sum(Z12/Y12)*100%</f>
        <v/>
      </c>
    </row>
    <row r="13">
      <c r="A13" s="199" t="n"/>
      <c r="B13" s="200" t="n"/>
      <c r="C13" s="201" t="n"/>
      <c r="D13" s="199" t="n"/>
      <c r="E13" s="199" t="n"/>
      <c r="F13" s="199" t="n"/>
      <c r="G13" s="199" t="n"/>
      <c r="H13" s="199" t="n"/>
      <c r="I13" s="201" t="n"/>
      <c r="J13" s="201" t="n"/>
      <c r="K13" s="201" t="n"/>
      <c r="L13" s="201" t="n"/>
      <c r="M13" s="201" t="n"/>
      <c r="N13" s="201" t="n"/>
      <c r="O13" s="201" t="n"/>
      <c r="P13" s="201" t="n"/>
      <c r="Q13" s="201" t="n"/>
      <c r="R13" s="201" t="n"/>
      <c r="S13" s="201" t="n"/>
      <c r="T13" s="201" t="n"/>
      <c r="U13" s="201" t="n"/>
      <c r="V13" s="201" t="n"/>
      <c r="W13" s="201" t="n"/>
      <c r="X13" s="201" t="n"/>
      <c r="Y13" s="201" t="n"/>
      <c r="Z13" s="202">
        <f>sum(T13:X13)</f>
        <v/>
      </c>
      <c r="AA13" s="203">
        <f>sum(Z13/Y13)*100%</f>
        <v/>
      </c>
    </row>
    <row r="14">
      <c r="A14" s="199" t="n"/>
      <c r="B14" s="204" t="n"/>
      <c r="C14" s="199" t="n"/>
      <c r="D14" s="199" t="n"/>
      <c r="E14" s="199" t="n"/>
      <c r="F14" s="199" t="n"/>
      <c r="G14" s="199" t="n"/>
      <c r="H14" s="199" t="n"/>
      <c r="I14" s="199" t="n"/>
      <c r="J14" s="199" t="n"/>
      <c r="K14" s="199" t="n"/>
      <c r="L14" s="199" t="n"/>
      <c r="M14" s="199" t="n"/>
      <c r="N14" s="199" t="n"/>
      <c r="O14" s="199" t="n"/>
      <c r="P14" s="199" t="n"/>
      <c r="Q14" s="199" t="n"/>
      <c r="R14" s="199" t="n"/>
      <c r="S14" s="199" t="n"/>
      <c r="T14" s="199" t="n"/>
      <c r="U14" s="199" t="n"/>
      <c r="V14" s="199" t="n"/>
      <c r="W14" s="199" t="n"/>
      <c r="X14" s="199" t="n"/>
      <c r="Y14" s="199" t="n"/>
      <c r="Z14" s="202">
        <f>sum(T14:X14)</f>
        <v/>
      </c>
      <c r="AA14" s="203">
        <f>sum(Z14/Y14)*100%</f>
        <v/>
      </c>
    </row>
    <row r="15">
      <c r="A15" s="199" t="n"/>
      <c r="B15" s="200" t="n"/>
      <c r="C15" s="201" t="n"/>
      <c r="D15" s="199" t="n"/>
      <c r="E15" s="199" t="n"/>
      <c r="F15" s="199" t="n"/>
      <c r="G15" s="199" t="n"/>
      <c r="H15" s="199" t="n"/>
      <c r="I15" s="201" t="n"/>
      <c r="J15" s="201" t="n"/>
      <c r="K15" s="201" t="n"/>
      <c r="L15" s="201" t="n"/>
      <c r="M15" s="201" t="n"/>
      <c r="N15" s="201" t="n"/>
      <c r="O15" s="201" t="n"/>
      <c r="P15" s="201" t="n"/>
      <c r="Q15" s="201" t="n"/>
      <c r="R15" s="201" t="n"/>
      <c r="S15" s="201" t="n"/>
      <c r="T15" s="201" t="n"/>
      <c r="U15" s="201" t="n"/>
      <c r="V15" s="201" t="n"/>
      <c r="W15" s="201" t="n"/>
      <c r="X15" s="201" t="n"/>
      <c r="Y15" s="201" t="n"/>
      <c r="Z15" s="202">
        <f>sum(T15:X15)</f>
        <v/>
      </c>
      <c r="AA15" s="203">
        <f>sum(Z15/Y15)*100%</f>
        <v/>
      </c>
    </row>
    <row r="16">
      <c r="A16" s="199" t="n"/>
      <c r="B16" s="204" t="n"/>
      <c r="C16" s="199" t="n"/>
      <c r="D16" s="199" t="n"/>
      <c r="E16" s="199" t="n"/>
      <c r="F16" s="199" t="n"/>
      <c r="G16" s="199" t="n"/>
      <c r="H16" s="199" t="n"/>
      <c r="I16" s="199" t="n"/>
      <c r="J16" s="199" t="n"/>
      <c r="K16" s="199" t="n"/>
      <c r="L16" s="199" t="n"/>
      <c r="M16" s="199" t="n"/>
      <c r="N16" s="199" t="n"/>
      <c r="O16" s="199" t="n"/>
      <c r="P16" s="199" t="n"/>
      <c r="Q16" s="199" t="n"/>
      <c r="R16" s="199" t="n"/>
      <c r="S16" s="199" t="n"/>
      <c r="T16" s="199" t="n"/>
      <c r="U16" s="199" t="n"/>
      <c r="V16" s="199" t="n"/>
      <c r="W16" s="199" t="n"/>
      <c r="X16" s="199" t="n"/>
      <c r="Y16" s="199" t="n"/>
      <c r="Z16" s="202">
        <f>sum(T16:X16)</f>
        <v/>
      </c>
      <c r="AA16" s="203">
        <f>sum(Z16/Y16)*100%</f>
        <v/>
      </c>
    </row>
    <row r="17">
      <c r="A17" s="199" t="n"/>
      <c r="B17" s="200" t="n"/>
      <c r="C17" s="201" t="n"/>
      <c r="D17" s="199" t="n"/>
      <c r="E17" s="199" t="n"/>
      <c r="F17" s="199" t="n"/>
      <c r="G17" s="199" t="n"/>
      <c r="H17" s="199" t="n"/>
      <c r="I17" s="201" t="n"/>
      <c r="J17" s="201" t="n"/>
      <c r="K17" s="201" t="n"/>
      <c r="L17" s="201" t="n"/>
      <c r="M17" s="201" t="n"/>
      <c r="N17" s="201" t="n"/>
      <c r="O17" s="201" t="n"/>
      <c r="P17" s="201" t="n"/>
      <c r="Q17" s="201" t="n"/>
      <c r="R17" s="201" t="n"/>
      <c r="S17" s="201" t="n"/>
      <c r="T17" s="201" t="n"/>
      <c r="U17" s="201" t="n"/>
      <c r="V17" s="201" t="n"/>
      <c r="W17" s="201" t="n"/>
      <c r="X17" s="201" t="n"/>
      <c r="Y17" s="201" t="n"/>
      <c r="Z17" s="202">
        <f>sum(T17:X17)</f>
        <v/>
      </c>
      <c r="AA17" s="203">
        <f>sum(Z17/Y17)*100%</f>
        <v/>
      </c>
    </row>
    <row r="18">
      <c r="A18" s="199" t="n"/>
      <c r="B18" s="204" t="n"/>
      <c r="C18" s="199" t="n"/>
      <c r="D18" s="199" t="n"/>
      <c r="E18" s="199" t="n"/>
      <c r="F18" s="199" t="n"/>
      <c r="G18" s="199" t="n"/>
      <c r="H18" s="199" t="n"/>
      <c r="I18" s="199" t="n"/>
      <c r="J18" s="199" t="n"/>
      <c r="K18" s="199" t="n"/>
      <c r="L18" s="199" t="n"/>
      <c r="M18" s="199" t="n"/>
      <c r="N18" s="199" t="n"/>
      <c r="O18" s="199" t="n"/>
      <c r="P18" s="199" t="n"/>
      <c r="Q18" s="199" t="n"/>
      <c r="R18" s="199" t="n"/>
      <c r="S18" s="199" t="n"/>
      <c r="T18" s="199" t="n"/>
      <c r="U18" s="199" t="n"/>
      <c r="V18" s="199" t="n"/>
      <c r="W18" s="199" t="n"/>
      <c r="X18" s="199" t="n"/>
      <c r="Y18" s="199" t="n"/>
      <c r="Z18" s="202">
        <f>sum(T18:X18)</f>
        <v/>
      </c>
      <c r="AA18" s="203">
        <f>sum(Z18/Y18)*100%</f>
        <v/>
      </c>
    </row>
    <row r="19">
      <c r="A19" s="199" t="n"/>
      <c r="B19" s="200" t="n"/>
      <c r="C19" s="201" t="n"/>
      <c r="D19" s="199" t="n"/>
      <c r="E19" s="199" t="n"/>
      <c r="F19" s="199" t="n"/>
      <c r="G19" s="199" t="n"/>
      <c r="H19" s="199" t="n"/>
      <c r="I19" s="201" t="n"/>
      <c r="J19" s="201" t="n"/>
      <c r="K19" s="201" t="n"/>
      <c r="L19" s="201" t="n"/>
      <c r="M19" s="201" t="n"/>
      <c r="N19" s="201" t="n"/>
      <c r="O19" s="201" t="n"/>
      <c r="P19" s="201" t="n"/>
      <c r="Q19" s="201" t="n"/>
      <c r="R19" s="201" t="n"/>
      <c r="S19" s="201" t="n"/>
      <c r="T19" s="201" t="n"/>
      <c r="U19" s="201" t="n"/>
      <c r="V19" s="201" t="n"/>
      <c r="W19" s="201" t="n"/>
      <c r="X19" s="201" t="n"/>
      <c r="Y19" s="201" t="n"/>
      <c r="Z19" s="202">
        <f>sum(T19:X19)</f>
        <v/>
      </c>
      <c r="AA19" s="203">
        <f>sum(Z19/Y19)*100%</f>
        <v/>
      </c>
    </row>
    <row r="20">
      <c r="A20" s="199" t="n"/>
      <c r="B20" s="204" t="n"/>
      <c r="C20" s="199" t="n"/>
      <c r="D20" s="199" t="n"/>
      <c r="E20" s="199" t="n"/>
      <c r="F20" s="199" t="n"/>
      <c r="G20" s="199" t="n"/>
      <c r="H20" s="199" t="n"/>
      <c r="I20" s="199" t="n"/>
      <c r="J20" s="199" t="n"/>
      <c r="K20" s="199" t="n"/>
      <c r="L20" s="199" t="n"/>
      <c r="M20" s="199" t="n"/>
      <c r="N20" s="199" t="n"/>
      <c r="O20" s="199" t="n"/>
      <c r="P20" s="199" t="n"/>
      <c r="Q20" s="199" t="n"/>
      <c r="R20" s="199" t="n"/>
      <c r="S20" s="199" t="n"/>
      <c r="T20" s="199" t="n"/>
      <c r="U20" s="199" t="n"/>
      <c r="V20" s="199" t="n"/>
      <c r="W20" s="199" t="n"/>
      <c r="X20" s="199" t="n"/>
      <c r="Y20" s="199" t="n"/>
      <c r="Z20" s="202">
        <f>sum(T20:X20)</f>
        <v/>
      </c>
      <c r="AA20" s="203">
        <f>sum(Z20/Y20)*100%</f>
        <v/>
      </c>
    </row>
    <row r="21" ht="15.75" customHeight="1" s="205">
      <c r="A21" s="199" t="n"/>
      <c r="B21" s="200" t="n"/>
      <c r="C21" s="201" t="n"/>
      <c r="D21" s="199" t="n"/>
      <c r="E21" s="199" t="n"/>
      <c r="F21" s="199" t="n"/>
      <c r="G21" s="199" t="n"/>
      <c r="H21" s="199" t="n"/>
      <c r="I21" s="201" t="n"/>
      <c r="J21" s="201" t="n"/>
      <c r="K21" s="201" t="n"/>
      <c r="L21" s="201" t="n"/>
      <c r="M21" s="201" t="n"/>
      <c r="N21" s="201" t="n"/>
      <c r="O21" s="201" t="n"/>
      <c r="P21" s="201" t="n"/>
      <c r="Q21" s="201" t="n"/>
      <c r="R21" s="201" t="n"/>
      <c r="S21" s="201" t="n"/>
      <c r="T21" s="201" t="n"/>
      <c r="U21" s="201" t="n"/>
      <c r="V21" s="201" t="n"/>
      <c r="W21" s="201" t="n"/>
      <c r="X21" s="201" t="n"/>
      <c r="Y21" s="201" t="n"/>
      <c r="Z21" s="202">
        <f>sum(T21:X21)</f>
        <v/>
      </c>
      <c r="AA21" s="203">
        <f>sum(Z21/Y21)*100%</f>
        <v/>
      </c>
    </row>
    <row r="22" ht="15.75" customHeight="1" s="205">
      <c r="A22" s="199" t="n"/>
      <c r="B22" s="204" t="n"/>
      <c r="C22" s="199" t="n"/>
      <c r="D22" s="199" t="n"/>
      <c r="E22" s="199" t="n"/>
      <c r="F22" s="199" t="n"/>
      <c r="G22" s="199" t="n"/>
      <c r="H22" s="199" t="n"/>
      <c r="I22" s="199" t="n"/>
      <c r="J22" s="199" t="n"/>
      <c r="K22" s="199" t="n"/>
      <c r="L22" s="199" t="n"/>
      <c r="M22" s="199" t="n"/>
      <c r="N22" s="199" t="n"/>
      <c r="O22" s="199" t="n"/>
      <c r="P22" s="199" t="n"/>
      <c r="Q22" s="199" t="n"/>
      <c r="R22" s="199" t="n"/>
      <c r="S22" s="199" t="n"/>
      <c r="T22" s="199" t="n"/>
      <c r="U22" s="199" t="n"/>
      <c r="V22" s="199" t="n"/>
      <c r="W22" s="199" t="n"/>
      <c r="X22" s="199" t="n"/>
      <c r="Y22" s="199" t="n"/>
      <c r="Z22" s="202">
        <f>sum(T22:X22)</f>
        <v/>
      </c>
      <c r="AA22" s="203">
        <f>sum(Z22/Y22)*100%</f>
        <v/>
      </c>
    </row>
    <row r="23" ht="15.75" customHeight="1" s="205">
      <c r="A23" s="199" t="n"/>
      <c r="B23" s="200" t="n"/>
      <c r="C23" s="201" t="n"/>
      <c r="D23" s="199" t="n"/>
      <c r="E23" s="199" t="n"/>
      <c r="F23" s="199" t="n"/>
      <c r="G23" s="199" t="n"/>
      <c r="H23" s="199" t="n"/>
      <c r="I23" s="201" t="n"/>
      <c r="J23" s="201" t="n"/>
      <c r="K23" s="201" t="n"/>
      <c r="L23" s="201" t="n"/>
      <c r="M23" s="201" t="n"/>
      <c r="N23" s="201" t="n"/>
      <c r="O23" s="201" t="n"/>
      <c r="P23" s="201" t="n"/>
      <c r="Q23" s="201" t="n"/>
      <c r="R23" s="201" t="n"/>
      <c r="S23" s="201" t="n"/>
      <c r="T23" s="201" t="n"/>
      <c r="U23" s="201" t="n"/>
      <c r="V23" s="201" t="n"/>
      <c r="W23" s="201" t="n"/>
      <c r="X23" s="201" t="n"/>
      <c r="Y23" s="201" t="n"/>
      <c r="Z23" s="202">
        <f>sum(T23:X23)</f>
        <v/>
      </c>
      <c r="AA23" s="203">
        <f>sum(Z23/Y23)*100%</f>
        <v/>
      </c>
    </row>
    <row r="24" ht="15.75" customHeight="1" s="205">
      <c r="A24" s="199" t="n"/>
      <c r="B24" s="204" t="n"/>
      <c r="C24" s="199" t="n"/>
      <c r="D24" s="199" t="n"/>
      <c r="E24" s="199" t="n"/>
      <c r="F24" s="199" t="n"/>
      <c r="G24" s="199" t="n"/>
      <c r="H24" s="199" t="n"/>
      <c r="I24" s="199" t="n"/>
      <c r="J24" s="199" t="n"/>
      <c r="K24" s="199" t="n"/>
      <c r="L24" s="199" t="n"/>
      <c r="M24" s="199" t="n"/>
      <c r="N24" s="199" t="n"/>
      <c r="O24" s="199" t="n"/>
      <c r="P24" s="199" t="n"/>
      <c r="Q24" s="199" t="n"/>
      <c r="R24" s="199" t="n"/>
      <c r="S24" s="199" t="n"/>
      <c r="T24" s="199" t="n"/>
      <c r="U24" s="199" t="n"/>
      <c r="V24" s="199" t="n"/>
      <c r="W24" s="199" t="n"/>
      <c r="X24" s="199" t="n"/>
      <c r="Y24" s="199" t="n"/>
      <c r="Z24" s="202">
        <f>sum(T24:X24)</f>
        <v/>
      </c>
      <c r="AA24" s="203">
        <f>sum(Z24/Y24)*100%</f>
        <v/>
      </c>
    </row>
    <row r="25" ht="15.75" customHeight="1" s="205">
      <c r="A25" s="199" t="n"/>
      <c r="B25" s="200" t="n"/>
      <c r="C25" s="201" t="n"/>
      <c r="D25" s="199" t="n"/>
      <c r="E25" s="199" t="n"/>
      <c r="F25" s="199" t="n"/>
      <c r="G25" s="199" t="n"/>
      <c r="H25" s="199" t="n"/>
      <c r="I25" s="201" t="n"/>
      <c r="J25" s="201" t="n"/>
      <c r="K25" s="201" t="n"/>
      <c r="L25" s="201" t="n"/>
      <c r="M25" s="201" t="n"/>
      <c r="N25" s="201" t="n"/>
      <c r="O25" s="201" t="n"/>
      <c r="P25" s="201" t="n"/>
      <c r="Q25" s="201" t="n"/>
      <c r="R25" s="201" t="n"/>
      <c r="S25" s="201" t="n"/>
      <c r="T25" s="201" t="n"/>
      <c r="U25" s="201" t="n"/>
      <c r="V25" s="201" t="n"/>
      <c r="W25" s="201" t="n"/>
      <c r="X25" s="201" t="n"/>
      <c r="Y25" s="201" t="n"/>
      <c r="Z25" s="202">
        <f>sum(T25:X25)</f>
        <v/>
      </c>
      <c r="AA25" s="203">
        <f>sum(Z25/Y25)*100%</f>
        <v/>
      </c>
    </row>
    <row r="26" ht="15.75" customHeight="1" s="205">
      <c r="A26" s="199" t="n"/>
      <c r="B26" s="204" t="n"/>
      <c r="C26" s="199" t="n"/>
      <c r="D26" s="199" t="n"/>
      <c r="E26" s="199" t="n"/>
      <c r="F26" s="199" t="n"/>
      <c r="G26" s="199" t="n"/>
      <c r="H26" s="199" t="n"/>
      <c r="I26" s="199" t="n"/>
      <c r="J26" s="199" t="n"/>
      <c r="K26" s="199" t="n"/>
      <c r="L26" s="199" t="n"/>
      <c r="M26" s="199" t="n"/>
      <c r="N26" s="199" t="n"/>
      <c r="O26" s="199" t="n"/>
      <c r="P26" s="199" t="n"/>
      <c r="Q26" s="199" t="n"/>
      <c r="R26" s="199" t="n"/>
      <c r="S26" s="199" t="n"/>
      <c r="T26" s="199" t="n"/>
      <c r="U26" s="199" t="n"/>
      <c r="V26" s="199" t="n"/>
      <c r="W26" s="199" t="n"/>
      <c r="X26" s="199" t="n"/>
      <c r="Y26" s="199" t="n"/>
      <c r="Z26" s="202">
        <f>sum(T26:X26)</f>
        <v/>
      </c>
      <c r="AA26" s="203">
        <f>sum(Z26/Y26)*100%</f>
        <v/>
      </c>
    </row>
    <row r="27" ht="15.75" customHeight="1" s="205">
      <c r="A27" s="199" t="n"/>
      <c r="B27" s="200" t="n"/>
      <c r="C27" s="201" t="n"/>
      <c r="D27" s="199" t="n"/>
      <c r="E27" s="199" t="n"/>
      <c r="F27" s="199" t="n"/>
      <c r="G27" s="199" t="n"/>
      <c r="H27" s="199" t="n"/>
      <c r="I27" s="201" t="n"/>
      <c r="J27" s="201" t="n"/>
      <c r="K27" s="201" t="n"/>
      <c r="L27" s="201" t="n"/>
      <c r="M27" s="201" t="n"/>
      <c r="N27" s="201" t="n"/>
      <c r="O27" s="201" t="n"/>
      <c r="P27" s="201" t="n"/>
      <c r="Q27" s="201" t="n"/>
      <c r="R27" s="201" t="n"/>
      <c r="S27" s="201" t="n"/>
      <c r="T27" s="201" t="n"/>
      <c r="U27" s="201" t="n"/>
      <c r="V27" s="201" t="n"/>
      <c r="W27" s="201" t="n"/>
      <c r="X27" s="201" t="n"/>
      <c r="Y27" s="201" t="n"/>
      <c r="Z27" s="202">
        <f>sum(T27:X27)</f>
        <v/>
      </c>
      <c r="AA27" s="203">
        <f>sum(Z27/Y27)*100%</f>
        <v/>
      </c>
    </row>
    <row r="28" ht="15.75" customHeight="1" s="205">
      <c r="A28" s="199" t="n"/>
      <c r="B28" s="204" t="n"/>
      <c r="C28" s="199" t="n"/>
      <c r="D28" s="199" t="n"/>
      <c r="E28" s="199" t="n"/>
      <c r="F28" s="199" t="n"/>
      <c r="G28" s="199" t="n"/>
      <c r="H28" s="199" t="n"/>
      <c r="I28" s="199" t="n"/>
      <c r="J28" s="199" t="n"/>
      <c r="K28" s="199" t="n"/>
      <c r="L28" s="199" t="n"/>
      <c r="M28" s="199" t="n"/>
      <c r="N28" s="199" t="n"/>
      <c r="O28" s="199" t="n"/>
      <c r="P28" s="199" t="n"/>
      <c r="Q28" s="199" t="n"/>
      <c r="R28" s="199" t="n"/>
      <c r="S28" s="199" t="n"/>
      <c r="T28" s="199" t="n"/>
      <c r="U28" s="199" t="n"/>
      <c r="V28" s="199" t="n"/>
      <c r="W28" s="199" t="n"/>
      <c r="X28" s="199" t="n"/>
      <c r="Y28" s="199" t="n"/>
      <c r="Z28" s="202">
        <f>sum(T28:X28)</f>
        <v/>
      </c>
      <c r="AA28" s="203">
        <f>sum(Z28/Y28)*100%</f>
        <v/>
      </c>
    </row>
    <row r="29" ht="15.75" customHeight="1" s="205">
      <c r="A29" s="199" t="n"/>
      <c r="B29" s="200" t="n"/>
      <c r="C29" s="201" t="n"/>
      <c r="D29" s="199" t="n"/>
      <c r="E29" s="199" t="n"/>
      <c r="F29" s="199" t="n"/>
      <c r="G29" s="199" t="n"/>
      <c r="H29" s="199" t="n"/>
      <c r="I29" s="201" t="n"/>
      <c r="J29" s="201" t="n"/>
      <c r="K29" s="201" t="n"/>
      <c r="L29" s="201" t="n"/>
      <c r="M29" s="201" t="n"/>
      <c r="N29" s="201" t="n"/>
      <c r="O29" s="201" t="n"/>
      <c r="P29" s="201" t="n"/>
      <c r="Q29" s="201" t="n"/>
      <c r="R29" s="201" t="n"/>
      <c r="S29" s="201" t="n"/>
      <c r="T29" s="201" t="n"/>
      <c r="U29" s="201" t="n"/>
      <c r="V29" s="201" t="n"/>
      <c r="W29" s="201" t="n"/>
      <c r="X29" s="201" t="n"/>
      <c r="Y29" s="201" t="n"/>
      <c r="Z29" s="202">
        <f>sum(T29:X29)</f>
        <v/>
      </c>
      <c r="AA29" s="203">
        <f>sum(Z29/Y29)*100%</f>
        <v/>
      </c>
    </row>
    <row r="30" ht="15.75" customHeight="1" s="205">
      <c r="A30" s="199" t="n"/>
      <c r="B30" s="204" t="n"/>
      <c r="C30" s="199" t="n"/>
      <c r="D30" s="199" t="n"/>
      <c r="E30" s="199" t="n"/>
      <c r="F30" s="199" t="n"/>
      <c r="G30" s="199" t="n"/>
      <c r="H30" s="199" t="n"/>
      <c r="I30" s="199" t="n"/>
      <c r="J30" s="199" t="n"/>
      <c r="K30" s="199" t="n"/>
      <c r="L30" s="199" t="n"/>
      <c r="M30" s="199" t="n"/>
      <c r="N30" s="199" t="n"/>
      <c r="O30" s="199" t="n"/>
      <c r="P30" s="199" t="n"/>
      <c r="Q30" s="199" t="n"/>
      <c r="R30" s="199" t="n"/>
      <c r="S30" s="199" t="n"/>
      <c r="T30" s="199" t="n"/>
      <c r="U30" s="199" t="n"/>
      <c r="V30" s="199" t="n"/>
      <c r="W30" s="199" t="n"/>
      <c r="X30" s="199" t="n"/>
      <c r="Y30" s="199" t="n"/>
      <c r="Z30" s="202">
        <f>sum(T30:X30)</f>
        <v/>
      </c>
      <c r="AA30" s="203">
        <f>sum(Z30/Y30)*100%</f>
        <v/>
      </c>
    </row>
    <row r="31" ht="15.75" customHeight="1" s="205">
      <c r="A31" s="199" t="n"/>
      <c r="B31" s="200" t="n"/>
      <c r="C31" s="201" t="n"/>
      <c r="D31" s="199" t="n"/>
      <c r="E31" s="199" t="n"/>
      <c r="F31" s="199" t="n"/>
      <c r="G31" s="199" t="n"/>
      <c r="H31" s="199" t="n"/>
      <c r="I31" s="201" t="n"/>
      <c r="J31" s="201" t="n"/>
      <c r="K31" s="201" t="n"/>
      <c r="L31" s="201" t="n"/>
      <c r="M31" s="201" t="n"/>
      <c r="N31" s="201" t="n"/>
      <c r="O31" s="199" t="n"/>
      <c r="P31" s="201" t="n"/>
      <c r="Q31" s="201" t="n"/>
      <c r="R31" s="201" t="n"/>
      <c r="S31" s="201" t="n"/>
      <c r="T31" s="201" t="n"/>
      <c r="U31" s="201" t="n"/>
      <c r="V31" s="201" t="n"/>
      <c r="W31" s="201" t="n"/>
      <c r="X31" s="201" t="n"/>
      <c r="Y31" s="201" t="n"/>
      <c r="Z31" s="202">
        <f>sum(T31:X31)</f>
        <v/>
      </c>
      <c r="AA31" s="203">
        <f>sum(Z31/Y31)*100%</f>
        <v/>
      </c>
    </row>
    <row r="32" ht="15.75" customHeight="1" s="205">
      <c r="A32" s="199" t="n"/>
      <c r="B32" s="204" t="n"/>
      <c r="C32" s="199" t="n"/>
      <c r="D32" s="199" t="n"/>
      <c r="E32" s="199" t="n"/>
      <c r="F32" s="199" t="n"/>
      <c r="G32" s="199" t="n"/>
      <c r="H32" s="199" t="n"/>
      <c r="I32" s="199" t="n"/>
      <c r="J32" s="199" t="n"/>
      <c r="K32" s="199" t="n"/>
      <c r="L32" s="199" t="n"/>
      <c r="M32" s="199" t="n"/>
      <c r="N32" s="199" t="n"/>
      <c r="O32" s="199" t="n"/>
      <c r="P32" s="199" t="n"/>
      <c r="Q32" s="199" t="n"/>
      <c r="R32" s="199" t="n"/>
      <c r="S32" s="199" t="n"/>
      <c r="T32" s="199" t="n"/>
      <c r="U32" s="199" t="n"/>
      <c r="V32" s="199" t="n"/>
      <c r="W32" s="199" t="n"/>
      <c r="X32" s="199" t="n"/>
      <c r="Y32" s="199" t="n"/>
      <c r="Z32" s="202">
        <f>sum(T32:X32)</f>
        <v/>
      </c>
      <c r="AA32" s="203">
        <f>sum(Z32/Y32)*100%</f>
        <v/>
      </c>
    </row>
    <row r="33" ht="15.75" customHeight="1" s="205">
      <c r="A33" s="199" t="n"/>
      <c r="B33" s="200" t="n"/>
      <c r="C33" s="201" t="n"/>
      <c r="D33" s="199" t="n"/>
      <c r="E33" s="199" t="n"/>
      <c r="F33" s="199" t="n"/>
      <c r="G33" s="199" t="n"/>
      <c r="H33" s="199" t="n"/>
      <c r="I33" s="201" t="n"/>
      <c r="J33" s="201" t="n"/>
      <c r="K33" s="201" t="n"/>
      <c r="L33" s="201" t="n"/>
      <c r="M33" s="201" t="n"/>
      <c r="N33" s="201" t="n"/>
      <c r="O33" s="199" t="n"/>
      <c r="P33" s="201" t="n"/>
      <c r="Q33" s="201" t="n"/>
      <c r="R33" s="201" t="n"/>
      <c r="S33" s="201" t="n"/>
      <c r="T33" s="201" t="n"/>
      <c r="U33" s="201" t="n"/>
      <c r="V33" s="201" t="n"/>
      <c r="W33" s="201" t="n"/>
      <c r="X33" s="201" t="n"/>
      <c r="Y33" s="201" t="n"/>
      <c r="Z33" s="202">
        <f>sum(T33:X33)</f>
        <v/>
      </c>
      <c r="AA33" s="203">
        <f>sum(Z33/Y33)*100%</f>
        <v/>
      </c>
    </row>
    <row r="34" ht="15.75" customHeight="1" s="205">
      <c r="A34" s="199" t="n"/>
      <c r="B34" s="204" t="n"/>
      <c r="C34" s="199" t="n"/>
      <c r="D34" s="199" t="n"/>
      <c r="E34" s="199" t="n"/>
      <c r="F34" s="199" t="n"/>
      <c r="G34" s="199" t="n"/>
      <c r="H34" s="199" t="n"/>
      <c r="I34" s="199" t="n"/>
      <c r="J34" s="199" t="n"/>
      <c r="K34" s="199" t="n"/>
      <c r="L34" s="199" t="n"/>
      <c r="M34" s="199" t="n"/>
      <c r="N34" s="199" t="n"/>
      <c r="O34" s="199" t="n"/>
      <c r="P34" s="199" t="n"/>
      <c r="Q34" s="199" t="n"/>
      <c r="R34" s="199" t="n"/>
      <c r="S34" s="199" t="n"/>
      <c r="T34" s="199" t="n"/>
      <c r="U34" s="199" t="n"/>
      <c r="V34" s="199" t="n"/>
      <c r="W34" s="199" t="n"/>
      <c r="X34" s="199" t="n"/>
      <c r="Y34" s="199" t="n"/>
      <c r="Z34" s="202">
        <f>sum(T34:X34)</f>
        <v/>
      </c>
      <c r="AA34" s="203">
        <f>sum(Z34/Y34)*100%</f>
        <v/>
      </c>
    </row>
    <row r="35" ht="15.75" customHeight="1" s="205">
      <c r="A35" s="199" t="n"/>
      <c r="B35" s="200" t="n"/>
      <c r="C35" s="201" t="n"/>
      <c r="D35" s="199" t="n"/>
      <c r="E35" s="199" t="n"/>
      <c r="F35" s="199" t="n"/>
      <c r="G35" s="199" t="n"/>
      <c r="H35" s="199" t="n"/>
      <c r="I35" s="201" t="n"/>
      <c r="J35" s="201" t="n"/>
      <c r="K35" s="201" t="n"/>
      <c r="L35" s="201" t="n"/>
      <c r="M35" s="201" t="n"/>
      <c r="N35" s="201" t="n"/>
      <c r="O35" s="199" t="n"/>
      <c r="P35" s="201" t="n"/>
      <c r="Q35" s="201" t="n"/>
      <c r="R35" s="201" t="n"/>
      <c r="S35" s="201" t="n"/>
      <c r="T35" s="201" t="n"/>
      <c r="U35" s="201" t="n"/>
      <c r="V35" s="201" t="n"/>
      <c r="W35" s="201" t="n"/>
      <c r="X35" s="201" t="n"/>
      <c r="Y35" s="201" t="n"/>
      <c r="Z35" s="202">
        <f>sum(T35:X35)</f>
        <v/>
      </c>
      <c r="AA35" s="203">
        <f>sum(Z35/Y35)*100%</f>
        <v/>
      </c>
    </row>
    <row r="36" ht="15.75" customHeight="1" s="205">
      <c r="A36" s="199" t="n"/>
      <c r="B36" s="204" t="n"/>
      <c r="C36" s="199" t="n"/>
      <c r="D36" s="199" t="n"/>
      <c r="E36" s="199" t="n"/>
      <c r="F36" s="199" t="n"/>
      <c r="G36" s="199" t="n"/>
      <c r="H36" s="199" t="n"/>
      <c r="I36" s="199" t="n"/>
      <c r="J36" s="199" t="n"/>
      <c r="K36" s="199" t="n"/>
      <c r="L36" s="199" t="n"/>
      <c r="M36" s="199" t="n"/>
      <c r="N36" s="199" t="n"/>
      <c r="O36" s="199" t="n"/>
      <c r="P36" s="199" t="n"/>
      <c r="Q36" s="199" t="n"/>
      <c r="R36" s="199" t="n"/>
      <c r="S36" s="199" t="n"/>
      <c r="T36" s="199" t="n"/>
      <c r="U36" s="199" t="n"/>
      <c r="V36" s="199" t="n"/>
      <c r="W36" s="199" t="n"/>
      <c r="X36" s="199" t="n"/>
      <c r="Y36" s="199" t="n"/>
      <c r="Z36" s="202">
        <f>sum(T36:X36)</f>
        <v/>
      </c>
      <c r="AA36" s="203">
        <f>sum(Z36/Y36)*100%</f>
        <v/>
      </c>
    </row>
    <row r="37" ht="15.75" customHeight="1" s="205">
      <c r="A37" s="199" t="n"/>
      <c r="B37" s="200" t="n"/>
      <c r="C37" s="201" t="n"/>
      <c r="D37" s="199" t="n"/>
      <c r="E37" s="199" t="n"/>
      <c r="F37" s="199" t="n"/>
      <c r="G37" s="199" t="n"/>
      <c r="H37" s="199" t="n"/>
      <c r="I37" s="201" t="n"/>
      <c r="J37" s="201" t="n"/>
      <c r="K37" s="201" t="n"/>
      <c r="L37" s="201" t="n"/>
      <c r="M37" s="201" t="n"/>
      <c r="N37" s="201" t="n"/>
      <c r="O37" s="199" t="n"/>
      <c r="P37" s="201" t="n"/>
      <c r="Q37" s="201" t="n"/>
      <c r="R37" s="201" t="n"/>
      <c r="S37" s="201" t="n"/>
      <c r="T37" s="201" t="n"/>
      <c r="U37" s="201" t="n"/>
      <c r="V37" s="201" t="n"/>
      <c r="W37" s="201" t="n"/>
      <c r="X37" s="201" t="n"/>
      <c r="Y37" s="201" t="n"/>
      <c r="Z37" s="202">
        <f>sum(T37:X37)</f>
        <v/>
      </c>
      <c r="AA37" s="203">
        <f>sum(Z37/Y37)*100%</f>
        <v/>
      </c>
    </row>
    <row r="38" ht="15.75" customHeight="1" s="205">
      <c r="A38" s="199" t="n"/>
      <c r="B38" s="204" t="n"/>
      <c r="C38" s="199" t="n"/>
      <c r="D38" s="199" t="n"/>
      <c r="E38" s="199" t="n"/>
      <c r="F38" s="199" t="n"/>
      <c r="G38" s="199" t="n"/>
      <c r="H38" s="199" t="n"/>
      <c r="I38" s="199" t="n"/>
      <c r="J38" s="199" t="n"/>
      <c r="K38" s="199" t="n"/>
      <c r="L38" s="199" t="n"/>
      <c r="M38" s="199" t="n"/>
      <c r="N38" s="199" t="n"/>
      <c r="O38" s="199" t="n"/>
      <c r="P38" s="199" t="n"/>
      <c r="Q38" s="199" t="n"/>
      <c r="R38" s="199" t="n"/>
      <c r="S38" s="199" t="n"/>
      <c r="T38" s="199" t="n"/>
      <c r="U38" s="199" t="n"/>
      <c r="V38" s="199" t="n"/>
      <c r="W38" s="199" t="n"/>
      <c r="X38" s="199" t="n"/>
      <c r="Y38" s="199" t="n"/>
      <c r="Z38" s="202">
        <f>sum(T38:X38)</f>
        <v/>
      </c>
      <c r="AA38" s="203">
        <f>sum(Z38/Y38)*100%</f>
        <v/>
      </c>
    </row>
    <row r="39" ht="15.75" customHeight="1" s="205">
      <c r="A39" s="199" t="n"/>
      <c r="B39" s="200" t="n"/>
      <c r="C39" s="201" t="n"/>
      <c r="D39" s="199" t="n"/>
      <c r="E39" s="199" t="n"/>
      <c r="F39" s="199" t="n"/>
      <c r="G39" s="199" t="n"/>
      <c r="H39" s="199" t="n"/>
      <c r="I39" s="201" t="n"/>
      <c r="J39" s="201" t="n"/>
      <c r="K39" s="201" t="n"/>
      <c r="L39" s="201" t="n"/>
      <c r="M39" s="201" t="n"/>
      <c r="N39" s="201" t="n"/>
      <c r="O39" s="199" t="n"/>
      <c r="P39" s="201" t="n"/>
      <c r="Q39" s="201" t="n"/>
      <c r="R39" s="201" t="n"/>
      <c r="S39" s="201" t="n"/>
      <c r="T39" s="201" t="n"/>
      <c r="U39" s="201" t="n"/>
      <c r="V39" s="201" t="n"/>
      <c r="W39" s="201" t="n"/>
      <c r="X39" s="201" t="n"/>
      <c r="Y39" s="201" t="n"/>
      <c r="Z39" s="202">
        <f>sum(T39:X39)</f>
        <v/>
      </c>
      <c r="AA39" s="203">
        <f>sum(Z39/Y39)*100%</f>
        <v/>
      </c>
    </row>
    <row r="40" ht="15.75" customHeight="1" s="205">
      <c r="A40" s="199" t="n"/>
      <c r="B40" s="204" t="n"/>
      <c r="C40" s="199" t="n"/>
      <c r="D40" s="199" t="n"/>
      <c r="E40" s="199" t="n"/>
      <c r="F40" s="199" t="n"/>
      <c r="G40" s="199" t="n"/>
      <c r="H40" s="199" t="n"/>
      <c r="I40" s="199" t="n"/>
      <c r="J40" s="199" t="n"/>
      <c r="K40" s="199" t="n"/>
      <c r="L40" s="199" t="n"/>
      <c r="M40" s="199" t="n"/>
      <c r="N40" s="199" t="n"/>
      <c r="O40" s="199" t="n"/>
      <c r="P40" s="199" t="n"/>
      <c r="Q40" s="199" t="n"/>
      <c r="R40" s="199" t="n"/>
      <c r="S40" s="199" t="n"/>
      <c r="T40" s="199" t="n"/>
      <c r="U40" s="199" t="n"/>
      <c r="V40" s="199" t="n"/>
      <c r="W40" s="199" t="n"/>
      <c r="X40" s="199" t="n"/>
      <c r="Y40" s="199" t="n"/>
      <c r="Z40" s="202">
        <f>sum(T40:X40)</f>
        <v/>
      </c>
      <c r="AA40" s="203">
        <f>sum(Z40/Y40)*100%</f>
        <v/>
      </c>
    </row>
    <row r="41" ht="15.75" customHeight="1" s="205">
      <c r="A41" s="199" t="n"/>
      <c r="B41" s="200" t="n"/>
      <c r="C41" s="201" t="n"/>
      <c r="D41" s="199" t="n"/>
      <c r="E41" s="199" t="n"/>
      <c r="F41" s="199" t="n"/>
      <c r="G41" s="199" t="n"/>
      <c r="H41" s="199" t="n"/>
      <c r="I41" s="201" t="n"/>
      <c r="J41" s="201" t="n"/>
      <c r="K41" s="201" t="n"/>
      <c r="L41" s="201" t="n"/>
      <c r="M41" s="201" t="n"/>
      <c r="N41" s="201" t="n"/>
      <c r="O41" s="199" t="n"/>
      <c r="P41" s="201" t="n"/>
      <c r="Q41" s="201" t="n"/>
      <c r="R41" s="201" t="n"/>
      <c r="S41" s="201" t="n"/>
      <c r="T41" s="201" t="n"/>
      <c r="U41" s="201" t="n"/>
      <c r="V41" s="201" t="n"/>
      <c r="W41" s="201" t="n"/>
      <c r="X41" s="201" t="n"/>
      <c r="Y41" s="201" t="n"/>
      <c r="Z41" s="202">
        <f>sum(T41:X41)</f>
        <v/>
      </c>
      <c r="AA41" s="203">
        <f>sum(Z41/Y41)*100%</f>
        <v/>
      </c>
    </row>
    <row r="42" ht="15.75" customHeight="1" s="205">
      <c r="A42" s="199" t="n"/>
      <c r="B42" s="204" t="n"/>
      <c r="C42" s="199" t="n"/>
      <c r="D42" s="199" t="n"/>
      <c r="E42" s="199" t="n"/>
      <c r="F42" s="199" t="n"/>
      <c r="G42" s="199" t="n"/>
      <c r="H42" s="199" t="n"/>
      <c r="I42" s="199" t="n"/>
      <c r="J42" s="199" t="n"/>
      <c r="K42" s="199" t="n"/>
      <c r="L42" s="199" t="n"/>
      <c r="M42" s="199" t="n"/>
      <c r="N42" s="199" t="n"/>
      <c r="O42" s="199" t="n"/>
      <c r="P42" s="199" t="n"/>
      <c r="Q42" s="199" t="n"/>
      <c r="R42" s="199" t="n"/>
      <c r="S42" s="199" t="n"/>
      <c r="T42" s="199" t="n"/>
      <c r="U42" s="199" t="n"/>
      <c r="V42" s="199" t="n"/>
      <c r="W42" s="199" t="n"/>
      <c r="X42" s="199" t="n"/>
      <c r="Y42" s="199" t="n"/>
      <c r="Z42" s="202">
        <f>sum(T42:X42)</f>
        <v/>
      </c>
      <c r="AA42" s="203">
        <f>sum(Z42/Y42)*100%</f>
        <v/>
      </c>
    </row>
    <row r="43" ht="15.75" customHeight="1" s="205">
      <c r="A43" s="199" t="n"/>
      <c r="B43" s="200" t="n"/>
      <c r="C43" s="201" t="n"/>
      <c r="D43" s="199" t="n"/>
      <c r="E43" s="199" t="n"/>
      <c r="F43" s="199" t="n"/>
      <c r="G43" s="199" t="n"/>
      <c r="H43" s="199" t="n"/>
      <c r="I43" s="201" t="n"/>
      <c r="J43" s="201" t="n"/>
      <c r="K43" s="201" t="n"/>
      <c r="L43" s="201" t="n"/>
      <c r="M43" s="201" t="n"/>
      <c r="N43" s="201" t="n"/>
      <c r="O43" s="199" t="n"/>
      <c r="P43" s="201" t="n"/>
      <c r="Q43" s="201" t="n"/>
      <c r="R43" s="201" t="n"/>
      <c r="S43" s="201" t="n"/>
      <c r="T43" s="201" t="n"/>
      <c r="U43" s="201" t="n"/>
      <c r="V43" s="201" t="n"/>
      <c r="W43" s="201" t="n"/>
      <c r="X43" s="201" t="n"/>
      <c r="Y43" s="201" t="n"/>
      <c r="Z43" s="202">
        <f>sum(T43:X43)</f>
        <v/>
      </c>
      <c r="AA43" s="203">
        <f>sum(Z43/Y43)*100%</f>
        <v/>
      </c>
    </row>
    <row r="44" ht="15.75" customHeight="1" s="205">
      <c r="A44" s="199" t="n"/>
      <c r="B44" s="204" t="n"/>
      <c r="C44" s="199" t="n"/>
      <c r="D44" s="199" t="n"/>
      <c r="E44" s="199" t="n"/>
      <c r="F44" s="199" t="n"/>
      <c r="G44" s="199" t="n"/>
      <c r="H44" s="199" t="n"/>
      <c r="I44" s="199" t="n"/>
      <c r="J44" s="199" t="n"/>
      <c r="K44" s="199" t="n"/>
      <c r="L44" s="199" t="n"/>
      <c r="M44" s="199" t="n"/>
      <c r="N44" s="199" t="n"/>
      <c r="O44" s="199" t="n"/>
      <c r="P44" s="199" t="n"/>
      <c r="Q44" s="199" t="n"/>
      <c r="R44" s="199" t="n"/>
      <c r="S44" s="199" t="n"/>
      <c r="T44" s="199" t="n"/>
      <c r="U44" s="199" t="n"/>
      <c r="V44" s="199" t="n"/>
      <c r="W44" s="199" t="n"/>
      <c r="X44" s="199" t="n"/>
      <c r="Y44" s="199" t="n"/>
      <c r="Z44" s="202">
        <f>sum(T44:X44)</f>
        <v/>
      </c>
      <c r="AA44" s="203">
        <f>sum(Z44/Y44)*100%</f>
        <v/>
      </c>
    </row>
    <row r="45" ht="15.75" customHeight="1" s="205">
      <c r="A45" s="199" t="n"/>
      <c r="B45" s="200" t="n"/>
      <c r="C45" s="201" t="n"/>
      <c r="D45" s="199" t="n"/>
      <c r="E45" s="199" t="n"/>
      <c r="F45" s="199" t="n"/>
      <c r="G45" s="199" t="n"/>
      <c r="H45" s="199" t="n"/>
      <c r="I45" s="201" t="n"/>
      <c r="J45" s="201" t="n"/>
      <c r="K45" s="201" t="n"/>
      <c r="L45" s="201" t="n"/>
      <c r="M45" s="201" t="n"/>
      <c r="N45" s="201" t="n"/>
      <c r="O45" s="199" t="n"/>
      <c r="P45" s="201" t="n"/>
      <c r="Q45" s="201" t="n"/>
      <c r="R45" s="201" t="n"/>
      <c r="S45" s="201" t="n"/>
      <c r="T45" s="201" t="n"/>
      <c r="U45" s="201" t="n"/>
      <c r="V45" s="201" t="n"/>
      <c r="W45" s="201" t="n"/>
      <c r="X45" s="201" t="n"/>
      <c r="Y45" s="201" t="n"/>
      <c r="Z45" s="202">
        <f>sum(T45:X45)</f>
        <v/>
      </c>
      <c r="AA45" s="203">
        <f>sum(Z45/Y45)*100%</f>
        <v/>
      </c>
    </row>
    <row r="46" ht="15.75" customHeight="1" s="205">
      <c r="A46" s="199" t="n"/>
      <c r="B46" s="204" t="n"/>
      <c r="C46" s="199" t="n"/>
      <c r="D46" s="199" t="n"/>
      <c r="E46" s="199" t="n"/>
      <c r="F46" s="199" t="n"/>
      <c r="G46" s="199" t="n"/>
      <c r="H46" s="199" t="n"/>
      <c r="I46" s="199" t="n"/>
      <c r="J46" s="199" t="n"/>
      <c r="K46" s="199" t="n"/>
      <c r="L46" s="199" t="n"/>
      <c r="M46" s="199" t="n"/>
      <c r="N46" s="199" t="n"/>
      <c r="O46" s="199" t="n"/>
      <c r="P46" s="199" t="n"/>
      <c r="Q46" s="199" t="n"/>
      <c r="R46" s="199" t="n"/>
      <c r="S46" s="199" t="n"/>
      <c r="T46" s="199" t="n"/>
      <c r="U46" s="199" t="n"/>
      <c r="V46" s="199" t="n"/>
      <c r="W46" s="199" t="n"/>
      <c r="X46" s="199" t="n"/>
      <c r="Y46" s="199" t="n"/>
      <c r="Z46" s="202">
        <f>sum(T46:X46)</f>
        <v/>
      </c>
      <c r="AA46" s="203">
        <f>sum(Z46/Y46)*100%</f>
        <v/>
      </c>
    </row>
    <row r="47" ht="15.75" customHeight="1" s="205">
      <c r="A47" s="199" t="n"/>
      <c r="B47" s="200" t="n"/>
      <c r="C47" s="201" t="n"/>
      <c r="D47" s="199" t="n"/>
      <c r="E47" s="199" t="n"/>
      <c r="F47" s="199" t="n"/>
      <c r="G47" s="199" t="n"/>
      <c r="H47" s="199" t="n"/>
      <c r="I47" s="201" t="n"/>
      <c r="J47" s="201" t="n"/>
      <c r="K47" s="201" t="n"/>
      <c r="L47" s="201" t="n"/>
      <c r="M47" s="201" t="n"/>
      <c r="N47" s="201" t="n"/>
      <c r="O47" s="199" t="n"/>
      <c r="P47" s="201" t="n"/>
      <c r="Q47" s="201" t="n"/>
      <c r="R47" s="201" t="n"/>
      <c r="S47" s="201" t="n"/>
      <c r="T47" s="201" t="n"/>
      <c r="U47" s="201" t="n"/>
      <c r="V47" s="201" t="n"/>
      <c r="W47" s="201" t="n"/>
      <c r="X47" s="201" t="n"/>
      <c r="Y47" s="201" t="n"/>
      <c r="Z47" s="202">
        <f>sum(T47:X47)</f>
        <v/>
      </c>
      <c r="AA47" s="203">
        <f>sum(Z47/Y47)*100%</f>
        <v/>
      </c>
    </row>
    <row r="48" ht="15.75" customHeight="1" s="205">
      <c r="A48" s="199" t="n"/>
      <c r="B48" s="204" t="n"/>
      <c r="C48" s="199" t="n"/>
      <c r="D48" s="199" t="n"/>
      <c r="E48" s="199" t="n"/>
      <c r="F48" s="199" t="n"/>
      <c r="G48" s="199" t="n"/>
      <c r="H48" s="199" t="n"/>
      <c r="I48" s="199" t="n"/>
      <c r="J48" s="199" t="n"/>
      <c r="K48" s="199" t="n"/>
      <c r="L48" s="199" t="n"/>
      <c r="M48" s="199" t="n"/>
      <c r="N48" s="199" t="n"/>
      <c r="O48" s="199" t="n"/>
      <c r="P48" s="199" t="n"/>
      <c r="Q48" s="199" t="n"/>
      <c r="R48" s="199" t="n"/>
      <c r="S48" s="199" t="n"/>
      <c r="T48" s="199" t="n"/>
      <c r="U48" s="199" t="n"/>
      <c r="V48" s="199" t="n"/>
      <c r="W48" s="199" t="n"/>
      <c r="X48" s="199" t="n"/>
      <c r="Y48" s="199" t="n"/>
      <c r="Z48" s="202">
        <f>sum(T48:X48)</f>
        <v/>
      </c>
      <c r="AA48" s="203">
        <f>sum(Z48/Y48)*100%</f>
        <v/>
      </c>
    </row>
    <row r="49" ht="15.75" customHeight="1" s="205">
      <c r="A49" s="199" t="n"/>
      <c r="B49" s="200" t="n"/>
      <c r="C49" s="201" t="n"/>
      <c r="D49" s="199" t="n"/>
      <c r="E49" s="199" t="n"/>
      <c r="F49" s="199" t="n"/>
      <c r="G49" s="199" t="n"/>
      <c r="H49" s="199" t="n"/>
      <c r="I49" s="201" t="n"/>
      <c r="J49" s="201" t="n"/>
      <c r="K49" s="201" t="n"/>
      <c r="L49" s="201" t="n"/>
      <c r="M49" s="201" t="n"/>
      <c r="N49" s="201" t="n"/>
      <c r="O49" s="199" t="n"/>
      <c r="P49" s="201" t="n"/>
      <c r="Q49" s="201" t="n"/>
      <c r="R49" s="201" t="n"/>
      <c r="S49" s="201" t="n"/>
      <c r="T49" s="201" t="n"/>
      <c r="U49" s="201" t="n"/>
      <c r="V49" s="201" t="n"/>
      <c r="W49" s="201" t="n"/>
      <c r="X49" s="201" t="n"/>
      <c r="Y49" s="201" t="n"/>
      <c r="Z49" s="202">
        <f>sum(T49:X49)</f>
        <v/>
      </c>
      <c r="AA49" s="203">
        <f>sum(Z49/Y49)*100%</f>
        <v/>
      </c>
    </row>
    <row r="50" ht="15.75" customHeight="1" s="205">
      <c r="A50" s="199" t="n"/>
      <c r="B50" s="204" t="n"/>
      <c r="C50" s="199" t="n"/>
      <c r="D50" s="199" t="n"/>
      <c r="E50" s="199" t="n"/>
      <c r="F50" s="199" t="n"/>
      <c r="G50" s="199" t="n"/>
      <c r="H50" s="199" t="n"/>
      <c r="I50" s="199" t="n"/>
      <c r="J50" s="199" t="n"/>
      <c r="K50" s="199" t="n"/>
      <c r="L50" s="199" t="n"/>
      <c r="M50" s="199" t="n"/>
      <c r="N50" s="199" t="n"/>
      <c r="O50" s="199" t="n"/>
      <c r="P50" s="199" t="n"/>
      <c r="Q50" s="199" t="n"/>
      <c r="R50" s="199" t="n"/>
      <c r="S50" s="199" t="n"/>
      <c r="T50" s="199" t="n"/>
      <c r="U50" s="199" t="n"/>
      <c r="V50" s="199" t="n"/>
      <c r="W50" s="199" t="n"/>
      <c r="X50" s="199" t="n"/>
      <c r="Y50" s="199" t="n"/>
      <c r="Z50" s="202">
        <f>sum(T50:X50)</f>
        <v/>
      </c>
      <c r="AA50" s="203">
        <f>sum(Z50/Y50)*100%</f>
        <v/>
      </c>
    </row>
    <row r="51" ht="15.75" customHeight="1" s="205">
      <c r="A51" s="199" t="n"/>
      <c r="B51" s="200" t="n"/>
      <c r="C51" s="201" t="n"/>
      <c r="D51" s="199" t="n"/>
      <c r="E51" s="199" t="n"/>
      <c r="F51" s="199" t="n"/>
      <c r="G51" s="199" t="n"/>
      <c r="H51" s="199" t="n"/>
      <c r="I51" s="201" t="n"/>
      <c r="J51" s="201" t="n"/>
      <c r="K51" s="201" t="n"/>
      <c r="L51" s="201" t="n"/>
      <c r="M51" s="201" t="n"/>
      <c r="N51" s="201" t="n"/>
      <c r="O51" s="199" t="n"/>
      <c r="P51" s="201" t="n"/>
      <c r="Q51" s="201" t="n"/>
      <c r="R51" s="201" t="n"/>
      <c r="S51" s="201" t="n"/>
      <c r="T51" s="201" t="n"/>
      <c r="U51" s="201" t="n"/>
      <c r="V51" s="201" t="n"/>
      <c r="W51" s="201" t="n"/>
      <c r="X51" s="201" t="n"/>
      <c r="Y51" s="201" t="n"/>
      <c r="Z51" s="202">
        <f>sum(T51:X51)</f>
        <v/>
      </c>
      <c r="AA51" s="203">
        <f>sum(Z51/Y51)*100%</f>
        <v/>
      </c>
    </row>
    <row r="52" ht="15.75" customHeight="1" s="205">
      <c r="A52" s="199" t="n"/>
      <c r="B52" s="204" t="n"/>
      <c r="C52" s="199" t="n"/>
      <c r="D52" s="199" t="n"/>
      <c r="E52" s="199" t="n"/>
      <c r="F52" s="199" t="n"/>
      <c r="G52" s="199" t="n"/>
      <c r="H52" s="199" t="n"/>
      <c r="I52" s="199" t="n"/>
      <c r="J52" s="199" t="n"/>
      <c r="K52" s="199" t="n"/>
      <c r="L52" s="199" t="n"/>
      <c r="M52" s="199" t="n"/>
      <c r="N52" s="199" t="n"/>
      <c r="O52" s="199" t="n"/>
      <c r="P52" s="199" t="n"/>
      <c r="Q52" s="199" t="n"/>
      <c r="R52" s="199" t="n"/>
      <c r="S52" s="199" t="n"/>
      <c r="T52" s="199" t="n"/>
      <c r="U52" s="199" t="n"/>
      <c r="V52" s="199" t="n"/>
      <c r="W52" s="199" t="n"/>
      <c r="X52" s="199" t="n"/>
      <c r="Y52" s="199" t="n"/>
      <c r="Z52" s="202">
        <f>sum(T52:X52)</f>
        <v/>
      </c>
      <c r="AA52" s="203">
        <f>sum(Z52/Y52)*100%</f>
        <v/>
      </c>
    </row>
    <row r="53" ht="15.75" customHeight="1" s="205">
      <c r="A53" s="199" t="n"/>
      <c r="B53" s="200" t="n"/>
      <c r="C53" s="201" t="n"/>
      <c r="D53" s="199" t="n"/>
      <c r="E53" s="199" t="n"/>
      <c r="F53" s="199" t="n"/>
      <c r="G53" s="199" t="n"/>
      <c r="H53" s="199" t="n"/>
      <c r="I53" s="201" t="n"/>
      <c r="J53" s="201" t="n"/>
      <c r="K53" s="201" t="n"/>
      <c r="L53" s="201" t="n"/>
      <c r="M53" s="201" t="n"/>
      <c r="N53" s="201" t="n"/>
      <c r="O53" s="199" t="n"/>
      <c r="P53" s="201" t="n"/>
      <c r="Q53" s="201" t="n"/>
      <c r="R53" s="201" t="n"/>
      <c r="S53" s="201" t="n"/>
      <c r="T53" s="201" t="n"/>
      <c r="U53" s="201" t="n"/>
      <c r="V53" s="201" t="n"/>
      <c r="W53" s="201" t="n"/>
      <c r="X53" s="201" t="n"/>
      <c r="Y53" s="201" t="n"/>
      <c r="Z53" s="202">
        <f>sum(T53:X53)</f>
        <v/>
      </c>
      <c r="AA53" s="203">
        <f>sum(Z53/Y53)*100%</f>
        <v/>
      </c>
    </row>
    <row r="54" ht="15.75" customHeight="1" s="205">
      <c r="A54" s="199" t="n"/>
      <c r="B54" s="204" t="n"/>
      <c r="C54" s="199" t="n"/>
      <c r="D54" s="199" t="n"/>
      <c r="E54" s="199" t="n"/>
      <c r="F54" s="199" t="n"/>
      <c r="G54" s="199" t="n"/>
      <c r="H54" s="199" t="n"/>
      <c r="I54" s="199" t="n"/>
      <c r="J54" s="199" t="n"/>
      <c r="K54" s="199" t="n"/>
      <c r="L54" s="199" t="n"/>
      <c r="M54" s="199" t="n"/>
      <c r="N54" s="199" t="n"/>
      <c r="O54" s="199" t="n"/>
      <c r="P54" s="199" t="n"/>
      <c r="Q54" s="199" t="n"/>
      <c r="R54" s="199" t="n"/>
      <c r="S54" s="199" t="n"/>
      <c r="T54" s="199" t="n"/>
      <c r="U54" s="199" t="n"/>
      <c r="V54" s="199" t="n"/>
      <c r="W54" s="199" t="n"/>
      <c r="X54" s="199" t="n"/>
      <c r="Y54" s="199" t="n"/>
      <c r="Z54" s="202">
        <f>sum(T54:X54)</f>
        <v/>
      </c>
      <c r="AA54" s="203">
        <f>sum(Z54/Y54)*100%</f>
        <v/>
      </c>
    </row>
    <row r="55" ht="15.75" customHeight="1" s="205">
      <c r="A55" s="199" t="n"/>
      <c r="B55" s="200" t="n"/>
      <c r="C55" s="201" t="n"/>
      <c r="D55" s="199" t="n"/>
      <c r="E55" s="199" t="n"/>
      <c r="F55" s="199" t="n"/>
      <c r="G55" s="199" t="n"/>
      <c r="H55" s="199" t="n"/>
      <c r="I55" s="201" t="n"/>
      <c r="J55" s="201" t="n"/>
      <c r="K55" s="201" t="n"/>
      <c r="L55" s="201" t="n"/>
      <c r="M55" s="201" t="n"/>
      <c r="N55" s="201" t="n"/>
      <c r="O55" s="199" t="n"/>
      <c r="P55" s="201" t="n"/>
      <c r="Q55" s="201" t="n"/>
      <c r="R55" s="201" t="n"/>
      <c r="S55" s="201" t="n"/>
      <c r="T55" s="201" t="n"/>
      <c r="U55" s="201" t="n"/>
      <c r="V55" s="201" t="n"/>
      <c r="W55" s="201" t="n"/>
      <c r="X55" s="201" t="n"/>
      <c r="Y55" s="201" t="n"/>
      <c r="Z55" s="202">
        <f>sum(T55:X55)</f>
        <v/>
      </c>
      <c r="AA55" s="203">
        <f>sum(Z55/Y55)*100%</f>
        <v/>
      </c>
    </row>
    <row r="56" ht="15.75" customHeight="1" s="205">
      <c r="A56" s="199" t="n"/>
      <c r="B56" s="204" t="n"/>
      <c r="C56" s="199" t="n"/>
      <c r="D56" s="199" t="n"/>
      <c r="E56" s="199" t="n"/>
      <c r="F56" s="199" t="n"/>
      <c r="G56" s="199" t="n"/>
      <c r="H56" s="199" t="n"/>
      <c r="I56" s="199" t="n"/>
      <c r="J56" s="199" t="n"/>
      <c r="K56" s="199" t="n"/>
      <c r="L56" s="199" t="n"/>
      <c r="M56" s="199" t="n"/>
      <c r="N56" s="199" t="n"/>
      <c r="O56" s="199" t="n"/>
      <c r="P56" s="199" t="n"/>
      <c r="Q56" s="199" t="n"/>
      <c r="R56" s="199" t="n"/>
      <c r="S56" s="199" t="n"/>
      <c r="T56" s="199" t="n"/>
      <c r="U56" s="199" t="n"/>
      <c r="V56" s="199" t="n"/>
      <c r="W56" s="199" t="n"/>
      <c r="X56" s="199" t="n"/>
      <c r="Y56" s="199" t="n"/>
      <c r="Z56" s="202">
        <f>sum(T56:X56)</f>
        <v/>
      </c>
      <c r="AA56" s="203">
        <f>sum(Z56/Y56)*100%</f>
        <v/>
      </c>
    </row>
    <row r="57" ht="15.75" customHeight="1" s="205">
      <c r="A57" s="199" t="n"/>
      <c r="B57" s="200" t="n"/>
      <c r="C57" s="201" t="n"/>
      <c r="D57" s="199" t="n"/>
      <c r="E57" s="199" t="n"/>
      <c r="F57" s="199" t="n"/>
      <c r="G57" s="199" t="n"/>
      <c r="H57" s="199" t="n"/>
      <c r="I57" s="201" t="n"/>
      <c r="J57" s="201" t="n"/>
      <c r="K57" s="201" t="n"/>
      <c r="L57" s="201" t="n"/>
      <c r="M57" s="201" t="n"/>
      <c r="N57" s="201" t="n"/>
      <c r="O57" s="199" t="n"/>
      <c r="P57" s="201" t="n"/>
      <c r="Q57" s="201" t="n"/>
      <c r="R57" s="201" t="n"/>
      <c r="S57" s="201" t="n"/>
      <c r="T57" s="201" t="n"/>
      <c r="U57" s="201" t="n"/>
      <c r="V57" s="201" t="n"/>
      <c r="W57" s="201" t="n"/>
      <c r="X57" s="201" t="n"/>
      <c r="Y57" s="201" t="n"/>
      <c r="Z57" s="202">
        <f>sum(T57:X57)</f>
        <v/>
      </c>
      <c r="AA57" s="203">
        <f>sum(Z57/Y57)*100%</f>
        <v/>
      </c>
    </row>
    <row r="58" ht="15.75" customHeight="1" s="205">
      <c r="A58" s="199" t="n"/>
      <c r="B58" s="204" t="n"/>
      <c r="C58" s="199" t="n"/>
      <c r="D58" s="199" t="n"/>
      <c r="E58" s="199" t="n"/>
      <c r="F58" s="199" t="n"/>
      <c r="G58" s="199" t="n"/>
      <c r="H58" s="199" t="n"/>
      <c r="I58" s="199" t="n"/>
      <c r="J58" s="199" t="n"/>
      <c r="K58" s="199" t="n"/>
      <c r="L58" s="199" t="n"/>
      <c r="M58" s="199" t="n"/>
      <c r="N58" s="199" t="n"/>
      <c r="O58" s="199" t="n"/>
      <c r="P58" s="199" t="n"/>
      <c r="Q58" s="199" t="n"/>
      <c r="R58" s="199" t="n"/>
      <c r="S58" s="199" t="n"/>
      <c r="T58" s="199" t="n"/>
      <c r="U58" s="199" t="n"/>
      <c r="V58" s="199" t="n"/>
      <c r="W58" s="199" t="n"/>
      <c r="X58" s="199" t="n"/>
      <c r="Y58" s="199" t="n"/>
      <c r="Z58" s="202">
        <f>sum(T58:X58)</f>
        <v/>
      </c>
      <c r="AA58" s="203">
        <f>sum(Z58/Y58)*100%</f>
        <v/>
      </c>
    </row>
    <row r="59" ht="15.75" customHeight="1" s="205">
      <c r="A59" s="199" t="n"/>
      <c r="B59" s="200" t="n"/>
      <c r="C59" s="201" t="n"/>
      <c r="D59" s="199" t="n"/>
      <c r="E59" s="199" t="n"/>
      <c r="F59" s="199" t="n"/>
      <c r="G59" s="199" t="n"/>
      <c r="H59" s="199" t="n"/>
      <c r="I59" s="201" t="n"/>
      <c r="J59" s="201" t="n"/>
      <c r="K59" s="201" t="n"/>
      <c r="L59" s="201" t="n"/>
      <c r="M59" s="201" t="n"/>
      <c r="N59" s="201" t="n"/>
      <c r="O59" s="199" t="n"/>
      <c r="P59" s="201" t="n"/>
      <c r="Q59" s="201" t="n"/>
      <c r="R59" s="201" t="n"/>
      <c r="S59" s="201" t="n"/>
      <c r="T59" s="201" t="n"/>
      <c r="U59" s="201" t="n"/>
      <c r="V59" s="201" t="n"/>
      <c r="W59" s="201" t="n"/>
      <c r="X59" s="201" t="n"/>
      <c r="Y59" s="201" t="n"/>
      <c r="Z59" s="202">
        <f>sum(T59:X59)</f>
        <v/>
      </c>
      <c r="AA59" s="203">
        <f>sum(Z59/Y59)*100%</f>
        <v/>
      </c>
    </row>
    <row r="60" ht="15.75" customHeight="1" s="205">
      <c r="A60" s="199" t="n"/>
      <c r="B60" s="204" t="n"/>
      <c r="C60" s="199" t="n"/>
      <c r="D60" s="199" t="n"/>
      <c r="E60" s="199" t="n"/>
      <c r="F60" s="199" t="n"/>
      <c r="G60" s="199" t="n"/>
      <c r="H60" s="199" t="n"/>
      <c r="I60" s="199" t="n"/>
      <c r="J60" s="199" t="n"/>
      <c r="K60" s="199" t="n"/>
      <c r="L60" s="199" t="n"/>
      <c r="M60" s="199" t="n"/>
      <c r="N60" s="199" t="n"/>
      <c r="O60" s="199" t="n"/>
      <c r="P60" s="199" t="n"/>
      <c r="Q60" s="199" t="n"/>
      <c r="R60" s="199" t="n"/>
      <c r="S60" s="199" t="n"/>
      <c r="T60" s="199" t="n"/>
      <c r="U60" s="199" t="n"/>
      <c r="V60" s="199" t="n"/>
      <c r="W60" s="199" t="n"/>
      <c r="X60" s="199" t="n"/>
      <c r="Y60" s="199" t="n"/>
      <c r="Z60" s="202">
        <f>sum(T60:X60)</f>
        <v/>
      </c>
      <c r="AA60" s="203">
        <f>sum(Z60/Y60)*100%</f>
        <v/>
      </c>
    </row>
    <row r="61" ht="15.75" customHeight="1" s="205">
      <c r="A61" s="199" t="n"/>
      <c r="B61" s="200" t="n"/>
      <c r="C61" s="201" t="n"/>
      <c r="D61" s="199" t="n"/>
      <c r="E61" s="199" t="n"/>
      <c r="F61" s="199" t="n"/>
      <c r="G61" s="199" t="n"/>
      <c r="H61" s="199" t="n"/>
      <c r="I61" s="201" t="n"/>
      <c r="J61" s="201" t="n"/>
      <c r="K61" s="201" t="n"/>
      <c r="L61" s="201" t="n"/>
      <c r="M61" s="201" t="n"/>
      <c r="N61" s="201" t="n"/>
      <c r="O61" s="199" t="n"/>
      <c r="P61" s="201" t="n"/>
      <c r="Q61" s="201" t="n"/>
      <c r="R61" s="201" t="n"/>
      <c r="S61" s="201" t="n"/>
      <c r="T61" s="201" t="n"/>
      <c r="U61" s="201" t="n"/>
      <c r="V61" s="201" t="n"/>
      <c r="W61" s="201" t="n"/>
      <c r="X61" s="201" t="n"/>
      <c r="Y61" s="201" t="n"/>
      <c r="Z61" s="202">
        <f>sum(T61:X61)</f>
        <v/>
      </c>
      <c r="AA61" s="203">
        <f>sum(Z61/Y61)*100%</f>
        <v/>
      </c>
    </row>
    <row r="62" ht="15.75" customHeight="1" s="205">
      <c r="A62" s="199" t="n"/>
      <c r="B62" s="204" t="n"/>
      <c r="C62" s="199" t="n"/>
      <c r="D62" s="199" t="n"/>
      <c r="E62" s="199" t="n"/>
      <c r="F62" s="199" t="n"/>
      <c r="G62" s="199" t="n"/>
      <c r="H62" s="199" t="n"/>
      <c r="I62" s="199" t="n"/>
      <c r="J62" s="199" t="n"/>
      <c r="K62" s="199" t="n"/>
      <c r="L62" s="199" t="n"/>
      <c r="M62" s="199" t="n"/>
      <c r="N62" s="199" t="n"/>
      <c r="O62" s="199" t="n"/>
      <c r="P62" s="199" t="n"/>
      <c r="Q62" s="199" t="n"/>
      <c r="R62" s="199" t="n"/>
      <c r="S62" s="199" t="n"/>
      <c r="T62" s="199" t="n"/>
      <c r="U62" s="199" t="n"/>
      <c r="V62" s="199" t="n"/>
      <c r="W62" s="199" t="n"/>
      <c r="X62" s="199" t="n"/>
      <c r="Y62" s="199" t="n"/>
      <c r="Z62" s="202">
        <f>sum(T62:X62)</f>
        <v/>
      </c>
      <c r="AA62" s="203">
        <f>sum(Z62/Y62)*100%</f>
        <v/>
      </c>
    </row>
    <row r="63" ht="15.75" customHeight="1" s="205">
      <c r="A63" s="199" t="n"/>
      <c r="B63" s="200" t="n"/>
      <c r="C63" s="201" t="n"/>
      <c r="D63" s="199" t="n"/>
      <c r="E63" s="199" t="n"/>
      <c r="F63" s="199" t="n"/>
      <c r="G63" s="199" t="n"/>
      <c r="H63" s="199" t="n"/>
      <c r="I63" s="201" t="n"/>
      <c r="J63" s="201" t="n"/>
      <c r="K63" s="201" t="n"/>
      <c r="L63" s="201" t="n"/>
      <c r="M63" s="201" t="n"/>
      <c r="N63" s="201" t="n"/>
      <c r="O63" s="199" t="n"/>
      <c r="P63" s="201" t="n"/>
      <c r="Q63" s="201" t="n"/>
      <c r="R63" s="201" t="n"/>
      <c r="S63" s="201" t="n"/>
      <c r="T63" s="201" t="n"/>
      <c r="U63" s="201" t="n"/>
      <c r="V63" s="201" t="n"/>
      <c r="W63" s="201" t="n"/>
      <c r="X63" s="201" t="n"/>
      <c r="Y63" s="201" t="n"/>
      <c r="Z63" s="202">
        <f>sum(T63:X63)</f>
        <v/>
      </c>
      <c r="AA63" s="203">
        <f>sum(Z63/Y63)*100%</f>
        <v/>
      </c>
    </row>
    <row r="64" ht="15.75" customHeight="1" s="205">
      <c r="A64" s="199" t="n"/>
      <c r="B64" s="204" t="n"/>
      <c r="C64" s="199" t="n"/>
      <c r="D64" s="199" t="n"/>
      <c r="E64" s="199" t="n"/>
      <c r="F64" s="199" t="n"/>
      <c r="G64" s="199" t="n"/>
      <c r="H64" s="199" t="n"/>
      <c r="I64" s="199" t="n"/>
      <c r="J64" s="199" t="n"/>
      <c r="K64" s="199" t="n"/>
      <c r="L64" s="199" t="n"/>
      <c r="M64" s="199" t="n"/>
      <c r="N64" s="199" t="n"/>
      <c r="O64" s="199" t="n"/>
      <c r="P64" s="199" t="n"/>
      <c r="Q64" s="199" t="n"/>
      <c r="R64" s="199" t="n"/>
      <c r="S64" s="199" t="n"/>
      <c r="T64" s="199" t="n"/>
      <c r="U64" s="199" t="n"/>
      <c r="V64" s="199" t="n"/>
      <c r="W64" s="199" t="n"/>
      <c r="X64" s="199" t="n"/>
      <c r="Y64" s="199" t="n"/>
      <c r="Z64" s="202">
        <f>sum(T64:X64)</f>
        <v/>
      </c>
      <c r="AA64" s="203">
        <f>sum(Z64/Y64)*100%</f>
        <v/>
      </c>
    </row>
    <row r="65" ht="15.75" customHeight="1" s="205">
      <c r="A65" s="199" t="n"/>
      <c r="B65" s="200" t="n"/>
      <c r="C65" s="201" t="n"/>
      <c r="D65" s="199" t="n"/>
      <c r="E65" s="199" t="n"/>
      <c r="F65" s="199" t="n"/>
      <c r="G65" s="199" t="n"/>
      <c r="H65" s="199" t="n"/>
      <c r="I65" s="201" t="n"/>
      <c r="J65" s="201" t="n"/>
      <c r="K65" s="201" t="n"/>
      <c r="L65" s="201" t="n"/>
      <c r="M65" s="201" t="n"/>
      <c r="N65" s="201" t="n"/>
      <c r="O65" s="199" t="n"/>
      <c r="P65" s="201" t="n"/>
      <c r="Q65" s="201" t="n"/>
      <c r="R65" s="201" t="n"/>
      <c r="S65" s="201" t="n"/>
      <c r="T65" s="201" t="n"/>
      <c r="U65" s="201" t="n"/>
      <c r="V65" s="201" t="n"/>
      <c r="W65" s="201" t="n"/>
      <c r="X65" s="201" t="n"/>
      <c r="Y65" s="201" t="n"/>
      <c r="Z65" s="202">
        <f>sum(T65:X65)</f>
        <v/>
      </c>
      <c r="AA65" s="203">
        <f>sum(Z65/Y65)*100%</f>
        <v/>
      </c>
    </row>
    <row r="66" ht="15.75" customHeight="1" s="205">
      <c r="A66" s="199" t="n"/>
      <c r="B66" s="204" t="n"/>
      <c r="C66" s="199" t="n"/>
      <c r="D66" s="199" t="n"/>
      <c r="E66" s="199" t="n"/>
      <c r="F66" s="199" t="n"/>
      <c r="G66" s="199" t="n"/>
      <c r="H66" s="199" t="n"/>
      <c r="I66" s="199" t="n"/>
      <c r="J66" s="199" t="n"/>
      <c r="K66" s="199" t="n"/>
      <c r="L66" s="199" t="n"/>
      <c r="M66" s="199" t="n"/>
      <c r="N66" s="199" t="n"/>
      <c r="O66" s="199" t="n"/>
      <c r="P66" s="199" t="n"/>
      <c r="Q66" s="199" t="n"/>
      <c r="R66" s="199" t="n"/>
      <c r="S66" s="199" t="n"/>
      <c r="T66" s="199" t="n"/>
      <c r="U66" s="199" t="n"/>
      <c r="V66" s="199" t="n"/>
      <c r="W66" s="199" t="n"/>
      <c r="X66" s="199" t="n"/>
      <c r="Y66" s="199" t="n"/>
      <c r="Z66" s="202">
        <f>sum(T66:X66)</f>
        <v/>
      </c>
      <c r="AA66" s="203">
        <f>sum(Z66/Y66)*100%</f>
        <v/>
      </c>
    </row>
    <row r="67" ht="15.75" customHeight="1" s="205">
      <c r="A67" s="199" t="n"/>
      <c r="B67" s="200" t="n"/>
      <c r="C67" s="201" t="n"/>
      <c r="D67" s="199" t="n"/>
      <c r="E67" s="199" t="n"/>
      <c r="F67" s="199" t="n"/>
      <c r="G67" s="199" t="n"/>
      <c r="H67" s="199" t="n"/>
      <c r="I67" s="201" t="n"/>
      <c r="J67" s="201" t="n"/>
      <c r="K67" s="201" t="n"/>
      <c r="L67" s="201" t="n"/>
      <c r="M67" s="201" t="n"/>
      <c r="N67" s="201" t="n"/>
      <c r="O67" s="199" t="n"/>
      <c r="P67" s="201" t="n"/>
      <c r="Q67" s="201" t="n"/>
      <c r="R67" s="201" t="n"/>
      <c r="S67" s="201" t="n"/>
      <c r="T67" s="201" t="n"/>
      <c r="U67" s="201" t="n"/>
      <c r="V67" s="201" t="n"/>
      <c r="W67" s="201" t="n"/>
      <c r="X67" s="201" t="n"/>
      <c r="Y67" s="201" t="n"/>
      <c r="Z67" s="202">
        <f>sum(T67:X67)</f>
        <v/>
      </c>
      <c r="AA67" s="203">
        <f>sum(Z67/Y67)*100%</f>
        <v/>
      </c>
    </row>
    <row r="68" ht="15.75" customHeight="1" s="205">
      <c r="A68" s="199" t="n"/>
      <c r="B68" s="204" t="n"/>
      <c r="C68" s="199" t="n"/>
      <c r="D68" s="199" t="n"/>
      <c r="E68" s="199" t="n"/>
      <c r="F68" s="199" t="n"/>
      <c r="G68" s="199" t="n"/>
      <c r="H68" s="199" t="n"/>
      <c r="I68" s="199" t="n"/>
      <c r="J68" s="199" t="n"/>
      <c r="K68" s="199" t="n"/>
      <c r="L68" s="199" t="n"/>
      <c r="M68" s="199" t="n"/>
      <c r="N68" s="199" t="n"/>
      <c r="O68" s="199" t="n"/>
      <c r="P68" s="199" t="n"/>
      <c r="Q68" s="199" t="n"/>
      <c r="R68" s="199" t="n"/>
      <c r="S68" s="199" t="n"/>
      <c r="T68" s="199" t="n"/>
      <c r="U68" s="199" t="n"/>
      <c r="V68" s="199" t="n"/>
      <c r="W68" s="199" t="n"/>
      <c r="X68" s="199" t="n"/>
      <c r="Y68" s="199" t="n"/>
      <c r="Z68" s="202">
        <f>sum(T68:X68)</f>
        <v/>
      </c>
      <c r="AA68" s="203">
        <f>sum(Z68/Y68)*100%</f>
        <v/>
      </c>
    </row>
    <row r="69" ht="15.75" customHeight="1" s="205">
      <c r="A69" s="199" t="n"/>
      <c r="B69" s="200" t="n"/>
      <c r="C69" s="201" t="n"/>
      <c r="D69" s="199" t="n"/>
      <c r="E69" s="199" t="n"/>
      <c r="F69" s="199" t="n"/>
      <c r="G69" s="199" t="n"/>
      <c r="H69" s="199" t="n"/>
      <c r="I69" s="201" t="n"/>
      <c r="J69" s="201" t="n"/>
      <c r="K69" s="201" t="n"/>
      <c r="L69" s="201" t="n"/>
      <c r="M69" s="201" t="n"/>
      <c r="N69" s="201" t="n"/>
      <c r="O69" s="199" t="n"/>
      <c r="P69" s="201" t="n"/>
      <c r="Q69" s="201" t="n"/>
      <c r="R69" s="201" t="n"/>
      <c r="S69" s="201" t="n"/>
      <c r="T69" s="201" t="n"/>
      <c r="U69" s="201" t="n"/>
      <c r="V69" s="201" t="n"/>
      <c r="W69" s="201" t="n"/>
      <c r="X69" s="201" t="n"/>
      <c r="Y69" s="201" t="n"/>
      <c r="Z69" s="202">
        <f>sum(T69:X69)</f>
        <v/>
      </c>
      <c r="AA69" s="203">
        <f>sum(Z69/Y69)*100%</f>
        <v/>
      </c>
    </row>
    <row r="70" ht="15.75" customHeight="1" s="205">
      <c r="A70" s="199" t="n"/>
      <c r="B70" s="204" t="n"/>
      <c r="C70" s="199" t="n"/>
      <c r="D70" s="199" t="n"/>
      <c r="E70" s="199" t="n"/>
      <c r="F70" s="199" t="n"/>
      <c r="G70" s="199" t="n"/>
      <c r="H70" s="199" t="n"/>
      <c r="I70" s="199" t="n"/>
      <c r="J70" s="199" t="n"/>
      <c r="K70" s="199" t="n"/>
      <c r="L70" s="199" t="n"/>
      <c r="M70" s="199" t="n"/>
      <c r="N70" s="199" t="n"/>
      <c r="O70" s="199" t="n"/>
      <c r="P70" s="199" t="n"/>
      <c r="Q70" s="199" t="n"/>
      <c r="R70" s="199" t="n"/>
      <c r="S70" s="199" t="n"/>
      <c r="T70" s="199" t="n"/>
      <c r="U70" s="199" t="n"/>
      <c r="V70" s="199" t="n"/>
      <c r="W70" s="199" t="n"/>
      <c r="X70" s="199" t="n"/>
      <c r="Y70" s="199" t="n"/>
      <c r="Z70" s="202">
        <f>sum(T70:X70)</f>
        <v/>
      </c>
      <c r="AA70" s="203">
        <f>sum(Z70/Y70)*100%</f>
        <v/>
      </c>
    </row>
    <row r="71" ht="15.75" customHeight="1" s="205">
      <c r="A71" s="199" t="n"/>
      <c r="B71" s="200" t="n"/>
      <c r="C71" s="201" t="n"/>
      <c r="D71" s="199" t="n"/>
      <c r="E71" s="199" t="n"/>
      <c r="F71" s="199" t="n"/>
      <c r="G71" s="199" t="n"/>
      <c r="H71" s="199" t="n"/>
      <c r="I71" s="201" t="n"/>
      <c r="J71" s="201" t="n"/>
      <c r="K71" s="201" t="n"/>
      <c r="L71" s="201" t="n"/>
      <c r="M71" s="201" t="n"/>
      <c r="N71" s="201" t="n"/>
      <c r="O71" s="199" t="n"/>
      <c r="P71" s="201" t="n"/>
      <c r="Q71" s="201" t="n"/>
      <c r="R71" s="201" t="n"/>
      <c r="S71" s="201" t="n"/>
      <c r="T71" s="201" t="n"/>
      <c r="U71" s="201" t="n"/>
      <c r="V71" s="201" t="n"/>
      <c r="W71" s="201" t="n"/>
      <c r="X71" s="201" t="n"/>
      <c r="Y71" s="201" t="n"/>
      <c r="Z71" s="202">
        <f>sum(T71:X71)</f>
        <v/>
      </c>
      <c r="AA71" s="203">
        <f>sum(Z71/Y71)*100%</f>
        <v/>
      </c>
    </row>
    <row r="72" ht="15.75" customHeight="1" s="205">
      <c r="A72" s="199" t="n"/>
      <c r="B72" s="204" t="n"/>
      <c r="C72" s="199" t="n"/>
      <c r="D72" s="199" t="n"/>
      <c r="E72" s="199" t="n"/>
      <c r="F72" s="199" t="n"/>
      <c r="G72" s="199" t="n"/>
      <c r="H72" s="199" t="n"/>
      <c r="I72" s="199" t="n"/>
      <c r="J72" s="199" t="n"/>
      <c r="K72" s="199" t="n"/>
      <c r="L72" s="199" t="n"/>
      <c r="M72" s="199" t="n"/>
      <c r="N72" s="199" t="n"/>
      <c r="O72" s="199" t="n"/>
      <c r="P72" s="199" t="n"/>
      <c r="Q72" s="199" t="n"/>
      <c r="R72" s="199" t="n"/>
      <c r="S72" s="199" t="n"/>
      <c r="T72" s="199" t="n"/>
      <c r="U72" s="199" t="n"/>
      <c r="V72" s="199" t="n"/>
      <c r="W72" s="199" t="n"/>
      <c r="X72" s="199" t="n"/>
      <c r="Y72" s="199" t="n"/>
      <c r="Z72" s="202">
        <f>sum(T72:X72)</f>
        <v/>
      </c>
      <c r="AA72" s="203">
        <f>sum(Z72/Y72)*100%</f>
        <v/>
      </c>
    </row>
    <row r="73" ht="15.75" customHeight="1" s="205">
      <c r="A73" s="199" t="n"/>
      <c r="B73" s="200" t="n"/>
      <c r="C73" s="201" t="n"/>
      <c r="D73" s="199" t="n"/>
      <c r="E73" s="199" t="n"/>
      <c r="F73" s="199" t="n"/>
      <c r="G73" s="199" t="n"/>
      <c r="H73" s="199" t="n"/>
      <c r="I73" s="201" t="n"/>
      <c r="J73" s="201" t="n"/>
      <c r="K73" s="201" t="n"/>
      <c r="L73" s="201" t="n"/>
      <c r="M73" s="201" t="n"/>
      <c r="N73" s="201" t="n"/>
      <c r="O73" s="199" t="n"/>
      <c r="P73" s="201" t="n"/>
      <c r="Q73" s="201" t="n"/>
      <c r="R73" s="201" t="n"/>
      <c r="S73" s="201" t="n"/>
      <c r="T73" s="201" t="n"/>
      <c r="U73" s="201" t="n"/>
      <c r="V73" s="201" t="n"/>
      <c r="W73" s="201" t="n"/>
      <c r="X73" s="201" t="n"/>
      <c r="Y73" s="201" t="n"/>
      <c r="Z73" s="202">
        <f>sum(T73:X73)</f>
        <v/>
      </c>
      <c r="AA73" s="203">
        <f>sum(Z73/Y73)*100%</f>
        <v/>
      </c>
    </row>
    <row r="74" ht="15.75" customHeight="1" s="205">
      <c r="A74" s="199" t="n"/>
      <c r="B74" s="204" t="n"/>
      <c r="C74" s="199" t="n"/>
      <c r="D74" s="199" t="n"/>
      <c r="E74" s="199" t="n"/>
      <c r="F74" s="199" t="n"/>
      <c r="G74" s="199" t="n"/>
      <c r="H74" s="199" t="n"/>
      <c r="I74" s="199" t="n"/>
      <c r="J74" s="199" t="n"/>
      <c r="K74" s="199" t="n"/>
      <c r="L74" s="199" t="n"/>
      <c r="M74" s="199" t="n"/>
      <c r="N74" s="199" t="n"/>
      <c r="O74" s="199" t="n"/>
      <c r="P74" s="199" t="n"/>
      <c r="Q74" s="199" t="n"/>
      <c r="R74" s="199" t="n"/>
      <c r="S74" s="199" t="n"/>
      <c r="T74" s="199" t="n"/>
      <c r="U74" s="199" t="n"/>
      <c r="V74" s="199" t="n"/>
      <c r="W74" s="199" t="n"/>
      <c r="X74" s="199" t="n"/>
      <c r="Y74" s="199" t="n"/>
      <c r="Z74" s="202">
        <f>sum(T74:X74)</f>
        <v/>
      </c>
      <c r="AA74" s="203">
        <f>sum(Z74/Y74)*100%</f>
        <v/>
      </c>
    </row>
    <row r="75" ht="15.75" customHeight="1" s="205">
      <c r="A75" s="199" t="n"/>
      <c r="B75" s="200" t="n"/>
      <c r="C75" s="201" t="n"/>
      <c r="D75" s="199" t="n"/>
      <c r="E75" s="199" t="n"/>
      <c r="F75" s="199" t="n"/>
      <c r="G75" s="199" t="n"/>
      <c r="H75" s="199" t="n"/>
      <c r="I75" s="201" t="n"/>
      <c r="J75" s="201" t="n"/>
      <c r="K75" s="201" t="n"/>
      <c r="L75" s="201" t="n"/>
      <c r="M75" s="201" t="n"/>
      <c r="N75" s="201" t="n"/>
      <c r="O75" s="199" t="n"/>
      <c r="P75" s="201" t="n"/>
      <c r="Q75" s="201" t="n"/>
      <c r="R75" s="201" t="n"/>
      <c r="S75" s="201" t="n"/>
      <c r="T75" s="201" t="n"/>
      <c r="U75" s="201" t="n"/>
      <c r="V75" s="201" t="n"/>
      <c r="W75" s="201" t="n"/>
      <c r="X75" s="201" t="n"/>
      <c r="Y75" s="201" t="n"/>
      <c r="Z75" s="202">
        <f>sum(T75:X75)</f>
        <v/>
      </c>
      <c r="AA75" s="203">
        <f>sum(Z75/Y75)*100%</f>
        <v/>
      </c>
    </row>
    <row r="76" ht="15.75" customHeight="1" s="205">
      <c r="A76" s="199" t="n"/>
      <c r="B76" s="204" t="n"/>
      <c r="C76" s="199" t="n"/>
      <c r="D76" s="199" t="n"/>
      <c r="E76" s="199" t="n"/>
      <c r="F76" s="199" t="n"/>
      <c r="G76" s="199" t="n"/>
      <c r="H76" s="199" t="n"/>
      <c r="I76" s="199" t="n"/>
      <c r="J76" s="199" t="n"/>
      <c r="K76" s="199" t="n"/>
      <c r="L76" s="199" t="n"/>
      <c r="M76" s="199" t="n"/>
      <c r="N76" s="199" t="n"/>
      <c r="O76" s="199" t="n"/>
      <c r="P76" s="199" t="n"/>
      <c r="Q76" s="199" t="n"/>
      <c r="R76" s="199" t="n"/>
      <c r="S76" s="199" t="n"/>
      <c r="T76" s="199" t="n"/>
      <c r="U76" s="199" t="n"/>
      <c r="V76" s="199" t="n"/>
      <c r="W76" s="199" t="n"/>
      <c r="X76" s="199" t="n"/>
      <c r="Y76" s="199" t="n"/>
      <c r="Z76" s="202">
        <f>sum(T76:X76)</f>
        <v/>
      </c>
      <c r="AA76" s="203">
        <f>sum(Z76/Y76)*100%</f>
        <v/>
      </c>
    </row>
    <row r="77" ht="15.75" customHeight="1" s="205">
      <c r="A77" s="199" t="n"/>
      <c r="B77" s="200" t="n"/>
      <c r="C77" s="201" t="n"/>
      <c r="D77" s="199" t="n"/>
      <c r="E77" s="199" t="n"/>
      <c r="F77" s="199" t="n"/>
      <c r="G77" s="199" t="n"/>
      <c r="H77" s="199" t="n"/>
      <c r="I77" s="201" t="n"/>
      <c r="J77" s="201" t="n"/>
      <c r="K77" s="201" t="n"/>
      <c r="L77" s="201" t="n"/>
      <c r="M77" s="201" t="n"/>
      <c r="N77" s="201" t="n"/>
      <c r="O77" s="199" t="n"/>
      <c r="P77" s="201" t="n"/>
      <c r="Q77" s="201" t="n"/>
      <c r="R77" s="201" t="n"/>
      <c r="S77" s="201" t="n"/>
      <c r="T77" s="201" t="n"/>
      <c r="U77" s="201" t="n"/>
      <c r="V77" s="201" t="n"/>
      <c r="W77" s="201" t="n"/>
      <c r="X77" s="201" t="n"/>
      <c r="Y77" s="201" t="n"/>
      <c r="Z77" s="202">
        <f>sum(T77:X77)</f>
        <v/>
      </c>
      <c r="AA77" s="203">
        <f>sum(Z77/Y77)*100%</f>
        <v/>
      </c>
    </row>
    <row r="78" ht="15.75" customHeight="1" s="205">
      <c r="A78" s="199" t="n"/>
      <c r="B78" s="204" t="n"/>
      <c r="C78" s="199" t="n"/>
      <c r="D78" s="199" t="n"/>
      <c r="E78" s="199" t="n"/>
      <c r="F78" s="199" t="n"/>
      <c r="G78" s="199" t="n"/>
      <c r="H78" s="199" t="n"/>
      <c r="I78" s="199" t="n"/>
      <c r="J78" s="199" t="n"/>
      <c r="K78" s="199" t="n"/>
      <c r="L78" s="199" t="n"/>
      <c r="M78" s="199" t="n"/>
      <c r="N78" s="199" t="n"/>
      <c r="O78" s="199" t="n"/>
      <c r="P78" s="199" t="n"/>
      <c r="Q78" s="199" t="n"/>
      <c r="R78" s="199" t="n"/>
      <c r="S78" s="199" t="n"/>
      <c r="T78" s="199" t="n"/>
      <c r="U78" s="199" t="n"/>
      <c r="V78" s="199" t="n"/>
      <c r="W78" s="199" t="n"/>
      <c r="X78" s="199" t="n"/>
      <c r="Y78" s="199" t="n"/>
      <c r="Z78" s="202">
        <f>sum(T78:X78)</f>
        <v/>
      </c>
      <c r="AA78" s="203">
        <f>sum(Z78/Y78)*100%</f>
        <v/>
      </c>
    </row>
    <row r="79" ht="15.75" customHeight="1" s="205">
      <c r="A79" s="199" t="n"/>
      <c r="B79" s="200" t="n"/>
      <c r="C79" s="201" t="n"/>
      <c r="D79" s="199" t="n"/>
      <c r="E79" s="199" t="n"/>
      <c r="F79" s="199" t="n"/>
      <c r="G79" s="199" t="n"/>
      <c r="H79" s="199" t="n"/>
      <c r="I79" s="201" t="n"/>
      <c r="J79" s="201" t="n"/>
      <c r="K79" s="201" t="n"/>
      <c r="L79" s="201" t="n"/>
      <c r="M79" s="201" t="n"/>
      <c r="N79" s="201" t="n"/>
      <c r="O79" s="199" t="n"/>
      <c r="P79" s="201" t="n"/>
      <c r="Q79" s="201" t="n"/>
      <c r="R79" s="201" t="n"/>
      <c r="S79" s="201" t="n"/>
      <c r="T79" s="201" t="n"/>
      <c r="U79" s="201" t="n"/>
      <c r="V79" s="201" t="n"/>
      <c r="W79" s="201" t="n"/>
      <c r="X79" s="201" t="n"/>
      <c r="Y79" s="201" t="n"/>
      <c r="Z79" s="202">
        <f>sum(T79:X79)</f>
        <v/>
      </c>
      <c r="AA79" s="203">
        <f>sum(Z79/Y79)*100%</f>
        <v/>
      </c>
    </row>
    <row r="80" ht="15.75" customHeight="1" s="205">
      <c r="A80" s="199" t="n"/>
      <c r="B80" s="204" t="n"/>
      <c r="C80" s="199" t="n"/>
      <c r="D80" s="199" t="n"/>
      <c r="E80" s="199" t="n"/>
      <c r="F80" s="199" t="n"/>
      <c r="G80" s="199" t="n"/>
      <c r="H80" s="199" t="n"/>
      <c r="I80" s="199" t="n"/>
      <c r="J80" s="199" t="n"/>
      <c r="K80" s="199" t="n"/>
      <c r="L80" s="199" t="n"/>
      <c r="M80" s="199" t="n"/>
      <c r="N80" s="199" t="n"/>
      <c r="O80" s="199" t="n"/>
      <c r="P80" s="199" t="n"/>
      <c r="Q80" s="199" t="n"/>
      <c r="R80" s="199" t="n"/>
      <c r="S80" s="199" t="n"/>
      <c r="T80" s="199" t="n"/>
      <c r="U80" s="199" t="n"/>
      <c r="V80" s="199" t="n"/>
      <c r="W80" s="199" t="n"/>
      <c r="X80" s="199" t="n"/>
      <c r="Y80" s="199" t="n"/>
      <c r="Z80" s="202">
        <f>sum(T80:X80)</f>
        <v/>
      </c>
      <c r="AA80" s="203">
        <f>sum(Z80/Y80)*100%</f>
        <v/>
      </c>
    </row>
    <row r="81" ht="15.75" customHeight="1" s="205">
      <c r="A81" s="199" t="n"/>
      <c r="B81" s="200" t="n"/>
      <c r="C81" s="201" t="n"/>
      <c r="D81" s="199" t="n"/>
      <c r="E81" s="199" t="n"/>
      <c r="F81" s="199" t="n"/>
      <c r="G81" s="199" t="n"/>
      <c r="H81" s="199" t="n"/>
      <c r="I81" s="201" t="n"/>
      <c r="J81" s="201" t="n"/>
      <c r="K81" s="201" t="n"/>
      <c r="L81" s="201" t="n"/>
      <c r="M81" s="201" t="n"/>
      <c r="N81" s="201" t="n"/>
      <c r="O81" s="199" t="n"/>
      <c r="P81" s="201" t="n"/>
      <c r="Q81" s="201" t="n"/>
      <c r="R81" s="201" t="n"/>
      <c r="S81" s="201" t="n"/>
      <c r="T81" s="201" t="n"/>
      <c r="U81" s="201" t="n"/>
      <c r="V81" s="201" t="n"/>
      <c r="W81" s="201" t="n"/>
      <c r="X81" s="201" t="n"/>
      <c r="Y81" s="201" t="n"/>
      <c r="Z81" s="202">
        <f>sum(T81:X81)</f>
        <v/>
      </c>
      <c r="AA81" s="203">
        <f>sum(Z81/Y81)*100%</f>
        <v/>
      </c>
    </row>
    <row r="82" ht="15.75" customHeight="1" s="205">
      <c r="A82" s="199" t="n"/>
      <c r="B82" s="204" t="n"/>
      <c r="C82" s="199" t="n"/>
      <c r="D82" s="199" t="n"/>
      <c r="E82" s="199" t="n"/>
      <c r="F82" s="199" t="n"/>
      <c r="G82" s="199" t="n"/>
      <c r="H82" s="199" t="n"/>
      <c r="I82" s="199" t="n"/>
      <c r="J82" s="199" t="n"/>
      <c r="K82" s="199" t="n"/>
      <c r="L82" s="199" t="n"/>
      <c r="M82" s="199" t="n"/>
      <c r="N82" s="199" t="n"/>
      <c r="O82" s="199" t="n"/>
      <c r="P82" s="199" t="n"/>
      <c r="Q82" s="199" t="n"/>
      <c r="R82" s="199" t="n"/>
      <c r="S82" s="199" t="n"/>
      <c r="T82" s="199" t="n"/>
      <c r="U82" s="199" t="n"/>
      <c r="V82" s="199" t="n"/>
      <c r="W82" s="199" t="n"/>
      <c r="X82" s="199" t="n"/>
      <c r="Y82" s="199" t="n"/>
      <c r="Z82" s="202">
        <f>sum(T82:X82)</f>
        <v/>
      </c>
      <c r="AA82" s="203">
        <f>sum(Z82/Y82)*100%</f>
        <v/>
      </c>
    </row>
    <row r="83" ht="15.75" customHeight="1" s="205">
      <c r="A83" s="199" t="n"/>
      <c r="B83" s="200" t="n"/>
      <c r="C83" s="201" t="n"/>
      <c r="D83" s="199" t="n"/>
      <c r="E83" s="199" t="n"/>
      <c r="F83" s="199" t="n"/>
      <c r="G83" s="199" t="n"/>
      <c r="H83" s="199" t="n"/>
      <c r="I83" s="201" t="n"/>
      <c r="J83" s="201" t="n"/>
      <c r="K83" s="201" t="n"/>
      <c r="L83" s="201" t="n"/>
      <c r="M83" s="201" t="n"/>
      <c r="N83" s="201" t="n"/>
      <c r="O83" s="199" t="n"/>
      <c r="P83" s="201" t="n"/>
      <c r="Q83" s="201" t="n"/>
      <c r="R83" s="201" t="n"/>
      <c r="S83" s="201" t="n"/>
      <c r="T83" s="201" t="n"/>
      <c r="U83" s="201" t="n"/>
      <c r="V83" s="201" t="n"/>
      <c r="W83" s="201" t="n"/>
      <c r="X83" s="201" t="n"/>
      <c r="Y83" s="201" t="n"/>
      <c r="Z83" s="202">
        <f>sum(T83:X83)</f>
        <v/>
      </c>
      <c r="AA83" s="203">
        <f>sum(Z83/Y83)*100%</f>
        <v/>
      </c>
    </row>
    <row r="84" ht="15.75" customHeight="1" s="205">
      <c r="A84" s="199" t="n"/>
      <c r="B84" s="204" t="n"/>
      <c r="C84" s="199" t="n"/>
      <c r="D84" s="199" t="n"/>
      <c r="E84" s="199" t="n"/>
      <c r="F84" s="199" t="n"/>
      <c r="G84" s="199" t="n"/>
      <c r="H84" s="199" t="n"/>
      <c r="I84" s="199" t="n"/>
      <c r="J84" s="199" t="n"/>
      <c r="K84" s="199" t="n"/>
      <c r="L84" s="199" t="n"/>
      <c r="M84" s="199" t="n"/>
      <c r="N84" s="199" t="n"/>
      <c r="O84" s="199" t="n"/>
      <c r="P84" s="199" t="n"/>
      <c r="Q84" s="199" t="n"/>
      <c r="R84" s="199" t="n"/>
      <c r="S84" s="199" t="n"/>
      <c r="T84" s="199" t="n"/>
      <c r="U84" s="199" t="n"/>
      <c r="V84" s="199" t="n"/>
      <c r="W84" s="199" t="n"/>
      <c r="X84" s="199" t="n"/>
      <c r="Y84" s="199" t="n"/>
      <c r="Z84" s="202">
        <f>sum(T84:X84)</f>
        <v/>
      </c>
      <c r="AA84" s="203">
        <f>sum(Z84/Y84)*100%</f>
        <v/>
      </c>
    </row>
    <row r="85" ht="15.75" customHeight="1" s="205">
      <c r="A85" s="199" t="n"/>
      <c r="B85" s="200" t="n"/>
      <c r="C85" s="201" t="n"/>
      <c r="D85" s="199" t="n"/>
      <c r="E85" s="199" t="n"/>
      <c r="F85" s="199" t="n"/>
      <c r="G85" s="199" t="n"/>
      <c r="H85" s="199" t="n"/>
      <c r="I85" s="201" t="n"/>
      <c r="J85" s="201" t="n"/>
      <c r="K85" s="201" t="n"/>
      <c r="L85" s="201" t="n"/>
      <c r="M85" s="201" t="n"/>
      <c r="N85" s="201" t="n"/>
      <c r="O85" s="199" t="n"/>
      <c r="P85" s="201" t="n"/>
      <c r="Q85" s="201" t="n"/>
      <c r="R85" s="201" t="n"/>
      <c r="S85" s="201" t="n"/>
      <c r="T85" s="201" t="n"/>
      <c r="U85" s="201" t="n"/>
      <c r="V85" s="201" t="n"/>
      <c r="W85" s="201" t="n"/>
      <c r="X85" s="201" t="n"/>
      <c r="Y85" s="201" t="n"/>
      <c r="Z85" s="202">
        <f>sum(T85:X85)</f>
        <v/>
      </c>
      <c r="AA85" s="203">
        <f>sum(Z85/Y85)*100%</f>
        <v/>
      </c>
    </row>
    <row r="86" ht="15.75" customHeight="1" s="205">
      <c r="A86" s="199" t="n"/>
      <c r="B86" s="198" t="n"/>
      <c r="C86" s="102" t="n"/>
      <c r="D86" s="199" t="n"/>
      <c r="E86" s="199" t="n"/>
      <c r="F86" s="199" t="n"/>
      <c r="G86" s="199" t="n"/>
      <c r="H86" s="199" t="n"/>
      <c r="I86" s="102" t="n"/>
      <c r="J86" s="102" t="n"/>
      <c r="K86" s="102" t="n"/>
      <c r="L86" s="102" t="n"/>
      <c r="M86" s="102" t="n"/>
      <c r="N86" s="102" t="n"/>
      <c r="O86" s="199" t="n"/>
      <c r="P86" s="102" t="n"/>
      <c r="Q86" s="102" t="n"/>
      <c r="R86" s="102" t="n"/>
      <c r="S86" s="102" t="n"/>
      <c r="T86" s="102" t="n"/>
      <c r="U86" s="102" t="n"/>
      <c r="V86" s="102" t="n"/>
      <c r="W86" s="102" t="n"/>
      <c r="X86" s="102" t="n"/>
      <c r="Y86" s="102" t="n"/>
      <c r="Z86" s="202">
        <f>sum(T86:X86)</f>
        <v/>
      </c>
      <c r="AA86" s="203">
        <f>sum(Z86/Y86)*100%</f>
        <v/>
      </c>
    </row>
    <row r="87" ht="15.75" customHeight="1" s="205">
      <c r="A87" s="199" t="n"/>
      <c r="B87" s="200" t="n"/>
      <c r="C87" s="201" t="n"/>
      <c r="D87" s="199" t="n"/>
      <c r="E87" s="199" t="n"/>
      <c r="F87" s="199" t="n"/>
      <c r="G87" s="199" t="n"/>
      <c r="H87" s="199" t="n"/>
      <c r="I87" s="201" t="n"/>
      <c r="J87" s="201" t="n"/>
      <c r="K87" s="201" t="n"/>
      <c r="L87" s="201" t="n"/>
      <c r="M87" s="201" t="n"/>
      <c r="N87" s="201" t="n"/>
      <c r="O87" s="199" t="n"/>
      <c r="P87" s="201" t="n"/>
      <c r="Q87" s="201" t="n"/>
      <c r="R87" s="201" t="n"/>
      <c r="S87" s="201" t="n"/>
      <c r="T87" s="201" t="n"/>
      <c r="U87" s="201" t="n"/>
      <c r="V87" s="201" t="n"/>
      <c r="W87" s="201" t="n"/>
      <c r="X87" s="201" t="n"/>
      <c r="Y87" s="201" t="n"/>
      <c r="Z87" s="202">
        <f>sum(T87:X87)</f>
        <v/>
      </c>
      <c r="AA87" s="203">
        <f>sum(Z87/Y87)*100%</f>
        <v/>
      </c>
    </row>
    <row r="88" ht="15.75" customHeight="1" s="205">
      <c r="A88" s="199" t="n"/>
      <c r="B88" s="198" t="n"/>
      <c r="C88" s="102" t="n"/>
      <c r="D88" s="199" t="n"/>
      <c r="E88" s="199" t="n"/>
      <c r="F88" s="199" t="n"/>
      <c r="G88" s="199" t="n"/>
      <c r="H88" s="199" t="n"/>
      <c r="I88" s="102" t="n"/>
      <c r="J88" s="102" t="n"/>
      <c r="K88" s="102" t="n"/>
      <c r="L88" s="102" t="n"/>
      <c r="M88" s="102" t="n"/>
      <c r="N88" s="102" t="n"/>
      <c r="O88" s="199" t="n"/>
      <c r="P88" s="102" t="n"/>
      <c r="Q88" s="102" t="n"/>
      <c r="R88" s="102" t="n"/>
      <c r="S88" s="102" t="n"/>
      <c r="T88" s="102" t="n"/>
      <c r="U88" s="102" t="n"/>
      <c r="V88" s="102" t="n"/>
      <c r="W88" s="102" t="n"/>
      <c r="X88" s="102" t="n"/>
      <c r="Y88" s="102" t="n"/>
      <c r="Z88" s="202">
        <f>sum(T88:X88)</f>
        <v/>
      </c>
      <c r="AA88" s="203">
        <f>sum(Z88/Y88)*100%</f>
        <v/>
      </c>
    </row>
    <row r="89" ht="15.75" customHeight="1" s="205">
      <c r="A89" s="199" t="n"/>
      <c r="B89" s="200" t="n"/>
      <c r="C89" s="201" t="n"/>
      <c r="D89" s="199" t="n"/>
      <c r="E89" s="199" t="n"/>
      <c r="F89" s="199" t="n"/>
      <c r="G89" s="199" t="n"/>
      <c r="H89" s="199" t="n"/>
      <c r="I89" s="201" t="n"/>
      <c r="J89" s="201" t="n"/>
      <c r="K89" s="201" t="n"/>
      <c r="L89" s="201" t="n"/>
      <c r="M89" s="201" t="n"/>
      <c r="N89" s="201" t="n"/>
      <c r="O89" s="199" t="n"/>
      <c r="P89" s="201" t="n"/>
      <c r="Q89" s="201" t="n"/>
      <c r="R89" s="201" t="n"/>
      <c r="S89" s="201" t="n"/>
      <c r="T89" s="201" t="n"/>
      <c r="U89" s="201" t="n"/>
      <c r="V89" s="201" t="n"/>
      <c r="W89" s="201" t="n"/>
      <c r="X89" s="201" t="n"/>
      <c r="Y89" s="201" t="n"/>
      <c r="Z89" s="202">
        <f>sum(T89:X89)</f>
        <v/>
      </c>
      <c r="AA89" s="203">
        <f>sum(Z89/Y89)*100%</f>
        <v/>
      </c>
    </row>
    <row r="90" ht="15.75" customHeight="1" s="205">
      <c r="A90" s="199" t="n"/>
      <c r="B90" s="198" t="n"/>
      <c r="C90" s="102" t="n"/>
      <c r="D90" s="199" t="n"/>
      <c r="E90" s="199" t="n"/>
      <c r="F90" s="199" t="n"/>
      <c r="G90" s="199" t="n"/>
      <c r="H90" s="199" t="n"/>
      <c r="I90" s="102" t="n"/>
      <c r="J90" s="102" t="n"/>
      <c r="K90" s="102" t="n"/>
      <c r="L90" s="102" t="n"/>
      <c r="M90" s="102" t="n"/>
      <c r="N90" s="102" t="n"/>
      <c r="O90" s="199" t="n"/>
      <c r="P90" s="102" t="n"/>
      <c r="Q90" s="102" t="n"/>
      <c r="R90" s="102" t="n"/>
      <c r="S90" s="102" t="n"/>
      <c r="T90" s="102" t="n"/>
      <c r="U90" s="102" t="n"/>
      <c r="V90" s="102" t="n"/>
      <c r="W90" s="102" t="n"/>
      <c r="X90" s="102" t="n"/>
      <c r="Y90" s="102" t="n"/>
      <c r="Z90" s="202">
        <f>sum(T90:X90)</f>
        <v/>
      </c>
      <c r="AA90" s="203">
        <f>sum(Z90/Y90)*100%</f>
        <v/>
      </c>
    </row>
    <row r="91" ht="15.75" customHeight="1" s="205">
      <c r="A91" s="199" t="n"/>
      <c r="B91" s="200" t="n"/>
      <c r="C91" s="201" t="n"/>
      <c r="D91" s="199" t="n"/>
      <c r="E91" s="199" t="n"/>
      <c r="F91" s="199" t="n"/>
      <c r="G91" s="199" t="n"/>
      <c r="H91" s="199" t="n"/>
      <c r="I91" s="201" t="n"/>
      <c r="J91" s="201" t="n"/>
      <c r="K91" s="201" t="n"/>
      <c r="L91" s="201" t="n"/>
      <c r="M91" s="201" t="n"/>
      <c r="N91" s="201" t="n"/>
      <c r="O91" s="199" t="n"/>
      <c r="P91" s="201" t="n"/>
      <c r="Q91" s="201" t="n"/>
      <c r="R91" s="201" t="n"/>
      <c r="S91" s="201" t="n"/>
      <c r="T91" s="201" t="n"/>
      <c r="U91" s="201" t="n"/>
      <c r="V91" s="201" t="n"/>
      <c r="W91" s="201" t="n"/>
      <c r="X91" s="201" t="n"/>
      <c r="Y91" s="201" t="n"/>
      <c r="Z91" s="202">
        <f>sum(T91:X91)</f>
        <v/>
      </c>
      <c r="AA91" s="203">
        <f>sum(Z91/Y91)*100%</f>
        <v/>
      </c>
    </row>
    <row r="92" ht="15.75" customHeight="1" s="205">
      <c r="A92" s="199" t="n"/>
      <c r="B92" s="198" t="n"/>
      <c r="C92" s="102" t="n"/>
      <c r="D92" s="199" t="n"/>
      <c r="E92" s="199" t="n"/>
      <c r="F92" s="199" t="n"/>
      <c r="G92" s="199" t="n"/>
      <c r="H92" s="199" t="n"/>
      <c r="I92" s="102" t="n"/>
      <c r="J92" s="102" t="n"/>
      <c r="K92" s="102" t="n"/>
      <c r="L92" s="102" t="n"/>
      <c r="M92" s="102" t="n"/>
      <c r="N92" s="102" t="n"/>
      <c r="O92" s="199" t="n"/>
      <c r="P92" s="102" t="n"/>
      <c r="Q92" s="102" t="n"/>
      <c r="R92" s="102" t="n"/>
      <c r="S92" s="102" t="n"/>
      <c r="T92" s="102" t="n"/>
      <c r="U92" s="102" t="n"/>
      <c r="V92" s="102" t="n"/>
      <c r="W92" s="102" t="n"/>
      <c r="X92" s="102" t="n"/>
      <c r="Y92" s="102" t="n"/>
      <c r="Z92" s="202">
        <f>sum(T92:X92)</f>
        <v/>
      </c>
      <c r="AA92" s="203">
        <f>sum(Z92/Y92)*100%</f>
        <v/>
      </c>
    </row>
    <row r="93" ht="15.75" customHeight="1" s="205">
      <c r="A93" s="199" t="n"/>
      <c r="B93" s="200" t="n"/>
      <c r="C93" s="201" t="n"/>
      <c r="D93" s="199" t="n"/>
      <c r="E93" s="199" t="n"/>
      <c r="F93" s="199" t="n"/>
      <c r="G93" s="199" t="n"/>
      <c r="H93" s="199" t="n"/>
      <c r="I93" s="201" t="n"/>
      <c r="J93" s="201" t="n"/>
      <c r="K93" s="201" t="n"/>
      <c r="L93" s="201" t="n"/>
      <c r="M93" s="201" t="n"/>
      <c r="N93" s="201" t="n"/>
      <c r="O93" s="199" t="n"/>
      <c r="P93" s="201" t="n"/>
      <c r="Q93" s="201" t="n"/>
      <c r="R93" s="201" t="n"/>
      <c r="S93" s="201" t="n"/>
      <c r="T93" s="201" t="n"/>
      <c r="U93" s="201" t="n"/>
      <c r="V93" s="201" t="n"/>
      <c r="W93" s="201" t="n"/>
      <c r="X93" s="201" t="n"/>
      <c r="Y93" s="201" t="n"/>
      <c r="Z93" s="202">
        <f>sum(T93:X93)</f>
        <v/>
      </c>
      <c r="AA93" s="203">
        <f>sum(Z93/Y93)*100%</f>
        <v/>
      </c>
    </row>
    <row r="94" ht="15.75" customHeight="1" s="205">
      <c r="A94" s="199" t="n"/>
      <c r="B94" s="198" t="n"/>
      <c r="C94" s="102" t="n"/>
      <c r="D94" s="199" t="n"/>
      <c r="E94" s="199" t="n"/>
      <c r="F94" s="199" t="n"/>
      <c r="G94" s="199" t="n"/>
      <c r="H94" s="199" t="n"/>
      <c r="I94" s="102" t="n"/>
      <c r="J94" s="102" t="n"/>
      <c r="K94" s="102" t="n"/>
      <c r="L94" s="102" t="n"/>
      <c r="M94" s="102" t="n"/>
      <c r="N94" s="102" t="n"/>
      <c r="O94" s="199" t="n"/>
      <c r="P94" s="102" t="n"/>
      <c r="Q94" s="102" t="n"/>
      <c r="R94" s="102" t="n"/>
      <c r="S94" s="102" t="n"/>
      <c r="T94" s="102" t="n"/>
      <c r="U94" s="102" t="n"/>
      <c r="V94" s="102" t="n"/>
      <c r="W94" s="102" t="n"/>
      <c r="X94" s="102" t="n"/>
      <c r="Y94" s="102" t="n"/>
      <c r="Z94" s="202">
        <f>sum(T94:X94)</f>
        <v/>
      </c>
      <c r="AA94" s="203">
        <f>sum(Z94/Y94)*100%</f>
        <v/>
      </c>
    </row>
    <row r="95" ht="15.75" customHeight="1" s="205">
      <c r="A95" s="199" t="n"/>
      <c r="B95" s="200" t="n"/>
      <c r="C95" s="201" t="n"/>
      <c r="D95" s="199" t="n"/>
      <c r="E95" s="199" t="n"/>
      <c r="F95" s="199" t="n"/>
      <c r="G95" s="199" t="n"/>
      <c r="H95" s="199" t="n"/>
      <c r="I95" s="201" t="n"/>
      <c r="J95" s="201" t="n"/>
      <c r="K95" s="201" t="n"/>
      <c r="L95" s="201" t="n"/>
      <c r="M95" s="201" t="n"/>
      <c r="N95" s="201" t="n"/>
      <c r="O95" s="199" t="n"/>
      <c r="P95" s="201" t="n"/>
      <c r="Q95" s="201" t="n"/>
      <c r="R95" s="201" t="n"/>
      <c r="S95" s="201" t="n"/>
      <c r="T95" s="201" t="n"/>
      <c r="U95" s="201" t="n"/>
      <c r="V95" s="201" t="n"/>
      <c r="W95" s="201" t="n"/>
      <c r="X95" s="201" t="n"/>
      <c r="Y95" s="201" t="n"/>
      <c r="Z95" s="202">
        <f>sum(T95:X95)</f>
        <v/>
      </c>
      <c r="AA95" s="203">
        <f>sum(Z95/Y95)*100%</f>
        <v/>
      </c>
    </row>
    <row r="96" ht="15.75" customHeight="1" s="205">
      <c r="A96" s="199" t="n"/>
      <c r="B96" s="198" t="n"/>
      <c r="C96" s="102" t="n"/>
      <c r="D96" s="199" t="n"/>
      <c r="E96" s="199" t="n"/>
      <c r="F96" s="199" t="n"/>
      <c r="G96" s="199" t="n"/>
      <c r="H96" s="199" t="n"/>
      <c r="I96" s="102" t="n"/>
      <c r="J96" s="102" t="n"/>
      <c r="K96" s="102" t="n"/>
      <c r="L96" s="102" t="n"/>
      <c r="M96" s="102" t="n"/>
      <c r="N96" s="102" t="n"/>
      <c r="O96" s="199" t="n"/>
      <c r="P96" s="102" t="n"/>
      <c r="Q96" s="102" t="n"/>
      <c r="R96" s="102" t="n"/>
      <c r="S96" s="102" t="n"/>
      <c r="T96" s="102" t="n"/>
      <c r="U96" s="102" t="n"/>
      <c r="V96" s="102" t="n"/>
      <c r="W96" s="102" t="n"/>
      <c r="X96" s="102" t="n"/>
      <c r="Y96" s="102" t="n"/>
      <c r="Z96" s="202">
        <f>sum(T96:X96)</f>
        <v/>
      </c>
      <c r="AA96" s="203">
        <f>sum(Z96/Y96)*100%</f>
        <v/>
      </c>
    </row>
    <row r="97" ht="15.75" customHeight="1" s="205">
      <c r="A97" s="199" t="n"/>
      <c r="B97" s="200" t="n"/>
      <c r="C97" s="201" t="n"/>
      <c r="D97" s="199" t="n"/>
      <c r="E97" s="199" t="n"/>
      <c r="F97" s="199" t="n"/>
      <c r="G97" s="199" t="n"/>
      <c r="H97" s="199" t="n"/>
      <c r="I97" s="201" t="n"/>
      <c r="J97" s="201" t="n"/>
      <c r="K97" s="201" t="n"/>
      <c r="L97" s="201" t="n"/>
      <c r="M97" s="201" t="n"/>
      <c r="N97" s="201" t="n"/>
      <c r="O97" s="199" t="n"/>
      <c r="P97" s="201" t="n"/>
      <c r="Q97" s="201" t="n"/>
      <c r="R97" s="201" t="n"/>
      <c r="S97" s="201" t="n"/>
      <c r="T97" s="201" t="n"/>
      <c r="U97" s="201" t="n"/>
      <c r="V97" s="201" t="n"/>
      <c r="W97" s="201" t="n"/>
      <c r="X97" s="201" t="n"/>
      <c r="Y97" s="201" t="n"/>
      <c r="Z97" s="202">
        <f>sum(T97:X97)</f>
        <v/>
      </c>
      <c r="AA97" s="203">
        <f>sum(Z97/Y97)*100%</f>
        <v/>
      </c>
    </row>
    <row r="98" ht="15.75" customHeight="1" s="205">
      <c r="A98" s="199" t="n"/>
      <c r="B98" s="204" t="n"/>
      <c r="C98" s="199" t="n"/>
      <c r="D98" s="199" t="n"/>
      <c r="E98" s="199" t="n"/>
      <c r="F98" s="199" t="n"/>
      <c r="G98" s="199" t="n"/>
      <c r="H98" s="199" t="n"/>
      <c r="I98" s="199" t="n"/>
      <c r="J98" s="199" t="n"/>
      <c r="K98" s="199" t="n"/>
      <c r="L98" s="199" t="n"/>
      <c r="M98" s="199" t="n"/>
      <c r="N98" s="199" t="n"/>
      <c r="O98" s="199" t="n"/>
      <c r="P98" s="199" t="n"/>
      <c r="Q98" s="199" t="n"/>
      <c r="R98" s="199" t="n"/>
      <c r="S98" s="199" t="n"/>
      <c r="T98" s="199" t="n"/>
      <c r="U98" s="199" t="n"/>
      <c r="V98" s="199" t="n"/>
      <c r="W98" s="199" t="n"/>
      <c r="X98" s="199" t="n"/>
      <c r="Y98" s="199" t="n"/>
      <c r="Z98" s="202">
        <f>sum(T98:X98)</f>
        <v/>
      </c>
      <c r="AA98" s="203">
        <f>sum(Z98/Y98)*100%</f>
        <v/>
      </c>
    </row>
    <row r="99" ht="15.75" customHeight="1" s="205">
      <c r="A99" s="199" t="n"/>
      <c r="B99" s="200" t="n"/>
      <c r="C99" s="201" t="n"/>
      <c r="D99" s="199" t="n"/>
      <c r="E99" s="199" t="n"/>
      <c r="F99" s="199" t="n"/>
      <c r="G99" s="199" t="n"/>
      <c r="H99" s="199" t="n"/>
      <c r="I99" s="201" t="n"/>
      <c r="J99" s="201" t="n"/>
      <c r="K99" s="201" t="n"/>
      <c r="L99" s="201" t="n"/>
      <c r="M99" s="201" t="n"/>
      <c r="N99" s="201" t="n"/>
      <c r="O99" s="199" t="n"/>
      <c r="P99" s="201" t="n"/>
      <c r="Q99" s="201" t="n"/>
      <c r="R99" s="201" t="n"/>
      <c r="S99" s="201" t="n"/>
      <c r="T99" s="201" t="n"/>
      <c r="U99" s="201" t="n"/>
      <c r="V99" s="201" t="n"/>
      <c r="W99" s="201" t="n"/>
      <c r="X99" s="201" t="n"/>
      <c r="Y99" s="201" t="n"/>
      <c r="Z99" s="202">
        <f>sum(T99:X99)</f>
        <v/>
      </c>
      <c r="AA99" s="203">
        <f>sum(Z99/Y99)*100%</f>
        <v/>
      </c>
    </row>
    <row r="100" ht="15.75" customHeight="1" s="205">
      <c r="A100" s="199" t="n"/>
      <c r="B100" s="204" t="n"/>
      <c r="C100" s="199" t="n"/>
      <c r="D100" s="199" t="n"/>
      <c r="E100" s="199" t="n"/>
      <c r="F100" s="199" t="n"/>
      <c r="G100" s="199" t="n"/>
      <c r="H100" s="199" t="n"/>
      <c r="I100" s="199" t="n"/>
      <c r="J100" s="199" t="n"/>
      <c r="K100" s="199" t="n"/>
      <c r="L100" s="199" t="n"/>
      <c r="M100" s="199" t="n"/>
      <c r="N100" s="199" t="n"/>
      <c r="O100" s="199" t="n"/>
      <c r="P100" s="199" t="n"/>
      <c r="Q100" s="199" t="n"/>
      <c r="R100" s="199" t="n"/>
      <c r="S100" s="199" t="n"/>
      <c r="T100" s="199" t="n"/>
      <c r="U100" s="199" t="n"/>
      <c r="V100" s="199" t="n"/>
      <c r="W100" s="199" t="n"/>
      <c r="X100" s="199" t="n"/>
      <c r="Y100" s="199" t="n"/>
      <c r="Z100" s="202">
        <f>sum(T100:X100)</f>
        <v/>
      </c>
      <c r="AA100" s="203">
        <f>sum(Z100/Y100)*100%</f>
        <v/>
      </c>
    </row>
    <row r="101" ht="15.75" customHeight="1" s="205">
      <c r="A101" s="199" t="n"/>
      <c r="B101" s="200" t="n"/>
      <c r="C101" s="201" t="n"/>
      <c r="D101" s="199" t="n"/>
      <c r="E101" s="199" t="n"/>
      <c r="F101" s="199" t="n"/>
      <c r="G101" s="199" t="n"/>
      <c r="H101" s="199" t="n"/>
      <c r="I101" s="201" t="n"/>
      <c r="J101" s="201" t="n"/>
      <c r="K101" s="201" t="n"/>
      <c r="L101" s="201" t="n"/>
      <c r="M101" s="201" t="n"/>
      <c r="N101" s="201" t="n"/>
      <c r="O101" s="199" t="n"/>
      <c r="P101" s="201" t="n"/>
      <c r="Q101" s="201" t="n"/>
      <c r="R101" s="201" t="n"/>
      <c r="S101" s="201" t="n"/>
      <c r="T101" s="201" t="n"/>
      <c r="U101" s="201" t="n"/>
      <c r="V101" s="201" t="n"/>
      <c r="W101" s="201" t="n"/>
      <c r="X101" s="201" t="n"/>
      <c r="Y101" s="201" t="n"/>
      <c r="Z101" s="202">
        <f>sum(T101:X101)</f>
        <v/>
      </c>
      <c r="AA101" s="203">
        <f>sum(Z101/Y101)*100%</f>
        <v/>
      </c>
    </row>
    <row r="102" ht="15.75" customHeight="1" s="205">
      <c r="A102" s="199" t="n"/>
      <c r="B102" s="204" t="n"/>
      <c r="C102" s="199" t="n"/>
      <c r="D102" s="199" t="n"/>
      <c r="E102" s="199" t="n"/>
      <c r="F102" s="199" t="n"/>
      <c r="G102" s="199" t="n"/>
      <c r="H102" s="199" t="n"/>
      <c r="I102" s="199" t="n"/>
      <c r="J102" s="199" t="n"/>
      <c r="K102" s="199" t="n"/>
      <c r="L102" s="199" t="n"/>
      <c r="M102" s="199" t="n"/>
      <c r="N102" s="199" t="n"/>
      <c r="O102" s="199" t="n"/>
      <c r="P102" s="199" t="n"/>
      <c r="Q102" s="199" t="n"/>
      <c r="R102" s="199" t="n"/>
      <c r="S102" s="199" t="n"/>
      <c r="T102" s="199" t="n"/>
      <c r="U102" s="199" t="n"/>
      <c r="V102" s="199" t="n"/>
      <c r="W102" s="199" t="n"/>
      <c r="X102" s="199" t="n"/>
      <c r="Y102" s="199" t="n"/>
      <c r="Z102" s="202">
        <f>sum(T102:X102)</f>
        <v/>
      </c>
      <c r="AA102" s="203">
        <f>sum(Z102/Y102)*100%</f>
        <v/>
      </c>
    </row>
    <row r="103" ht="15.75" customHeight="1" s="205">
      <c r="A103" s="199" t="n"/>
      <c r="B103" s="200" t="n"/>
      <c r="C103" s="201" t="n"/>
      <c r="D103" s="199" t="n"/>
      <c r="E103" s="199" t="n"/>
      <c r="F103" s="199" t="n"/>
      <c r="G103" s="199" t="n"/>
      <c r="H103" s="199" t="n"/>
      <c r="I103" s="201" t="n"/>
      <c r="J103" s="201" t="n"/>
      <c r="K103" s="201" t="n"/>
      <c r="L103" s="201" t="n"/>
      <c r="M103" s="201" t="n"/>
      <c r="N103" s="201" t="n"/>
      <c r="O103" s="199" t="n"/>
      <c r="P103" s="201" t="n"/>
      <c r="Q103" s="201" t="n"/>
      <c r="R103" s="201" t="n"/>
      <c r="S103" s="201" t="n"/>
      <c r="T103" s="201" t="n"/>
      <c r="U103" s="201" t="n"/>
      <c r="V103" s="201" t="n"/>
      <c r="W103" s="201" t="n"/>
      <c r="X103" s="201" t="n"/>
      <c r="Y103" s="201" t="n"/>
      <c r="Z103" s="202">
        <f>sum(T103:X103)</f>
        <v/>
      </c>
      <c r="AA103" s="203">
        <f>sum(Z103/Y103)*100%</f>
        <v/>
      </c>
    </row>
    <row r="104" ht="15.75" customHeight="1" s="205">
      <c r="A104" s="199" t="n"/>
      <c r="B104" s="204" t="n"/>
      <c r="C104" s="199" t="n"/>
      <c r="D104" s="199" t="n"/>
      <c r="E104" s="199" t="n"/>
      <c r="F104" s="199" t="n"/>
      <c r="G104" s="199" t="n"/>
      <c r="H104" s="199" t="n"/>
      <c r="I104" s="199" t="n"/>
      <c r="J104" s="199" t="n"/>
      <c r="K104" s="199" t="n"/>
      <c r="L104" s="199" t="n"/>
      <c r="M104" s="199" t="n"/>
      <c r="N104" s="199" t="n"/>
      <c r="O104" s="199" t="n"/>
      <c r="P104" s="199" t="n"/>
      <c r="Q104" s="199" t="n"/>
      <c r="R104" s="199" t="n"/>
      <c r="S104" s="199" t="n"/>
      <c r="T104" s="199" t="n"/>
      <c r="U104" s="199" t="n"/>
      <c r="V104" s="199" t="n"/>
      <c r="W104" s="199" t="n"/>
      <c r="X104" s="199" t="n"/>
      <c r="Y104" s="199" t="n"/>
      <c r="Z104" s="202">
        <f>sum(T104:X104)</f>
        <v/>
      </c>
      <c r="AA104" s="203">
        <f>sum(Z104/Y104)*100%</f>
        <v/>
      </c>
    </row>
    <row r="105" ht="15.75" customHeight="1" s="205">
      <c r="A105" s="199" t="n"/>
      <c r="B105" s="200" t="n"/>
      <c r="C105" s="201" t="n"/>
      <c r="D105" s="199" t="n"/>
      <c r="E105" s="199" t="n"/>
      <c r="F105" s="199" t="n"/>
      <c r="G105" s="199" t="n"/>
      <c r="H105" s="199" t="n"/>
      <c r="I105" s="201" t="n"/>
      <c r="J105" s="201" t="n"/>
      <c r="K105" s="201" t="n"/>
      <c r="L105" s="201" t="n"/>
      <c r="M105" s="201" t="n"/>
      <c r="N105" s="201" t="n"/>
      <c r="O105" s="199" t="n"/>
      <c r="P105" s="201" t="n"/>
      <c r="Q105" s="201" t="n"/>
      <c r="R105" s="201" t="n"/>
      <c r="S105" s="201" t="n"/>
      <c r="T105" s="201" t="n"/>
      <c r="U105" s="201" t="n"/>
      <c r="V105" s="201" t="n"/>
      <c r="W105" s="201" t="n"/>
      <c r="X105" s="201" t="n"/>
      <c r="Y105" s="201" t="n"/>
      <c r="Z105" s="202">
        <f>sum(T105:X105)</f>
        <v/>
      </c>
      <c r="AA105" s="203">
        <f>sum(Z105/Y105)*100%</f>
        <v/>
      </c>
    </row>
    <row r="106" ht="15.75" customHeight="1" s="205">
      <c r="A106" s="199" t="n"/>
      <c r="B106" s="204" t="n"/>
      <c r="C106" s="199" t="n"/>
      <c r="D106" s="199" t="n"/>
      <c r="E106" s="199" t="n"/>
      <c r="F106" s="199" t="n"/>
      <c r="G106" s="199" t="n"/>
      <c r="H106" s="199" t="n"/>
      <c r="I106" s="199" t="n"/>
      <c r="J106" s="199" t="n"/>
      <c r="K106" s="199" t="n"/>
      <c r="L106" s="199" t="n"/>
      <c r="M106" s="199" t="n"/>
      <c r="N106" s="199" t="n"/>
      <c r="O106" s="199" t="n"/>
      <c r="P106" s="199" t="n"/>
      <c r="Q106" s="199" t="n"/>
      <c r="R106" s="199" t="n"/>
      <c r="S106" s="199" t="n"/>
      <c r="T106" s="199" t="n"/>
      <c r="U106" s="199" t="n"/>
      <c r="V106" s="199" t="n"/>
      <c r="W106" s="199" t="n"/>
      <c r="X106" s="199" t="n"/>
      <c r="Y106" s="199" t="n"/>
      <c r="Z106" s="202">
        <f>sum(T106:X106)</f>
        <v/>
      </c>
      <c r="AA106" s="203">
        <f>sum(Z106/Y106)*100%</f>
        <v/>
      </c>
    </row>
    <row r="107" ht="15.75" customHeight="1" s="205">
      <c r="A107" s="199" t="n"/>
      <c r="B107" s="200" t="n"/>
      <c r="C107" s="201" t="n"/>
      <c r="D107" s="199" t="n"/>
      <c r="E107" s="199" t="n"/>
      <c r="F107" s="199" t="n"/>
      <c r="G107" s="199" t="n"/>
      <c r="H107" s="199" t="n"/>
      <c r="I107" s="201" t="n"/>
      <c r="J107" s="201" t="n"/>
      <c r="K107" s="201" t="n"/>
      <c r="L107" s="201" t="n"/>
      <c r="M107" s="201" t="n"/>
      <c r="N107" s="201" t="n"/>
      <c r="O107" s="199" t="n"/>
      <c r="P107" s="201" t="n"/>
      <c r="Q107" s="201" t="n"/>
      <c r="R107" s="201" t="n"/>
      <c r="S107" s="201" t="n"/>
      <c r="T107" s="201" t="n"/>
      <c r="U107" s="201" t="n"/>
      <c r="V107" s="201" t="n"/>
      <c r="W107" s="201" t="n"/>
      <c r="X107" s="201" t="n"/>
      <c r="Y107" s="201" t="n"/>
      <c r="Z107" s="202">
        <f>sum(T107:X107)</f>
        <v/>
      </c>
      <c r="AA107" s="203">
        <f>sum(Z107/Y107)*100%</f>
        <v/>
      </c>
    </row>
    <row r="108" ht="15.75" customHeight="1" s="205">
      <c r="A108" s="199" t="n"/>
      <c r="B108" s="204" t="n"/>
      <c r="C108" s="199" t="n"/>
      <c r="D108" s="199" t="n"/>
      <c r="E108" s="199" t="n"/>
      <c r="F108" s="199" t="n"/>
      <c r="G108" s="199" t="n"/>
      <c r="H108" s="199" t="n"/>
      <c r="I108" s="199" t="n"/>
      <c r="J108" s="199" t="n"/>
      <c r="K108" s="199" t="n"/>
      <c r="L108" s="199" t="n"/>
      <c r="M108" s="199" t="n"/>
      <c r="N108" s="199" t="n"/>
      <c r="O108" s="199" t="n"/>
      <c r="P108" s="199" t="n"/>
      <c r="Q108" s="199" t="n"/>
      <c r="R108" s="199" t="n"/>
      <c r="S108" s="199" t="n"/>
      <c r="T108" s="199" t="n"/>
      <c r="U108" s="199" t="n"/>
      <c r="V108" s="199" t="n"/>
      <c r="W108" s="199" t="n"/>
      <c r="X108" s="199" t="n"/>
      <c r="Y108" s="199" t="n"/>
      <c r="Z108" s="202">
        <f>sum(T108:X108)</f>
        <v/>
      </c>
      <c r="AA108" s="203">
        <f>sum(Z108/Y108)*100%</f>
        <v/>
      </c>
    </row>
    <row r="109" ht="15.75" customHeight="1" s="205">
      <c r="A109" s="199" t="n"/>
      <c r="B109" s="200" t="n"/>
      <c r="C109" s="201" t="n"/>
      <c r="D109" s="199" t="n"/>
      <c r="E109" s="199" t="n"/>
      <c r="F109" s="199" t="n"/>
      <c r="G109" s="199" t="n"/>
      <c r="H109" s="199" t="n"/>
      <c r="I109" s="201" t="n"/>
      <c r="J109" s="201" t="n"/>
      <c r="K109" s="201" t="n"/>
      <c r="L109" s="201" t="n"/>
      <c r="M109" s="201" t="n"/>
      <c r="N109" s="201" t="n"/>
      <c r="O109" s="199" t="n"/>
      <c r="P109" s="201" t="n"/>
      <c r="Q109" s="201" t="n"/>
      <c r="R109" s="201" t="n"/>
      <c r="S109" s="201" t="n"/>
      <c r="T109" s="201" t="n"/>
      <c r="U109" s="201" t="n"/>
      <c r="V109" s="201" t="n"/>
      <c r="W109" s="201" t="n"/>
      <c r="X109" s="201" t="n"/>
      <c r="Y109" s="201" t="n"/>
      <c r="Z109" s="202">
        <f>sum(T109:X109)</f>
        <v/>
      </c>
      <c r="AA109" s="203">
        <f>sum(Z109/Y109)*100%</f>
        <v/>
      </c>
    </row>
    <row r="110" ht="15.75" customHeight="1" s="205">
      <c r="A110" s="199" t="n"/>
      <c r="B110" s="204" t="n"/>
      <c r="C110" s="199" t="n"/>
      <c r="D110" s="199" t="n"/>
      <c r="E110" s="199" t="n"/>
      <c r="F110" s="199" t="n"/>
      <c r="G110" s="199" t="n"/>
      <c r="H110" s="199" t="n"/>
      <c r="I110" s="199" t="n"/>
      <c r="J110" s="199" t="n"/>
      <c r="K110" s="199" t="n"/>
      <c r="L110" s="199" t="n"/>
      <c r="M110" s="199" t="n"/>
      <c r="N110" s="199" t="n"/>
      <c r="O110" s="199" t="n"/>
      <c r="P110" s="199" t="n"/>
      <c r="Q110" s="199" t="n"/>
      <c r="R110" s="199" t="n"/>
      <c r="S110" s="199" t="n"/>
      <c r="T110" s="199" t="n"/>
      <c r="U110" s="199" t="n"/>
      <c r="V110" s="199" t="n"/>
      <c r="W110" s="199" t="n"/>
      <c r="X110" s="199" t="n"/>
      <c r="Y110" s="199" t="n"/>
      <c r="Z110" s="202">
        <f>sum(T110:X110)</f>
        <v/>
      </c>
      <c r="AA110" s="203">
        <f>sum(Z110/Y110)*100%</f>
        <v/>
      </c>
    </row>
    <row r="111" ht="15.75" customHeight="1" s="205">
      <c r="A111" s="199" t="n"/>
      <c r="B111" s="200" t="n"/>
      <c r="C111" s="201" t="n"/>
      <c r="D111" s="199" t="n"/>
      <c r="E111" s="199" t="n"/>
      <c r="F111" s="199" t="n"/>
      <c r="G111" s="199" t="n"/>
      <c r="H111" s="199" t="n"/>
      <c r="I111" s="201" t="n"/>
      <c r="J111" s="201" t="n"/>
      <c r="K111" s="201" t="n"/>
      <c r="L111" s="201" t="n"/>
      <c r="M111" s="201" t="n"/>
      <c r="N111" s="201" t="n"/>
      <c r="O111" s="199" t="n"/>
      <c r="P111" s="201" t="n"/>
      <c r="Q111" s="201" t="n"/>
      <c r="R111" s="201" t="n"/>
      <c r="S111" s="201" t="n"/>
      <c r="T111" s="201" t="n"/>
      <c r="U111" s="201" t="n"/>
      <c r="V111" s="201" t="n"/>
      <c r="W111" s="201" t="n"/>
      <c r="X111" s="201" t="n"/>
      <c r="Y111" s="201" t="n"/>
      <c r="Z111" s="202">
        <f>sum(T111:X111)</f>
        <v/>
      </c>
      <c r="AA111" s="203">
        <f>sum(Z111/Y111)*100%</f>
        <v/>
      </c>
    </row>
    <row r="112" ht="15.75" customHeight="1" s="205">
      <c r="A112" s="199" t="n"/>
      <c r="B112" s="204" t="n"/>
      <c r="C112" s="199" t="n"/>
      <c r="D112" s="199" t="n"/>
      <c r="E112" s="199" t="n"/>
      <c r="F112" s="199" t="n"/>
      <c r="G112" s="199" t="n"/>
      <c r="H112" s="199" t="n"/>
      <c r="I112" s="199" t="n"/>
      <c r="J112" s="199" t="n"/>
      <c r="K112" s="199" t="n"/>
      <c r="L112" s="199" t="n"/>
      <c r="M112" s="199" t="n"/>
      <c r="N112" s="199" t="n"/>
      <c r="O112" s="199" t="n"/>
      <c r="P112" s="199" t="n"/>
      <c r="Q112" s="199" t="n"/>
      <c r="R112" s="199" t="n"/>
      <c r="S112" s="199" t="n"/>
      <c r="T112" s="199" t="n"/>
      <c r="U112" s="199" t="n"/>
      <c r="V112" s="199" t="n"/>
      <c r="W112" s="199" t="n"/>
      <c r="X112" s="199" t="n"/>
      <c r="Y112" s="199" t="n"/>
      <c r="Z112" s="202">
        <f>sum(T112:X112)</f>
        <v/>
      </c>
      <c r="AA112" s="203">
        <f>sum(Z112/Y112)*100%</f>
        <v/>
      </c>
    </row>
    <row r="113" ht="15.75" customHeight="1" s="205">
      <c r="A113" s="199" t="n"/>
      <c r="B113" s="200" t="n"/>
      <c r="C113" s="201" t="n"/>
      <c r="D113" s="199" t="n"/>
      <c r="E113" s="199" t="n"/>
      <c r="F113" s="199" t="n"/>
      <c r="G113" s="199" t="n"/>
      <c r="H113" s="199" t="n"/>
      <c r="I113" s="201" t="n"/>
      <c r="J113" s="201" t="n"/>
      <c r="K113" s="201" t="n"/>
      <c r="L113" s="201" t="n"/>
      <c r="M113" s="201" t="n"/>
      <c r="N113" s="201" t="n"/>
      <c r="O113" s="199" t="n"/>
      <c r="P113" s="201" t="n"/>
      <c r="Q113" s="201" t="n"/>
      <c r="R113" s="201" t="n"/>
      <c r="S113" s="201" t="n"/>
      <c r="T113" s="201" t="n"/>
      <c r="U113" s="201" t="n"/>
      <c r="V113" s="201" t="n"/>
      <c r="W113" s="201" t="n"/>
      <c r="X113" s="201" t="n"/>
      <c r="Y113" s="201" t="n"/>
      <c r="Z113" s="202">
        <f>sum(T113:X113)</f>
        <v/>
      </c>
      <c r="AA113" s="203">
        <f>sum(Z113/Y113)*100%</f>
        <v/>
      </c>
    </row>
    <row r="114" ht="15.75" customHeight="1" s="205">
      <c r="A114" s="199" t="n"/>
      <c r="B114" s="204" t="n"/>
      <c r="C114" s="199" t="n"/>
      <c r="D114" s="199" t="n"/>
      <c r="E114" s="199" t="n"/>
      <c r="F114" s="199" t="n"/>
      <c r="G114" s="199" t="n"/>
      <c r="H114" s="199" t="n"/>
      <c r="I114" s="199" t="n"/>
      <c r="J114" s="199" t="n"/>
      <c r="K114" s="199" t="n"/>
      <c r="L114" s="199" t="n"/>
      <c r="M114" s="199" t="n"/>
      <c r="N114" s="199" t="n"/>
      <c r="O114" s="199" t="n"/>
      <c r="P114" s="199" t="n"/>
      <c r="Q114" s="199" t="n"/>
      <c r="R114" s="199" t="n"/>
      <c r="S114" s="199" t="n"/>
      <c r="T114" s="199" t="n"/>
      <c r="U114" s="199" t="n"/>
      <c r="V114" s="199" t="n"/>
      <c r="W114" s="199" t="n"/>
      <c r="X114" s="199" t="n"/>
      <c r="Y114" s="199" t="n"/>
      <c r="Z114" s="202">
        <f>sum(T114:X114)</f>
        <v/>
      </c>
      <c r="AA114" s="203">
        <f>sum(Z114/Y114)*100%</f>
        <v/>
      </c>
    </row>
    <row r="115" ht="15.75" customHeight="1" s="205">
      <c r="A115" s="199" t="n"/>
      <c r="B115" s="200" t="n"/>
      <c r="C115" s="201" t="n"/>
      <c r="D115" s="199" t="n"/>
      <c r="E115" s="199" t="n"/>
      <c r="F115" s="199" t="n"/>
      <c r="G115" s="199" t="n"/>
      <c r="H115" s="199" t="n"/>
      <c r="I115" s="201" t="n"/>
      <c r="J115" s="201" t="n"/>
      <c r="K115" s="201" t="n"/>
      <c r="L115" s="201" t="n"/>
      <c r="M115" s="201" t="n"/>
      <c r="N115" s="201" t="n"/>
      <c r="O115" s="199" t="n"/>
      <c r="P115" s="201" t="n"/>
      <c r="Q115" s="201" t="n"/>
      <c r="R115" s="201" t="n"/>
      <c r="S115" s="201" t="n"/>
      <c r="T115" s="201" t="n"/>
      <c r="U115" s="201" t="n"/>
      <c r="V115" s="201" t="n"/>
      <c r="W115" s="201" t="n"/>
      <c r="X115" s="201" t="n"/>
      <c r="Y115" s="201" t="n"/>
      <c r="Z115" s="202">
        <f>sum(T115:X115)</f>
        <v/>
      </c>
      <c r="AA115" s="203">
        <f>sum(Z115/Y115)*100%</f>
        <v/>
      </c>
    </row>
    <row r="116" ht="15.75" customHeight="1" s="205">
      <c r="A116" s="199" t="n"/>
      <c r="B116" s="204" t="n"/>
      <c r="C116" s="199" t="n"/>
      <c r="D116" s="199" t="n"/>
      <c r="E116" s="199" t="n"/>
      <c r="F116" s="199" t="n"/>
      <c r="G116" s="199" t="n"/>
      <c r="H116" s="199" t="n"/>
      <c r="I116" s="199" t="n"/>
      <c r="J116" s="199" t="n"/>
      <c r="K116" s="199" t="n"/>
      <c r="L116" s="199" t="n"/>
      <c r="M116" s="199" t="n"/>
      <c r="N116" s="199" t="n"/>
      <c r="O116" s="199" t="n"/>
      <c r="P116" s="199" t="n"/>
      <c r="Q116" s="199" t="n"/>
      <c r="R116" s="199" t="n"/>
      <c r="S116" s="199" t="n"/>
      <c r="T116" s="199" t="n"/>
      <c r="U116" s="199" t="n"/>
      <c r="V116" s="199" t="n"/>
      <c r="W116" s="199" t="n"/>
      <c r="X116" s="199" t="n"/>
      <c r="Y116" s="199" t="n"/>
      <c r="Z116" s="202">
        <f>sum(T116:X116)</f>
        <v/>
      </c>
      <c r="AA116" s="203">
        <f>sum(Z116/Y116)*100%</f>
        <v/>
      </c>
    </row>
    <row r="117" ht="15.75" customHeight="1" s="205">
      <c r="A117" s="199" t="n"/>
      <c r="B117" s="200" t="n"/>
      <c r="C117" s="201" t="n"/>
      <c r="D117" s="199" t="n"/>
      <c r="E117" s="199" t="n"/>
      <c r="F117" s="199" t="n"/>
      <c r="G117" s="199" t="n"/>
      <c r="H117" s="199" t="n"/>
      <c r="I117" s="201" t="n"/>
      <c r="J117" s="201" t="n"/>
      <c r="K117" s="201" t="n"/>
      <c r="L117" s="201" t="n"/>
      <c r="M117" s="201" t="n"/>
      <c r="N117" s="201" t="n"/>
      <c r="O117" s="199" t="n"/>
      <c r="P117" s="201" t="n"/>
      <c r="Q117" s="201" t="n"/>
      <c r="R117" s="201" t="n"/>
      <c r="S117" s="201" t="n"/>
      <c r="T117" s="201" t="n"/>
      <c r="U117" s="201" t="n"/>
      <c r="V117" s="201" t="n"/>
      <c r="W117" s="201" t="n"/>
      <c r="X117" s="201" t="n"/>
      <c r="Y117" s="201" t="n"/>
      <c r="Z117" s="202">
        <f>sum(T117:X117)</f>
        <v/>
      </c>
      <c r="AA117" s="203">
        <f>sum(Z117/Y117)*100%</f>
        <v/>
      </c>
    </row>
    <row r="118" ht="15.75" customHeight="1" s="205">
      <c r="A118" s="199" t="n"/>
      <c r="B118" s="204" t="n"/>
      <c r="C118" s="199" t="n"/>
      <c r="D118" s="199" t="n"/>
      <c r="E118" s="199" t="n"/>
      <c r="F118" s="199" t="n"/>
      <c r="G118" s="199" t="n"/>
      <c r="H118" s="199" t="n"/>
      <c r="I118" s="199" t="n"/>
      <c r="J118" s="199" t="n"/>
      <c r="K118" s="199" t="n"/>
      <c r="L118" s="199" t="n"/>
      <c r="M118" s="199" t="n"/>
      <c r="N118" s="199" t="n"/>
      <c r="O118" s="199" t="n"/>
      <c r="P118" s="199" t="n"/>
      <c r="Q118" s="199" t="n"/>
      <c r="R118" s="199" t="n"/>
      <c r="S118" s="199" t="n"/>
      <c r="T118" s="199" t="n"/>
      <c r="U118" s="199" t="n"/>
      <c r="V118" s="199" t="n"/>
      <c r="W118" s="199" t="n"/>
      <c r="X118" s="199" t="n"/>
      <c r="Y118" s="199" t="n"/>
      <c r="Z118" s="202">
        <f>sum(T118:X118)</f>
        <v/>
      </c>
      <c r="AA118" s="203">
        <f>sum(Z118/Y118)*100%</f>
        <v/>
      </c>
    </row>
    <row r="119" ht="15.75" customHeight="1" s="205">
      <c r="A119" s="199" t="n"/>
      <c r="B119" s="200" t="n"/>
      <c r="C119" s="201" t="n"/>
      <c r="D119" s="199" t="n"/>
      <c r="E119" s="199" t="n"/>
      <c r="F119" s="199" t="n"/>
      <c r="G119" s="199" t="n"/>
      <c r="H119" s="199" t="n"/>
      <c r="I119" s="201" t="n"/>
      <c r="J119" s="201" t="n"/>
      <c r="K119" s="201" t="n"/>
      <c r="L119" s="201" t="n"/>
      <c r="M119" s="201" t="n"/>
      <c r="N119" s="201" t="n"/>
      <c r="O119" s="199" t="n"/>
      <c r="P119" s="201" t="n"/>
      <c r="Q119" s="201" t="n"/>
      <c r="R119" s="201" t="n"/>
      <c r="S119" s="201" t="n"/>
      <c r="T119" s="201" t="n"/>
      <c r="U119" s="201" t="n"/>
      <c r="V119" s="201" t="n"/>
      <c r="W119" s="201" t="n"/>
      <c r="X119" s="201" t="n"/>
      <c r="Y119" s="201" t="n"/>
      <c r="Z119" s="202">
        <f>sum(T119:X119)</f>
        <v/>
      </c>
      <c r="AA119" s="203">
        <f>sum(Z119/Y119)*100%</f>
        <v/>
      </c>
    </row>
    <row r="120" ht="15.75" customHeight="1" s="205">
      <c r="A120" s="199" t="n"/>
      <c r="B120" s="204" t="n"/>
      <c r="C120" s="199" t="n"/>
      <c r="D120" s="199" t="n"/>
      <c r="E120" s="199" t="n"/>
      <c r="F120" s="199" t="n"/>
      <c r="G120" s="199" t="n"/>
      <c r="H120" s="199" t="n"/>
      <c r="I120" s="199" t="n"/>
      <c r="J120" s="199" t="n"/>
      <c r="K120" s="199" t="n"/>
      <c r="L120" s="199" t="n"/>
      <c r="M120" s="199" t="n"/>
      <c r="N120" s="199" t="n"/>
      <c r="O120" s="199" t="n"/>
      <c r="P120" s="199" t="n"/>
      <c r="Q120" s="199" t="n"/>
      <c r="R120" s="199" t="n"/>
      <c r="S120" s="199" t="n"/>
      <c r="T120" s="199" t="n"/>
      <c r="U120" s="199" t="n"/>
      <c r="V120" s="199" t="n"/>
      <c r="W120" s="199" t="n"/>
      <c r="X120" s="199" t="n"/>
      <c r="Y120" s="199" t="n"/>
      <c r="Z120" s="202">
        <f>sum(T120:X120)</f>
        <v/>
      </c>
      <c r="AA120" s="203">
        <f>sum(Z120/Y120)*100%</f>
        <v/>
      </c>
    </row>
    <row r="121" ht="15.75" customHeight="1" s="205">
      <c r="A121" s="199" t="n"/>
      <c r="B121" s="200" t="n"/>
      <c r="C121" s="201" t="n"/>
      <c r="D121" s="199" t="n"/>
      <c r="E121" s="199" t="n"/>
      <c r="F121" s="199" t="n"/>
      <c r="G121" s="199" t="n"/>
      <c r="H121" s="199" t="n"/>
      <c r="I121" s="201" t="n"/>
      <c r="J121" s="201" t="n"/>
      <c r="K121" s="201" t="n"/>
      <c r="L121" s="201" t="n"/>
      <c r="M121" s="201" t="n"/>
      <c r="N121" s="201" t="n"/>
      <c r="O121" s="199" t="n"/>
      <c r="P121" s="201" t="n"/>
      <c r="Q121" s="201" t="n"/>
      <c r="R121" s="201" t="n"/>
      <c r="S121" s="201" t="n"/>
      <c r="T121" s="201" t="n"/>
      <c r="U121" s="201" t="n"/>
      <c r="V121" s="201" t="n"/>
      <c r="W121" s="201" t="n"/>
      <c r="X121" s="201" t="n"/>
      <c r="Y121" s="201" t="n"/>
      <c r="Z121" s="202">
        <f>sum(T121:X121)</f>
        <v/>
      </c>
      <c r="AA121" s="203">
        <f>sum(Z121/Y121)*100%</f>
        <v/>
      </c>
    </row>
    <row r="122" ht="15.75" customHeight="1" s="205">
      <c r="A122" s="199" t="n"/>
      <c r="B122" s="204" t="n"/>
      <c r="C122" s="199" t="n"/>
      <c r="D122" s="199" t="n"/>
      <c r="E122" s="199" t="n"/>
      <c r="F122" s="199" t="n"/>
      <c r="G122" s="199" t="n"/>
      <c r="H122" s="199" t="n"/>
      <c r="I122" s="199" t="n"/>
      <c r="J122" s="199" t="n"/>
      <c r="K122" s="199" t="n"/>
      <c r="L122" s="199" t="n"/>
      <c r="M122" s="199" t="n"/>
      <c r="N122" s="199" t="n"/>
      <c r="O122" s="199" t="n"/>
      <c r="P122" s="199" t="n"/>
      <c r="Q122" s="199" t="n"/>
      <c r="R122" s="199" t="n"/>
      <c r="S122" s="199" t="n"/>
      <c r="T122" s="199" t="n"/>
      <c r="U122" s="199" t="n"/>
      <c r="V122" s="199" t="n"/>
      <c r="W122" s="199" t="n"/>
      <c r="X122" s="199" t="n"/>
      <c r="Y122" s="199" t="n"/>
      <c r="Z122" s="202">
        <f>sum(T122:X122)</f>
        <v/>
      </c>
      <c r="AA122" s="203">
        <f>sum(Z122/Y122)*100%</f>
        <v/>
      </c>
    </row>
    <row r="123" ht="15.75" customHeight="1" s="205">
      <c r="A123" s="199" t="n"/>
      <c r="B123" s="200" t="n"/>
      <c r="C123" s="201" t="n"/>
      <c r="D123" s="199" t="n"/>
      <c r="E123" s="199" t="n"/>
      <c r="F123" s="199" t="n"/>
      <c r="G123" s="199" t="n"/>
      <c r="H123" s="199" t="n"/>
      <c r="I123" s="201" t="n"/>
      <c r="J123" s="201" t="n"/>
      <c r="K123" s="201" t="n"/>
      <c r="L123" s="201" t="n"/>
      <c r="M123" s="201" t="n"/>
      <c r="N123" s="201" t="n"/>
      <c r="O123" s="199" t="n"/>
      <c r="P123" s="201" t="n"/>
      <c r="Q123" s="201" t="n"/>
      <c r="R123" s="201" t="n"/>
      <c r="S123" s="201" t="n"/>
      <c r="T123" s="201" t="n"/>
      <c r="U123" s="201" t="n"/>
      <c r="V123" s="201" t="n"/>
      <c r="W123" s="201" t="n"/>
      <c r="X123" s="201" t="n"/>
      <c r="Y123" s="201" t="n"/>
      <c r="Z123" s="202">
        <f>sum(T123:X123)</f>
        <v/>
      </c>
      <c r="AA123" s="203">
        <f>sum(Z123/Y123)*100%</f>
        <v/>
      </c>
    </row>
    <row r="124" ht="15.75" customHeight="1" s="205">
      <c r="A124" s="199" t="n"/>
      <c r="B124" s="204" t="n"/>
      <c r="C124" s="199" t="n"/>
      <c r="D124" s="199" t="n"/>
      <c r="E124" s="199" t="n"/>
      <c r="F124" s="199" t="n"/>
      <c r="G124" s="199" t="n"/>
      <c r="H124" s="199" t="n"/>
      <c r="I124" s="199" t="n"/>
      <c r="J124" s="199" t="n"/>
      <c r="K124" s="199" t="n"/>
      <c r="L124" s="199" t="n"/>
      <c r="M124" s="199" t="n"/>
      <c r="N124" s="199" t="n"/>
      <c r="O124" s="199" t="n"/>
      <c r="P124" s="199" t="n"/>
      <c r="Q124" s="199" t="n"/>
      <c r="R124" s="199" t="n"/>
      <c r="S124" s="199" t="n"/>
      <c r="T124" s="199" t="n"/>
      <c r="U124" s="199" t="n"/>
      <c r="V124" s="199" t="n"/>
      <c r="W124" s="199" t="n"/>
      <c r="X124" s="199" t="n"/>
      <c r="Y124" s="199" t="n"/>
      <c r="Z124" s="202">
        <f>sum(T124:X124)</f>
        <v/>
      </c>
      <c r="AA124" s="203">
        <f>sum(Z124/Y124)*100%</f>
        <v/>
      </c>
    </row>
    <row r="125" ht="15.75" customHeight="1" s="205">
      <c r="A125" s="199" t="n"/>
      <c r="B125" s="200" t="n"/>
      <c r="C125" s="201" t="n"/>
      <c r="D125" s="199" t="n"/>
      <c r="E125" s="199" t="n"/>
      <c r="F125" s="199" t="n"/>
      <c r="G125" s="199" t="n"/>
      <c r="H125" s="199" t="n"/>
      <c r="I125" s="201" t="n"/>
      <c r="J125" s="201" t="n"/>
      <c r="K125" s="201" t="n"/>
      <c r="L125" s="201" t="n"/>
      <c r="M125" s="201" t="n"/>
      <c r="N125" s="201" t="n"/>
      <c r="O125" s="199" t="n"/>
      <c r="P125" s="201" t="n"/>
      <c r="Q125" s="201" t="n"/>
      <c r="R125" s="201" t="n"/>
      <c r="S125" s="201" t="n"/>
      <c r="T125" s="201" t="n"/>
      <c r="U125" s="201" t="n"/>
      <c r="V125" s="201" t="n"/>
      <c r="W125" s="201" t="n"/>
      <c r="X125" s="201" t="n"/>
      <c r="Y125" s="201" t="n"/>
      <c r="Z125" s="202">
        <f>sum(T125:X125)</f>
        <v/>
      </c>
      <c r="AA125" s="203">
        <f>sum(Z125/Y125)*100%</f>
        <v/>
      </c>
    </row>
    <row r="126" ht="15.75" customHeight="1" s="205">
      <c r="A126" s="199" t="n"/>
      <c r="B126" s="204" t="n"/>
      <c r="C126" s="199" t="n"/>
      <c r="D126" s="199" t="n"/>
      <c r="E126" s="199" t="n"/>
      <c r="F126" s="199" t="n"/>
      <c r="G126" s="199" t="n"/>
      <c r="H126" s="199" t="n"/>
      <c r="I126" s="199" t="n"/>
      <c r="J126" s="199" t="n"/>
      <c r="K126" s="199" t="n"/>
      <c r="L126" s="199" t="n"/>
      <c r="M126" s="199" t="n"/>
      <c r="N126" s="199" t="n"/>
      <c r="O126" s="199" t="n"/>
      <c r="P126" s="199" t="n"/>
      <c r="Q126" s="199" t="n"/>
      <c r="R126" s="199" t="n"/>
      <c r="S126" s="199" t="n"/>
      <c r="T126" s="199" t="n"/>
      <c r="U126" s="199" t="n"/>
      <c r="V126" s="199" t="n"/>
      <c r="W126" s="199" t="n"/>
      <c r="X126" s="199" t="n"/>
      <c r="Y126" s="199" t="n"/>
      <c r="Z126" s="202">
        <f>sum(T126:X126)</f>
        <v/>
      </c>
      <c r="AA126" s="203">
        <f>sum(Z126/Y126)*100%</f>
        <v/>
      </c>
    </row>
    <row r="127" ht="15.75" customHeight="1" s="205">
      <c r="A127" s="199" t="n"/>
      <c r="B127" s="200" t="n"/>
      <c r="C127" s="201" t="n"/>
      <c r="D127" s="199" t="n"/>
      <c r="E127" s="199" t="n"/>
      <c r="F127" s="199" t="n"/>
      <c r="G127" s="199" t="n"/>
      <c r="H127" s="199" t="n"/>
      <c r="I127" s="201" t="n"/>
      <c r="J127" s="201" t="n"/>
      <c r="K127" s="201" t="n"/>
      <c r="L127" s="201" t="n"/>
      <c r="M127" s="201" t="n"/>
      <c r="N127" s="201" t="n"/>
      <c r="O127" s="199" t="n"/>
      <c r="P127" s="201" t="n"/>
      <c r="Q127" s="201" t="n"/>
      <c r="R127" s="201" t="n"/>
      <c r="S127" s="201" t="n"/>
      <c r="T127" s="201" t="n"/>
      <c r="U127" s="201" t="n"/>
      <c r="V127" s="201" t="n"/>
      <c r="W127" s="201" t="n"/>
      <c r="X127" s="201" t="n"/>
      <c r="Y127" s="201" t="n"/>
      <c r="Z127" s="202">
        <f>sum(T127:X127)</f>
        <v/>
      </c>
      <c r="AA127" s="203">
        <f>sum(Z127/Y127)*100%</f>
        <v/>
      </c>
    </row>
    <row r="128" ht="15.75" customHeight="1" s="205">
      <c r="A128" s="199" t="n"/>
      <c r="B128" s="204" t="n"/>
      <c r="C128" s="199" t="n"/>
      <c r="D128" s="199" t="n"/>
      <c r="E128" s="199" t="n"/>
      <c r="F128" s="199" t="n"/>
      <c r="G128" s="199" t="n"/>
      <c r="H128" s="199" t="n"/>
      <c r="I128" s="199" t="n"/>
      <c r="J128" s="199" t="n"/>
      <c r="K128" s="199" t="n"/>
      <c r="L128" s="199" t="n"/>
      <c r="M128" s="199" t="n"/>
      <c r="N128" s="199" t="n"/>
      <c r="O128" s="199" t="n"/>
      <c r="P128" s="199" t="n"/>
      <c r="Q128" s="199" t="n"/>
      <c r="R128" s="199" t="n"/>
      <c r="S128" s="199" t="n"/>
      <c r="T128" s="199" t="n"/>
      <c r="U128" s="199" t="n"/>
      <c r="V128" s="199" t="n"/>
      <c r="W128" s="199" t="n"/>
      <c r="X128" s="199" t="n"/>
      <c r="Y128" s="199" t="n"/>
      <c r="Z128" s="202">
        <f>sum(T128:X128)</f>
        <v/>
      </c>
      <c r="AA128" s="203">
        <f>sum(Z128/Y128)*100%</f>
        <v/>
      </c>
    </row>
    <row r="129" ht="15.75" customHeight="1" s="205">
      <c r="A129" s="199" t="n"/>
      <c r="B129" s="200" t="n"/>
      <c r="C129" s="201" t="n"/>
      <c r="D129" s="199" t="n"/>
      <c r="E129" s="199" t="n"/>
      <c r="F129" s="199" t="n"/>
      <c r="G129" s="199" t="n"/>
      <c r="H129" s="199" t="n"/>
      <c r="I129" s="201" t="n"/>
      <c r="J129" s="201" t="n"/>
      <c r="K129" s="201" t="n"/>
      <c r="L129" s="201" t="n"/>
      <c r="M129" s="201" t="n"/>
      <c r="N129" s="201" t="n"/>
      <c r="O129" s="199" t="n"/>
      <c r="P129" s="201" t="n"/>
      <c r="Q129" s="201" t="n"/>
      <c r="R129" s="201" t="n"/>
      <c r="S129" s="201" t="n"/>
      <c r="T129" s="201" t="n"/>
      <c r="U129" s="201" t="n"/>
      <c r="V129" s="201" t="n"/>
      <c r="W129" s="201" t="n"/>
      <c r="X129" s="201" t="n"/>
      <c r="Y129" s="201" t="n"/>
      <c r="Z129" s="202">
        <f>sum(T129:X129)</f>
        <v/>
      </c>
      <c r="AA129" s="203">
        <f>sum(Z129/Y129)*100%</f>
        <v/>
      </c>
    </row>
    <row r="130" ht="15.75" customHeight="1" s="205">
      <c r="A130" s="199" t="n"/>
      <c r="B130" s="204" t="n"/>
      <c r="C130" s="199" t="n"/>
      <c r="D130" s="199" t="n"/>
      <c r="E130" s="199" t="n"/>
      <c r="F130" s="199" t="n"/>
      <c r="G130" s="199" t="n"/>
      <c r="H130" s="199" t="n"/>
      <c r="I130" s="199" t="n"/>
      <c r="J130" s="199" t="n"/>
      <c r="K130" s="199" t="n"/>
      <c r="L130" s="199" t="n"/>
      <c r="M130" s="199" t="n"/>
      <c r="N130" s="199" t="n"/>
      <c r="O130" s="199" t="n"/>
      <c r="P130" s="199" t="n"/>
      <c r="Q130" s="199" t="n"/>
      <c r="R130" s="199" t="n"/>
      <c r="S130" s="199" t="n"/>
      <c r="T130" s="199" t="n"/>
      <c r="U130" s="199" t="n"/>
      <c r="V130" s="199" t="n"/>
      <c r="W130" s="199" t="n"/>
      <c r="X130" s="199" t="n"/>
      <c r="Y130" s="199" t="n"/>
      <c r="Z130" s="202">
        <f>sum(T130:X130)</f>
        <v/>
      </c>
      <c r="AA130" s="203">
        <f>sum(Z130/Y130)*100%</f>
        <v/>
      </c>
    </row>
    <row r="131" ht="15.75" customHeight="1" s="205">
      <c r="A131" s="199" t="n"/>
      <c r="B131" s="200" t="n"/>
      <c r="C131" s="201" t="n"/>
      <c r="D131" s="199" t="n"/>
      <c r="E131" s="199" t="n"/>
      <c r="F131" s="199" t="n"/>
      <c r="G131" s="199" t="n"/>
      <c r="H131" s="199" t="n"/>
      <c r="I131" s="201" t="n"/>
      <c r="J131" s="201" t="n"/>
      <c r="K131" s="201" t="n"/>
      <c r="L131" s="201" t="n"/>
      <c r="M131" s="201" t="n"/>
      <c r="N131" s="201" t="n"/>
      <c r="O131" s="199" t="n"/>
      <c r="P131" s="201" t="n"/>
      <c r="Q131" s="201" t="n"/>
      <c r="R131" s="201" t="n"/>
      <c r="S131" s="201" t="n"/>
      <c r="T131" s="201" t="n"/>
      <c r="U131" s="201" t="n"/>
      <c r="V131" s="201" t="n"/>
      <c r="W131" s="201" t="n"/>
      <c r="X131" s="201" t="n"/>
      <c r="Y131" s="201" t="n"/>
      <c r="Z131" s="202">
        <f>sum(T131:X131)</f>
        <v/>
      </c>
      <c r="AA131" s="203">
        <f>sum(Z131/Y131)*100%</f>
        <v/>
      </c>
    </row>
    <row r="132" ht="15.75" customHeight="1" s="205">
      <c r="A132" s="199" t="n"/>
      <c r="B132" s="204" t="n"/>
      <c r="C132" s="199" t="n"/>
      <c r="D132" s="199" t="n"/>
      <c r="E132" s="199" t="n"/>
      <c r="F132" s="199" t="n"/>
      <c r="G132" s="199" t="n"/>
      <c r="H132" s="199" t="n"/>
      <c r="I132" s="199" t="n"/>
      <c r="J132" s="199" t="n"/>
      <c r="K132" s="199" t="n"/>
      <c r="L132" s="199" t="n"/>
      <c r="M132" s="199" t="n"/>
      <c r="N132" s="199" t="n"/>
      <c r="O132" s="199" t="n"/>
      <c r="P132" s="199" t="n"/>
      <c r="Q132" s="199" t="n"/>
      <c r="R132" s="199" t="n"/>
      <c r="S132" s="199" t="n"/>
      <c r="T132" s="199" t="n"/>
      <c r="U132" s="199" t="n"/>
      <c r="V132" s="199" t="n"/>
      <c r="W132" s="199" t="n"/>
      <c r="X132" s="199" t="n"/>
      <c r="Y132" s="199" t="n"/>
      <c r="Z132" s="202">
        <f>sum(T132:X132)</f>
        <v/>
      </c>
      <c r="AA132" s="203">
        <f>sum(Z132/Y132)*100%</f>
        <v/>
      </c>
    </row>
    <row r="133" ht="15.75" customHeight="1" s="205">
      <c r="A133" s="199" t="n"/>
      <c r="B133" s="200" t="n"/>
      <c r="C133" s="201" t="n"/>
      <c r="D133" s="199" t="n"/>
      <c r="E133" s="199" t="n"/>
      <c r="F133" s="199" t="n"/>
      <c r="G133" s="199" t="n"/>
      <c r="H133" s="199" t="n"/>
      <c r="I133" s="201" t="n"/>
      <c r="J133" s="201" t="n"/>
      <c r="K133" s="201" t="n"/>
      <c r="L133" s="201" t="n"/>
      <c r="M133" s="201" t="n"/>
      <c r="N133" s="201" t="n"/>
      <c r="O133" s="199" t="n"/>
      <c r="P133" s="201" t="n"/>
      <c r="Q133" s="201" t="n"/>
      <c r="R133" s="201" t="n"/>
      <c r="S133" s="201" t="n"/>
      <c r="T133" s="201" t="n"/>
      <c r="U133" s="201" t="n"/>
      <c r="V133" s="201" t="n"/>
      <c r="W133" s="201" t="n"/>
      <c r="X133" s="201" t="n"/>
      <c r="Y133" s="201" t="n"/>
      <c r="Z133" s="202">
        <f>sum(T133:X133)</f>
        <v/>
      </c>
      <c r="AA133" s="203">
        <f>sum(Z133/Y133)*100%</f>
        <v/>
      </c>
    </row>
    <row r="134" ht="15.75" customHeight="1" s="205">
      <c r="A134" s="199" t="n"/>
      <c r="B134" s="204" t="n"/>
      <c r="C134" s="199" t="n"/>
      <c r="D134" s="199" t="n"/>
      <c r="E134" s="199" t="n"/>
      <c r="F134" s="199" t="n"/>
      <c r="G134" s="199" t="n"/>
      <c r="H134" s="199" t="n"/>
      <c r="I134" s="199" t="n"/>
      <c r="J134" s="199" t="n"/>
      <c r="K134" s="199" t="n"/>
      <c r="L134" s="199" t="n"/>
      <c r="M134" s="199" t="n"/>
      <c r="N134" s="199" t="n"/>
      <c r="O134" s="199" t="n"/>
      <c r="P134" s="199" t="n"/>
      <c r="Q134" s="199" t="n"/>
      <c r="R134" s="199" t="n"/>
      <c r="S134" s="199" t="n"/>
      <c r="T134" s="199" t="n"/>
      <c r="U134" s="199" t="n"/>
      <c r="V134" s="199" t="n"/>
      <c r="W134" s="199" t="n"/>
      <c r="X134" s="199" t="n"/>
      <c r="Y134" s="199" t="n"/>
      <c r="Z134" s="202">
        <f>sum(T134:X134)</f>
        <v/>
      </c>
      <c r="AA134" s="203">
        <f>sum(Z134/Y134)*100%</f>
        <v/>
      </c>
    </row>
    <row r="135" ht="15.75" customHeight="1" s="205">
      <c r="A135" s="199" t="n"/>
      <c r="B135" s="200" t="n"/>
      <c r="C135" s="201" t="n"/>
      <c r="D135" s="199" t="n"/>
      <c r="E135" s="199" t="n"/>
      <c r="F135" s="199" t="n"/>
      <c r="G135" s="199" t="n"/>
      <c r="H135" s="199" t="n"/>
      <c r="I135" s="201" t="n"/>
      <c r="J135" s="201" t="n"/>
      <c r="K135" s="201" t="n"/>
      <c r="L135" s="201" t="n"/>
      <c r="M135" s="201" t="n"/>
      <c r="N135" s="201" t="n"/>
      <c r="O135" s="199" t="n"/>
      <c r="P135" s="201" t="n"/>
      <c r="Q135" s="201" t="n"/>
      <c r="R135" s="201" t="n"/>
      <c r="S135" s="201" t="n"/>
      <c r="T135" s="201" t="n"/>
      <c r="U135" s="201" t="n"/>
      <c r="V135" s="201" t="n"/>
      <c r="W135" s="201" t="n"/>
      <c r="X135" s="201" t="n"/>
      <c r="Y135" s="201" t="n"/>
      <c r="Z135" s="202">
        <f>sum(T135:X135)</f>
        <v/>
      </c>
      <c r="AA135" s="203">
        <f>sum(Z135/Y135)*100%</f>
        <v/>
      </c>
    </row>
    <row r="136" ht="15.75" customHeight="1" s="205">
      <c r="A136" s="199" t="n"/>
      <c r="B136" s="204" t="n"/>
      <c r="C136" s="199" t="n"/>
      <c r="D136" s="199" t="n"/>
      <c r="E136" s="199" t="n"/>
      <c r="F136" s="199" t="n"/>
      <c r="G136" s="199" t="n"/>
      <c r="H136" s="199" t="n"/>
      <c r="I136" s="199" t="n"/>
      <c r="J136" s="199" t="n"/>
      <c r="K136" s="199" t="n"/>
      <c r="L136" s="199" t="n"/>
      <c r="M136" s="199" t="n"/>
      <c r="N136" s="199" t="n"/>
      <c r="O136" s="199" t="n"/>
      <c r="P136" s="199" t="n"/>
      <c r="Q136" s="199" t="n"/>
      <c r="R136" s="199" t="n"/>
      <c r="S136" s="199" t="n"/>
      <c r="T136" s="199" t="n"/>
      <c r="U136" s="199" t="n"/>
      <c r="V136" s="199" t="n"/>
      <c r="W136" s="199" t="n"/>
      <c r="X136" s="199" t="n"/>
      <c r="Y136" s="199" t="n"/>
      <c r="Z136" s="202">
        <f>sum(T136:X136)</f>
        <v/>
      </c>
      <c r="AA136" s="203">
        <f>sum(Z136/Y136)*100%</f>
        <v/>
      </c>
    </row>
    <row r="137" ht="15.75" customHeight="1" s="205">
      <c r="A137" s="199" t="n"/>
      <c r="B137" s="200" t="n"/>
      <c r="C137" s="201" t="n"/>
      <c r="D137" s="199" t="n"/>
      <c r="E137" s="199" t="n"/>
      <c r="F137" s="199" t="n"/>
      <c r="G137" s="199" t="n"/>
      <c r="H137" s="199" t="n"/>
      <c r="I137" s="201" t="n"/>
      <c r="J137" s="201" t="n"/>
      <c r="K137" s="201" t="n"/>
      <c r="L137" s="201" t="n"/>
      <c r="M137" s="201" t="n"/>
      <c r="N137" s="201" t="n"/>
      <c r="O137" s="199" t="n"/>
      <c r="P137" s="201" t="n"/>
      <c r="Q137" s="201" t="n"/>
      <c r="R137" s="201" t="n"/>
      <c r="S137" s="201" t="n"/>
      <c r="T137" s="201" t="n"/>
      <c r="U137" s="201" t="n"/>
      <c r="V137" s="201" t="n"/>
      <c r="W137" s="201" t="n"/>
      <c r="X137" s="201" t="n"/>
      <c r="Y137" s="201" t="n"/>
      <c r="Z137" s="202">
        <f>sum(T137:X137)</f>
        <v/>
      </c>
      <c r="AA137" s="203">
        <f>sum(Z137/Y137)*100%</f>
        <v/>
      </c>
    </row>
    <row r="138" ht="15.75" customHeight="1" s="205">
      <c r="A138" s="199" t="n"/>
      <c r="B138" s="204" t="n"/>
      <c r="C138" s="199" t="n"/>
      <c r="D138" s="199" t="n"/>
      <c r="E138" s="199" t="n"/>
      <c r="F138" s="199" t="n"/>
      <c r="G138" s="199" t="n"/>
      <c r="H138" s="199" t="n"/>
      <c r="I138" s="199" t="n"/>
      <c r="J138" s="199" t="n"/>
      <c r="K138" s="199" t="n"/>
      <c r="L138" s="199" t="n"/>
      <c r="M138" s="199" t="n"/>
      <c r="N138" s="199" t="n"/>
      <c r="O138" s="199" t="n"/>
      <c r="P138" s="199" t="n"/>
      <c r="Q138" s="199" t="n"/>
      <c r="R138" s="199" t="n"/>
      <c r="S138" s="199" t="n"/>
      <c r="T138" s="199" t="n"/>
      <c r="U138" s="199" t="n"/>
      <c r="V138" s="199" t="n"/>
      <c r="W138" s="199" t="n"/>
      <c r="X138" s="199" t="n"/>
      <c r="Y138" s="199" t="n"/>
      <c r="Z138" s="202">
        <f>sum(T138:X138)</f>
        <v/>
      </c>
      <c r="AA138" s="203">
        <f>sum(Z138/Y138)*100%</f>
        <v/>
      </c>
    </row>
    <row r="139" ht="15.75" customHeight="1" s="205">
      <c r="A139" s="199" t="n"/>
      <c r="B139" s="200" t="n"/>
      <c r="C139" s="201" t="n"/>
      <c r="D139" s="199" t="n"/>
      <c r="E139" s="199" t="n"/>
      <c r="F139" s="199" t="n"/>
      <c r="G139" s="199" t="n"/>
      <c r="H139" s="199" t="n"/>
      <c r="I139" s="201" t="n"/>
      <c r="J139" s="201" t="n"/>
      <c r="K139" s="201" t="n"/>
      <c r="L139" s="201" t="n"/>
      <c r="M139" s="201" t="n"/>
      <c r="N139" s="201" t="n"/>
      <c r="O139" s="199" t="n"/>
      <c r="P139" s="201" t="n"/>
      <c r="Q139" s="201" t="n"/>
      <c r="R139" s="201" t="n"/>
      <c r="S139" s="201" t="n"/>
      <c r="T139" s="201" t="n"/>
      <c r="U139" s="201" t="n"/>
      <c r="V139" s="201" t="n"/>
      <c r="W139" s="201" t="n"/>
      <c r="X139" s="201" t="n"/>
      <c r="Y139" s="201" t="n"/>
      <c r="Z139" s="202">
        <f>sum(T139:X139)</f>
        <v/>
      </c>
      <c r="AA139" s="203">
        <f>sum(Z139/Y139)*100%</f>
        <v/>
      </c>
    </row>
    <row r="140" ht="15.75" customHeight="1" s="205">
      <c r="A140" s="199" t="n"/>
      <c r="B140" s="204" t="n"/>
      <c r="C140" s="199" t="n"/>
      <c r="D140" s="199" t="n"/>
      <c r="E140" s="199" t="n"/>
      <c r="F140" s="199" t="n"/>
      <c r="G140" s="199" t="n"/>
      <c r="H140" s="199" t="n"/>
      <c r="I140" s="199" t="n"/>
      <c r="J140" s="199" t="n"/>
      <c r="K140" s="199" t="n"/>
      <c r="L140" s="199" t="n"/>
      <c r="M140" s="199" t="n"/>
      <c r="N140" s="199" t="n"/>
      <c r="O140" s="199" t="n"/>
      <c r="P140" s="199" t="n"/>
      <c r="Q140" s="199" t="n"/>
      <c r="R140" s="199" t="n"/>
      <c r="S140" s="199" t="n"/>
      <c r="T140" s="199" t="n"/>
      <c r="U140" s="199" t="n"/>
      <c r="V140" s="199" t="n"/>
      <c r="W140" s="199" t="n"/>
      <c r="X140" s="199" t="n"/>
      <c r="Y140" s="199" t="n"/>
      <c r="Z140" s="202">
        <f>sum(T140:X140)</f>
        <v/>
      </c>
      <c r="AA140" s="203">
        <f>sum(Z140/Y140)*100%</f>
        <v/>
      </c>
    </row>
    <row r="141" ht="15.75" customHeight="1" s="205">
      <c r="A141" s="199" t="n"/>
      <c r="B141" s="200" t="n"/>
      <c r="C141" s="201" t="n"/>
      <c r="D141" s="199" t="n"/>
      <c r="E141" s="199" t="n"/>
      <c r="F141" s="199" t="n"/>
      <c r="G141" s="199" t="n"/>
      <c r="H141" s="199" t="n"/>
      <c r="I141" s="201" t="n"/>
      <c r="J141" s="201" t="n"/>
      <c r="K141" s="201" t="n"/>
      <c r="L141" s="201" t="n"/>
      <c r="M141" s="201" t="n"/>
      <c r="N141" s="201" t="n"/>
      <c r="O141" s="199" t="n"/>
      <c r="P141" s="201" t="n"/>
      <c r="Q141" s="201" t="n"/>
      <c r="R141" s="201" t="n"/>
      <c r="S141" s="201" t="n"/>
      <c r="T141" s="201" t="n"/>
      <c r="U141" s="201" t="n"/>
      <c r="V141" s="201" t="n"/>
      <c r="W141" s="201" t="n"/>
      <c r="X141" s="201" t="n"/>
      <c r="Y141" s="201" t="n"/>
      <c r="Z141" s="202">
        <f>sum(T141:X141)</f>
        <v/>
      </c>
      <c r="AA141" s="203">
        <f>sum(Z141/Y141)*100%</f>
        <v/>
      </c>
    </row>
    <row r="142" ht="15.75" customHeight="1" s="205">
      <c r="A142" s="199" t="n"/>
      <c r="B142" s="204" t="n"/>
      <c r="C142" s="199" t="n"/>
      <c r="D142" s="199" t="n"/>
      <c r="E142" s="199" t="n"/>
      <c r="F142" s="199" t="n"/>
      <c r="G142" s="199" t="n"/>
      <c r="H142" s="199" t="n"/>
      <c r="I142" s="199" t="n"/>
      <c r="J142" s="199" t="n"/>
      <c r="K142" s="199" t="n"/>
      <c r="L142" s="199" t="n"/>
      <c r="M142" s="199" t="n"/>
      <c r="N142" s="199" t="n"/>
      <c r="O142" s="199" t="n"/>
      <c r="P142" s="199" t="n"/>
      <c r="Q142" s="199" t="n"/>
      <c r="R142" s="199" t="n"/>
      <c r="S142" s="199" t="n"/>
      <c r="T142" s="199" t="n"/>
      <c r="U142" s="199" t="n"/>
      <c r="V142" s="199" t="n"/>
      <c r="W142" s="199" t="n"/>
      <c r="X142" s="199" t="n"/>
      <c r="Y142" s="199" t="n"/>
      <c r="Z142" s="202">
        <f>sum(T142:X142)</f>
        <v/>
      </c>
      <c r="AA142" s="203">
        <f>sum(Z142/Y142)*100%</f>
        <v/>
      </c>
    </row>
    <row r="143" ht="15.75" customHeight="1" s="205">
      <c r="A143" s="199" t="n"/>
      <c r="B143" s="200" t="n"/>
      <c r="C143" s="201" t="n"/>
      <c r="D143" s="199" t="n"/>
      <c r="E143" s="199" t="n"/>
      <c r="F143" s="199" t="n"/>
      <c r="G143" s="199" t="n"/>
      <c r="H143" s="199" t="n"/>
      <c r="I143" s="201" t="n"/>
      <c r="J143" s="201" t="n"/>
      <c r="K143" s="201" t="n"/>
      <c r="L143" s="201" t="n"/>
      <c r="M143" s="201" t="n"/>
      <c r="N143" s="201" t="n"/>
      <c r="O143" s="199" t="n"/>
      <c r="P143" s="201" t="n"/>
      <c r="Q143" s="201" t="n"/>
      <c r="R143" s="201" t="n"/>
      <c r="S143" s="201" t="n"/>
      <c r="T143" s="201" t="n"/>
      <c r="U143" s="201" t="n"/>
      <c r="V143" s="201" t="n"/>
      <c r="W143" s="201" t="n"/>
      <c r="X143" s="201" t="n"/>
      <c r="Y143" s="201" t="n"/>
      <c r="Z143" s="202">
        <f>sum(T143:X143)</f>
        <v/>
      </c>
      <c r="AA143" s="203">
        <f>sum(Z143/Y143)*100%</f>
        <v/>
      </c>
    </row>
    <row r="144" ht="15.75" customHeight="1" s="205">
      <c r="A144" s="199" t="n"/>
      <c r="B144" s="204" t="n"/>
      <c r="C144" s="199" t="n"/>
      <c r="D144" s="199" t="n"/>
      <c r="E144" s="199" t="n"/>
      <c r="F144" s="199" t="n"/>
      <c r="G144" s="199" t="n"/>
      <c r="H144" s="199" t="n"/>
      <c r="I144" s="199" t="n"/>
      <c r="J144" s="199" t="n"/>
      <c r="K144" s="199" t="n"/>
      <c r="L144" s="199" t="n"/>
      <c r="M144" s="199" t="n"/>
      <c r="N144" s="199" t="n"/>
      <c r="O144" s="199" t="n"/>
      <c r="P144" s="199" t="n"/>
      <c r="Q144" s="199" t="n"/>
      <c r="R144" s="199" t="n"/>
      <c r="S144" s="199" t="n"/>
      <c r="T144" s="199" t="n"/>
      <c r="U144" s="199" t="n"/>
      <c r="V144" s="199" t="n"/>
      <c r="W144" s="199" t="n"/>
      <c r="X144" s="199" t="n"/>
      <c r="Y144" s="199" t="n"/>
      <c r="Z144" s="202">
        <f>sum(T144:X144)</f>
        <v/>
      </c>
      <c r="AA144" s="203">
        <f>sum(Z144/Y144)*100%</f>
        <v/>
      </c>
    </row>
    <row r="145" ht="15.75" customHeight="1" s="205">
      <c r="A145" s="199" t="n"/>
      <c r="B145" s="200" t="n"/>
      <c r="C145" s="201" t="n"/>
      <c r="D145" s="199" t="n"/>
      <c r="E145" s="199" t="n"/>
      <c r="F145" s="199" t="n"/>
      <c r="G145" s="199" t="n"/>
      <c r="H145" s="199" t="n"/>
      <c r="I145" s="201" t="n"/>
      <c r="J145" s="201" t="n"/>
      <c r="K145" s="201" t="n"/>
      <c r="L145" s="201" t="n"/>
      <c r="M145" s="201" t="n"/>
      <c r="N145" s="201" t="n"/>
      <c r="O145" s="199" t="n"/>
      <c r="P145" s="201" t="n"/>
      <c r="Q145" s="201" t="n"/>
      <c r="R145" s="201" t="n"/>
      <c r="S145" s="201" t="n"/>
      <c r="T145" s="201" t="n"/>
      <c r="U145" s="201" t="n"/>
      <c r="V145" s="201" t="n"/>
      <c r="W145" s="201" t="n"/>
      <c r="X145" s="201" t="n"/>
      <c r="Y145" s="201" t="n"/>
      <c r="Z145" s="202">
        <f>sum(T145:X145)</f>
        <v/>
      </c>
      <c r="AA145" s="203">
        <f>sum(Z145/Y145)*100%</f>
        <v/>
      </c>
    </row>
    <row r="146" ht="15.75" customHeight="1" s="205">
      <c r="A146" s="199" t="n"/>
      <c r="B146" s="204" t="n"/>
      <c r="C146" s="199" t="n"/>
      <c r="D146" s="199" t="n"/>
      <c r="E146" s="199" t="n"/>
      <c r="F146" s="199" t="n"/>
      <c r="G146" s="199" t="n"/>
      <c r="H146" s="199" t="n"/>
      <c r="I146" s="199" t="n"/>
      <c r="J146" s="199" t="n"/>
      <c r="K146" s="199" t="n"/>
      <c r="L146" s="199" t="n"/>
      <c r="M146" s="199" t="n"/>
      <c r="N146" s="199" t="n"/>
      <c r="O146" s="199" t="n"/>
      <c r="P146" s="199" t="n"/>
      <c r="Q146" s="199" t="n"/>
      <c r="R146" s="199" t="n"/>
      <c r="S146" s="199" t="n"/>
      <c r="T146" s="199" t="n"/>
      <c r="U146" s="199" t="n"/>
      <c r="V146" s="199" t="n"/>
      <c r="W146" s="199" t="n"/>
      <c r="X146" s="199" t="n"/>
      <c r="Y146" s="199" t="n"/>
      <c r="Z146" s="202">
        <f>sum(T146:X146)</f>
        <v/>
      </c>
      <c r="AA146" s="203">
        <f>sum(Z146/Y146)*100%</f>
        <v/>
      </c>
    </row>
    <row r="147" ht="15.75" customHeight="1" s="205">
      <c r="A147" s="199" t="n"/>
      <c r="B147" s="200" t="n"/>
      <c r="C147" s="201" t="n"/>
      <c r="D147" s="199" t="n"/>
      <c r="E147" s="199" t="n"/>
      <c r="F147" s="199" t="n"/>
      <c r="G147" s="199" t="n"/>
      <c r="H147" s="199" t="n"/>
      <c r="I147" s="201" t="n"/>
      <c r="J147" s="201" t="n"/>
      <c r="K147" s="201" t="n"/>
      <c r="L147" s="201" t="n"/>
      <c r="M147" s="201" t="n"/>
      <c r="N147" s="201" t="n"/>
      <c r="O147" s="199" t="n"/>
      <c r="P147" s="201" t="n"/>
      <c r="Q147" s="201" t="n"/>
      <c r="R147" s="201" t="n"/>
      <c r="S147" s="201" t="n"/>
      <c r="T147" s="201" t="n"/>
      <c r="U147" s="201" t="n"/>
      <c r="V147" s="201" t="n"/>
      <c r="W147" s="201" t="n"/>
      <c r="X147" s="201" t="n"/>
      <c r="Y147" s="201" t="n"/>
      <c r="Z147" s="202">
        <f>sum(T147:X147)</f>
        <v/>
      </c>
      <c r="AA147" s="203">
        <f>sum(Z147/Y147)*100%</f>
        <v/>
      </c>
    </row>
    <row r="148" ht="15.75" customHeight="1" s="205">
      <c r="A148" s="199" t="n"/>
      <c r="B148" s="204" t="n"/>
      <c r="C148" s="199" t="n"/>
      <c r="D148" s="199" t="n"/>
      <c r="E148" s="199" t="n"/>
      <c r="F148" s="199" t="n"/>
      <c r="G148" s="199" t="n"/>
      <c r="H148" s="199" t="n"/>
      <c r="I148" s="199" t="n"/>
      <c r="J148" s="199" t="n"/>
      <c r="K148" s="199" t="n"/>
      <c r="L148" s="199" t="n"/>
      <c r="M148" s="199" t="n"/>
      <c r="N148" s="199" t="n"/>
      <c r="O148" s="199" t="n"/>
      <c r="P148" s="199" t="n"/>
      <c r="Q148" s="199" t="n"/>
      <c r="R148" s="199" t="n"/>
      <c r="S148" s="199" t="n"/>
      <c r="T148" s="199" t="n"/>
      <c r="U148" s="199" t="n"/>
      <c r="V148" s="199" t="n"/>
      <c r="W148" s="199" t="n"/>
      <c r="X148" s="199" t="n"/>
      <c r="Y148" s="199" t="n"/>
      <c r="Z148" s="202">
        <f>sum(T148:X148)</f>
        <v/>
      </c>
      <c r="AA148" s="203">
        <f>sum(Z148/Y148)*100%</f>
        <v/>
      </c>
    </row>
    <row r="149" ht="15.75" customHeight="1" s="205">
      <c r="A149" s="199" t="n"/>
      <c r="B149" s="200" t="n"/>
      <c r="C149" s="201" t="n"/>
      <c r="D149" s="199" t="n"/>
      <c r="E149" s="199" t="n"/>
      <c r="F149" s="199" t="n"/>
      <c r="G149" s="199" t="n"/>
      <c r="H149" s="199" t="n"/>
      <c r="I149" s="201" t="n"/>
      <c r="J149" s="201" t="n"/>
      <c r="K149" s="201" t="n"/>
      <c r="L149" s="201" t="n"/>
      <c r="M149" s="201" t="n"/>
      <c r="N149" s="201" t="n"/>
      <c r="O149" s="199" t="n"/>
      <c r="P149" s="201" t="n"/>
      <c r="Q149" s="201" t="n"/>
      <c r="R149" s="201" t="n"/>
      <c r="S149" s="201" t="n"/>
      <c r="T149" s="201" t="n"/>
      <c r="U149" s="201" t="n"/>
      <c r="V149" s="201" t="n"/>
      <c r="W149" s="201" t="n"/>
      <c r="X149" s="201" t="n"/>
      <c r="Y149" s="201" t="n"/>
      <c r="Z149" s="202">
        <f>sum(T149:X149)</f>
        <v/>
      </c>
      <c r="AA149" s="203">
        <f>sum(Z149/Y149)*100%</f>
        <v/>
      </c>
    </row>
    <row r="150" ht="15.75" customHeight="1" s="205">
      <c r="A150" s="199" t="n"/>
      <c r="B150" s="204" t="n"/>
      <c r="C150" s="199" t="n"/>
      <c r="D150" s="199" t="n"/>
      <c r="E150" s="199" t="n"/>
      <c r="F150" s="199" t="n"/>
      <c r="G150" s="199" t="n"/>
      <c r="H150" s="199" t="n"/>
      <c r="I150" s="199" t="n"/>
      <c r="J150" s="199" t="n"/>
      <c r="K150" s="199" t="n"/>
      <c r="L150" s="199" t="n"/>
      <c r="M150" s="199" t="n"/>
      <c r="N150" s="199" t="n"/>
      <c r="O150" s="199" t="n"/>
      <c r="P150" s="199" t="n"/>
      <c r="Q150" s="199" t="n"/>
      <c r="R150" s="199" t="n"/>
      <c r="S150" s="199" t="n"/>
      <c r="T150" s="199" t="n"/>
      <c r="U150" s="199" t="n"/>
      <c r="V150" s="199" t="n"/>
      <c r="W150" s="199" t="n"/>
      <c r="X150" s="199" t="n"/>
      <c r="Y150" s="199" t="n"/>
      <c r="Z150" s="202">
        <f>sum(T150:X150)</f>
        <v/>
      </c>
      <c r="AA150" s="203">
        <f>sum(Z150/Y150)*100%</f>
        <v/>
      </c>
    </row>
    <row r="151" ht="15.75" customHeight="1" s="205">
      <c r="A151" s="199" t="n"/>
      <c r="B151" s="200" t="n"/>
      <c r="C151" s="201" t="n"/>
      <c r="D151" s="199" t="n"/>
      <c r="E151" s="199" t="n"/>
      <c r="F151" s="199" t="n"/>
      <c r="G151" s="199" t="n"/>
      <c r="H151" s="199" t="n"/>
      <c r="I151" s="201" t="n"/>
      <c r="J151" s="201" t="n"/>
      <c r="K151" s="201" t="n"/>
      <c r="L151" s="201" t="n"/>
      <c r="M151" s="201" t="n"/>
      <c r="N151" s="201" t="n"/>
      <c r="O151" s="199" t="n"/>
      <c r="P151" s="201" t="n"/>
      <c r="Q151" s="201" t="n"/>
      <c r="R151" s="201" t="n"/>
      <c r="S151" s="201" t="n"/>
      <c r="T151" s="201" t="n"/>
      <c r="U151" s="201" t="n"/>
      <c r="V151" s="201" t="n"/>
      <c r="W151" s="201" t="n"/>
      <c r="X151" s="201" t="n"/>
      <c r="Y151" s="201" t="n"/>
      <c r="Z151" s="202">
        <f>sum(T151:X151)</f>
        <v/>
      </c>
      <c r="AA151" s="203">
        <f>sum(Z151/Y151)*100%</f>
        <v/>
      </c>
    </row>
    <row r="152" ht="15.75" customHeight="1" s="205">
      <c r="A152" s="199" t="n"/>
      <c r="B152" s="204" t="n"/>
      <c r="C152" s="199" t="n"/>
      <c r="D152" s="199" t="n"/>
      <c r="E152" s="199" t="n"/>
      <c r="F152" s="199" t="n"/>
      <c r="G152" s="199" t="n"/>
      <c r="H152" s="199" t="n"/>
      <c r="I152" s="199" t="n"/>
      <c r="J152" s="199" t="n"/>
      <c r="K152" s="199" t="n"/>
      <c r="L152" s="199" t="n"/>
      <c r="M152" s="199" t="n"/>
      <c r="N152" s="199" t="n"/>
      <c r="O152" s="199" t="n"/>
      <c r="P152" s="199" t="n"/>
      <c r="Q152" s="199" t="n"/>
      <c r="R152" s="199" t="n"/>
      <c r="S152" s="199" t="n"/>
      <c r="T152" s="199" t="n"/>
      <c r="U152" s="199" t="n"/>
      <c r="V152" s="199" t="n"/>
      <c r="W152" s="199" t="n"/>
      <c r="X152" s="199" t="n"/>
      <c r="Y152" s="199" t="n"/>
      <c r="Z152" s="202">
        <f>sum(T152:X152)</f>
        <v/>
      </c>
      <c r="AA152" s="203">
        <f>sum(Z152/Y152)*100%</f>
        <v/>
      </c>
    </row>
    <row r="153" ht="15.75" customHeight="1" s="205">
      <c r="A153" s="199" t="n"/>
      <c r="B153" s="200" t="n"/>
      <c r="C153" s="201" t="n"/>
      <c r="D153" s="199" t="n"/>
      <c r="E153" s="199" t="n"/>
      <c r="F153" s="199" t="n"/>
      <c r="G153" s="199" t="n"/>
      <c r="H153" s="199" t="n"/>
      <c r="I153" s="201" t="n"/>
      <c r="J153" s="201" t="n"/>
      <c r="K153" s="201" t="n"/>
      <c r="L153" s="201" t="n"/>
      <c r="M153" s="201" t="n"/>
      <c r="N153" s="201" t="n"/>
      <c r="O153" s="199" t="n"/>
      <c r="P153" s="201" t="n"/>
      <c r="Q153" s="201" t="n"/>
      <c r="R153" s="201" t="n"/>
      <c r="S153" s="201" t="n"/>
      <c r="T153" s="201" t="n"/>
      <c r="U153" s="201" t="n"/>
      <c r="V153" s="201" t="n"/>
      <c r="W153" s="201" t="n"/>
      <c r="X153" s="201" t="n"/>
      <c r="Y153" s="201" t="n"/>
      <c r="Z153" s="202">
        <f>sum(T153:X153)</f>
        <v/>
      </c>
      <c r="AA153" s="203">
        <f>sum(Z153/Y153)*100%</f>
        <v/>
      </c>
    </row>
    <row r="154" ht="15.75" customHeight="1" s="205">
      <c r="A154" s="199" t="n"/>
      <c r="B154" s="204" t="n"/>
      <c r="C154" s="199" t="n"/>
      <c r="D154" s="199" t="n"/>
      <c r="E154" s="199" t="n"/>
      <c r="F154" s="199" t="n"/>
      <c r="G154" s="199" t="n"/>
      <c r="H154" s="199" t="n"/>
      <c r="I154" s="199" t="n"/>
      <c r="J154" s="199" t="n"/>
      <c r="K154" s="199" t="n"/>
      <c r="L154" s="199" t="n"/>
      <c r="M154" s="199" t="n"/>
      <c r="N154" s="199" t="n"/>
      <c r="O154" s="199" t="n"/>
      <c r="P154" s="199" t="n"/>
      <c r="Q154" s="199" t="n"/>
      <c r="R154" s="199" t="n"/>
      <c r="S154" s="199" t="n"/>
      <c r="T154" s="199" t="n"/>
      <c r="U154" s="199" t="n"/>
      <c r="V154" s="199" t="n"/>
      <c r="W154" s="199" t="n"/>
      <c r="X154" s="199" t="n"/>
      <c r="Y154" s="199" t="n"/>
      <c r="Z154" s="202">
        <f>sum(T154:X154)</f>
        <v/>
      </c>
      <c r="AA154" s="203">
        <f>sum(Z154/Y154)*100%</f>
        <v/>
      </c>
    </row>
    <row r="155" ht="15.75" customHeight="1" s="205">
      <c r="A155" s="199" t="n"/>
      <c r="B155" s="200" t="n"/>
      <c r="C155" s="201" t="n"/>
      <c r="D155" s="199" t="n"/>
      <c r="E155" s="199" t="n"/>
      <c r="F155" s="199" t="n"/>
      <c r="G155" s="199" t="n"/>
      <c r="H155" s="199" t="n"/>
      <c r="I155" s="201" t="n"/>
      <c r="J155" s="201" t="n"/>
      <c r="K155" s="201" t="n"/>
      <c r="L155" s="201" t="n"/>
      <c r="M155" s="201" t="n"/>
      <c r="N155" s="201" t="n"/>
      <c r="O155" s="199" t="n"/>
      <c r="P155" s="201" t="n"/>
      <c r="Q155" s="201" t="n"/>
      <c r="R155" s="201" t="n"/>
      <c r="S155" s="201" t="n"/>
      <c r="T155" s="201" t="n"/>
      <c r="U155" s="201" t="n"/>
      <c r="V155" s="201" t="n"/>
      <c r="W155" s="201" t="n"/>
      <c r="X155" s="201" t="n"/>
      <c r="Y155" s="201" t="n"/>
      <c r="Z155" s="202">
        <f>sum(T155:X155)</f>
        <v/>
      </c>
      <c r="AA155" s="203">
        <f>sum(Z155/Y155)*100%</f>
        <v/>
      </c>
    </row>
    <row r="156" ht="15.75" customHeight="1" s="205">
      <c r="A156" s="199" t="n"/>
      <c r="B156" s="204" t="n"/>
      <c r="C156" s="199" t="n"/>
      <c r="D156" s="199" t="n"/>
      <c r="E156" s="199" t="n"/>
      <c r="F156" s="199" t="n"/>
      <c r="G156" s="199" t="n"/>
      <c r="H156" s="199" t="n"/>
      <c r="I156" s="199" t="n"/>
      <c r="J156" s="199" t="n"/>
      <c r="K156" s="199" t="n"/>
      <c r="L156" s="199" t="n"/>
      <c r="M156" s="199" t="n"/>
      <c r="N156" s="199" t="n"/>
      <c r="O156" s="199" t="n"/>
      <c r="P156" s="199" t="n"/>
      <c r="Q156" s="199" t="n"/>
      <c r="R156" s="199" t="n"/>
      <c r="S156" s="199" t="n"/>
      <c r="T156" s="199" t="n"/>
      <c r="U156" s="199" t="n"/>
      <c r="V156" s="199" t="n"/>
      <c r="W156" s="199" t="n"/>
      <c r="X156" s="199" t="n"/>
      <c r="Y156" s="199" t="n"/>
      <c r="Z156" s="202">
        <f>sum(T156:X156)</f>
        <v/>
      </c>
      <c r="AA156" s="203">
        <f>sum(Z156/Y156)*100%</f>
        <v/>
      </c>
    </row>
    <row r="157" ht="15.75" customHeight="1" s="205">
      <c r="A157" s="199" t="n"/>
      <c r="B157" s="200" t="n"/>
      <c r="C157" s="201" t="n"/>
      <c r="D157" s="199" t="n"/>
      <c r="E157" s="199" t="n"/>
      <c r="F157" s="199" t="n"/>
      <c r="G157" s="199" t="n"/>
      <c r="H157" s="199" t="n"/>
      <c r="I157" s="201" t="n"/>
      <c r="J157" s="201" t="n"/>
      <c r="K157" s="201" t="n"/>
      <c r="L157" s="201" t="n"/>
      <c r="M157" s="201" t="n"/>
      <c r="N157" s="201" t="n"/>
      <c r="O157" s="199" t="n"/>
      <c r="P157" s="201" t="n"/>
      <c r="Q157" s="201" t="n"/>
      <c r="R157" s="201" t="n"/>
      <c r="S157" s="201" t="n"/>
      <c r="T157" s="201" t="n"/>
      <c r="U157" s="201" t="n"/>
      <c r="V157" s="201" t="n"/>
      <c r="W157" s="201" t="n"/>
      <c r="X157" s="201" t="n"/>
      <c r="Y157" s="201" t="n"/>
      <c r="Z157" s="202">
        <f>sum(T157:X157)</f>
        <v/>
      </c>
      <c r="AA157" s="203">
        <f>sum(Z157/Y157)*100%</f>
        <v/>
      </c>
    </row>
    <row r="158" ht="15.75" customHeight="1" s="205">
      <c r="A158" s="199" t="n"/>
      <c r="B158" s="204" t="n"/>
      <c r="C158" s="199" t="n"/>
      <c r="D158" s="199" t="n"/>
      <c r="E158" s="199" t="n"/>
      <c r="F158" s="199" t="n"/>
      <c r="G158" s="199" t="n"/>
      <c r="H158" s="199" t="n"/>
      <c r="I158" s="199" t="n"/>
      <c r="J158" s="199" t="n"/>
      <c r="K158" s="199" t="n"/>
      <c r="L158" s="199" t="n"/>
      <c r="M158" s="199" t="n"/>
      <c r="N158" s="199" t="n"/>
      <c r="O158" s="199" t="n"/>
      <c r="P158" s="199" t="n"/>
      <c r="Q158" s="199" t="n"/>
      <c r="R158" s="199" t="n"/>
      <c r="S158" s="199" t="n"/>
      <c r="T158" s="199" t="n"/>
      <c r="U158" s="199" t="n"/>
      <c r="V158" s="199" t="n"/>
      <c r="W158" s="199" t="n"/>
      <c r="X158" s="199" t="n"/>
      <c r="Y158" s="199" t="n"/>
      <c r="Z158" s="202">
        <f>sum(T158:X158)</f>
        <v/>
      </c>
      <c r="AA158" s="203">
        <f>sum(Z158/Y158)*100%</f>
        <v/>
      </c>
    </row>
    <row r="159" ht="15.75" customHeight="1" s="205">
      <c r="A159" s="199" t="n"/>
      <c r="B159" s="200" t="n"/>
      <c r="C159" s="201" t="n"/>
      <c r="D159" s="199" t="n"/>
      <c r="E159" s="199" t="n"/>
      <c r="F159" s="199" t="n"/>
      <c r="G159" s="199" t="n"/>
      <c r="H159" s="199" t="n"/>
      <c r="I159" s="201" t="n"/>
      <c r="J159" s="201" t="n"/>
      <c r="K159" s="201" t="n"/>
      <c r="L159" s="201" t="n"/>
      <c r="M159" s="201" t="n"/>
      <c r="N159" s="201" t="n"/>
      <c r="O159" s="199" t="n"/>
      <c r="P159" s="201" t="n"/>
      <c r="Q159" s="201" t="n"/>
      <c r="R159" s="201" t="n"/>
      <c r="S159" s="201" t="n"/>
      <c r="T159" s="201" t="n"/>
      <c r="U159" s="201" t="n"/>
      <c r="V159" s="201" t="n"/>
      <c r="W159" s="201" t="n"/>
      <c r="X159" s="201" t="n"/>
      <c r="Y159" s="201" t="n"/>
      <c r="Z159" s="202">
        <f>sum(T159:X159)</f>
        <v/>
      </c>
      <c r="AA159" s="203">
        <f>sum(Z159/Y159)*100%</f>
        <v/>
      </c>
    </row>
    <row r="160" ht="15.75" customHeight="1" s="205">
      <c r="A160" s="199" t="n"/>
      <c r="B160" s="204" t="n"/>
      <c r="C160" s="199" t="n"/>
      <c r="D160" s="199" t="n"/>
      <c r="E160" s="199" t="n"/>
      <c r="F160" s="199" t="n"/>
      <c r="G160" s="199" t="n"/>
      <c r="H160" s="199" t="n"/>
      <c r="I160" s="199" t="n"/>
      <c r="J160" s="199" t="n"/>
      <c r="K160" s="199" t="n"/>
      <c r="L160" s="199" t="n"/>
      <c r="M160" s="199" t="n"/>
      <c r="N160" s="199" t="n"/>
      <c r="O160" s="199" t="n"/>
      <c r="P160" s="199" t="n"/>
      <c r="Q160" s="199" t="n"/>
      <c r="R160" s="199" t="n"/>
      <c r="S160" s="199" t="n"/>
      <c r="T160" s="199" t="n"/>
      <c r="U160" s="199" t="n"/>
      <c r="V160" s="199" t="n"/>
      <c r="W160" s="199" t="n"/>
      <c r="X160" s="199" t="n"/>
      <c r="Y160" s="199" t="n"/>
      <c r="Z160" s="202">
        <f>sum(T160:X160)</f>
        <v/>
      </c>
      <c r="AA160" s="203">
        <f>sum(Z160/Y160)*100%</f>
        <v/>
      </c>
    </row>
    <row r="161" ht="15.75" customHeight="1" s="205">
      <c r="A161" s="199" t="n"/>
      <c r="B161" s="200" t="n"/>
      <c r="C161" s="201" t="n"/>
      <c r="D161" s="199" t="n"/>
      <c r="E161" s="199" t="n"/>
      <c r="F161" s="199" t="n"/>
      <c r="G161" s="199" t="n"/>
      <c r="H161" s="199" t="n"/>
      <c r="I161" s="201" t="n"/>
      <c r="J161" s="201" t="n"/>
      <c r="K161" s="201" t="n"/>
      <c r="L161" s="201" t="n"/>
      <c r="M161" s="201" t="n"/>
      <c r="N161" s="201" t="n"/>
      <c r="O161" s="199" t="n"/>
      <c r="P161" s="201" t="n"/>
      <c r="Q161" s="201" t="n"/>
      <c r="R161" s="201" t="n"/>
      <c r="S161" s="201" t="n"/>
      <c r="T161" s="201" t="n"/>
      <c r="U161" s="201" t="n"/>
      <c r="V161" s="201" t="n"/>
      <c r="W161" s="201" t="n"/>
      <c r="X161" s="201" t="n"/>
      <c r="Y161" s="201" t="n"/>
      <c r="Z161" s="202">
        <f>sum(T161:X161)</f>
        <v/>
      </c>
      <c r="AA161" s="203">
        <f>sum(Z161/Y161)*100%</f>
        <v/>
      </c>
    </row>
    <row r="162" ht="15.75" customHeight="1" s="205">
      <c r="A162" s="199" t="n"/>
      <c r="B162" s="204" t="n"/>
      <c r="C162" s="199" t="n"/>
      <c r="D162" s="199" t="n"/>
      <c r="E162" s="199" t="n"/>
      <c r="F162" s="199" t="n"/>
      <c r="G162" s="199" t="n"/>
      <c r="H162" s="199" t="n"/>
      <c r="I162" s="199" t="n"/>
      <c r="J162" s="199" t="n"/>
      <c r="K162" s="199" t="n"/>
      <c r="L162" s="199" t="n"/>
      <c r="M162" s="199" t="n"/>
      <c r="N162" s="199" t="n"/>
      <c r="O162" s="199" t="n"/>
      <c r="P162" s="199" t="n"/>
      <c r="Q162" s="199" t="n"/>
      <c r="R162" s="199" t="n"/>
      <c r="S162" s="199" t="n"/>
      <c r="T162" s="199" t="n"/>
      <c r="U162" s="199" t="n"/>
      <c r="V162" s="199" t="n"/>
      <c r="W162" s="199" t="n"/>
      <c r="X162" s="199" t="n"/>
      <c r="Y162" s="199" t="n"/>
      <c r="Z162" s="202">
        <f>sum(T162:X162)</f>
        <v/>
      </c>
      <c r="AA162" s="203">
        <f>sum(Z162/Y162)*100%</f>
        <v/>
      </c>
    </row>
    <row r="163" ht="15.75" customHeight="1" s="205">
      <c r="A163" s="199" t="n"/>
      <c r="B163" s="200" t="n"/>
      <c r="C163" s="201" t="n"/>
      <c r="D163" s="199" t="n"/>
      <c r="E163" s="199" t="n"/>
      <c r="F163" s="199" t="n"/>
      <c r="G163" s="199" t="n"/>
      <c r="H163" s="199" t="n"/>
      <c r="I163" s="201" t="n"/>
      <c r="J163" s="201" t="n"/>
      <c r="K163" s="201" t="n"/>
      <c r="L163" s="201" t="n"/>
      <c r="M163" s="201" t="n"/>
      <c r="N163" s="201" t="n"/>
      <c r="O163" s="199" t="n"/>
      <c r="P163" s="201" t="n"/>
      <c r="Q163" s="201" t="n"/>
      <c r="R163" s="201" t="n"/>
      <c r="S163" s="201" t="n"/>
      <c r="T163" s="201" t="n"/>
      <c r="U163" s="201" t="n"/>
      <c r="V163" s="201" t="n"/>
      <c r="W163" s="201" t="n"/>
      <c r="X163" s="201" t="n"/>
      <c r="Y163" s="201" t="n"/>
      <c r="Z163" s="202">
        <f>sum(T163:X163)</f>
        <v/>
      </c>
      <c r="AA163" s="203">
        <f>sum(Z163/Y163)*100%</f>
        <v/>
      </c>
    </row>
    <row r="164" ht="15.75" customHeight="1" s="205">
      <c r="A164" s="199" t="n"/>
      <c r="B164" s="204" t="n"/>
      <c r="C164" s="199" t="n"/>
      <c r="D164" s="199" t="n"/>
      <c r="E164" s="199" t="n"/>
      <c r="F164" s="199" t="n"/>
      <c r="G164" s="199" t="n"/>
      <c r="H164" s="199" t="n"/>
      <c r="I164" s="199" t="n"/>
      <c r="J164" s="199" t="n"/>
      <c r="K164" s="199" t="n"/>
      <c r="L164" s="199" t="n"/>
      <c r="M164" s="199" t="n"/>
      <c r="N164" s="199" t="n"/>
      <c r="O164" s="199" t="n"/>
      <c r="P164" s="199" t="n"/>
      <c r="Q164" s="199" t="n"/>
      <c r="R164" s="199" t="n"/>
      <c r="S164" s="199" t="n"/>
      <c r="T164" s="199" t="n"/>
      <c r="U164" s="199" t="n"/>
      <c r="V164" s="199" t="n"/>
      <c r="W164" s="199" t="n"/>
      <c r="X164" s="199" t="n"/>
      <c r="Y164" s="199" t="n"/>
      <c r="Z164" s="202">
        <f>sum(T164:X164)</f>
        <v/>
      </c>
      <c r="AA164" s="203">
        <f>sum(Z164/Y164)*100%</f>
        <v/>
      </c>
    </row>
    <row r="165" ht="15.75" customHeight="1" s="205">
      <c r="A165" s="199" t="n"/>
      <c r="B165" s="200" t="n"/>
      <c r="C165" s="201" t="n"/>
      <c r="D165" s="199" t="n"/>
      <c r="E165" s="199" t="n"/>
      <c r="F165" s="199" t="n"/>
      <c r="G165" s="199" t="n"/>
      <c r="H165" s="199" t="n"/>
      <c r="I165" s="201" t="n"/>
      <c r="J165" s="201" t="n"/>
      <c r="K165" s="201" t="n"/>
      <c r="L165" s="201" t="n"/>
      <c r="M165" s="201" t="n"/>
      <c r="N165" s="201" t="n"/>
      <c r="O165" s="199" t="n"/>
      <c r="P165" s="201" t="n"/>
      <c r="Q165" s="201" t="n"/>
      <c r="R165" s="201" t="n"/>
      <c r="S165" s="201" t="n"/>
      <c r="T165" s="201" t="n"/>
      <c r="U165" s="201" t="n"/>
      <c r="V165" s="201" t="n"/>
      <c r="W165" s="201" t="n"/>
      <c r="X165" s="201" t="n"/>
      <c r="Y165" s="201" t="n"/>
      <c r="Z165" s="202">
        <f>sum(T165:X165)</f>
        <v/>
      </c>
      <c r="AA165" s="203">
        <f>sum(Z165/Y165)*100%</f>
        <v/>
      </c>
    </row>
    <row r="166" ht="15.75" customHeight="1" s="205">
      <c r="A166" s="199" t="n"/>
      <c r="B166" s="204" t="n"/>
      <c r="C166" s="199" t="n"/>
      <c r="D166" s="199" t="n"/>
      <c r="E166" s="199" t="n"/>
      <c r="F166" s="199" t="n"/>
      <c r="G166" s="199" t="n"/>
      <c r="H166" s="199" t="n"/>
      <c r="I166" s="199" t="n"/>
      <c r="J166" s="199" t="n"/>
      <c r="K166" s="199" t="n"/>
      <c r="L166" s="199" t="n"/>
      <c r="M166" s="199" t="n"/>
      <c r="N166" s="199" t="n"/>
      <c r="O166" s="199" t="n"/>
      <c r="P166" s="199" t="n"/>
      <c r="Q166" s="199" t="n"/>
      <c r="R166" s="199" t="n"/>
      <c r="S166" s="199" t="n"/>
      <c r="T166" s="199" t="n"/>
      <c r="U166" s="199" t="n"/>
      <c r="V166" s="199" t="n"/>
      <c r="W166" s="199" t="n"/>
      <c r="X166" s="199" t="n"/>
      <c r="Y166" s="199" t="n"/>
      <c r="Z166" s="202">
        <f>sum(T166:X166)</f>
        <v/>
      </c>
      <c r="AA166" s="203">
        <f>sum(Z166/Y166)*100%</f>
        <v/>
      </c>
    </row>
    <row r="167" ht="15.75" customHeight="1" s="205">
      <c r="A167" s="199" t="n"/>
      <c r="B167" s="200" t="n"/>
      <c r="C167" s="201" t="n"/>
      <c r="D167" s="199" t="n"/>
      <c r="E167" s="199" t="n"/>
      <c r="F167" s="199" t="n"/>
      <c r="G167" s="199" t="n"/>
      <c r="H167" s="199" t="n"/>
      <c r="I167" s="201" t="n"/>
      <c r="J167" s="201" t="n"/>
      <c r="K167" s="201" t="n"/>
      <c r="L167" s="201" t="n"/>
      <c r="M167" s="201" t="n"/>
      <c r="N167" s="201" t="n"/>
      <c r="O167" s="199" t="n"/>
      <c r="P167" s="201" t="n"/>
      <c r="Q167" s="201" t="n"/>
      <c r="R167" s="201" t="n"/>
      <c r="S167" s="201" t="n"/>
      <c r="T167" s="201" t="n"/>
      <c r="U167" s="201" t="n"/>
      <c r="V167" s="201" t="n"/>
      <c r="W167" s="201" t="n"/>
      <c r="X167" s="201" t="n"/>
      <c r="Y167" s="201" t="n"/>
      <c r="Z167" s="202">
        <f>sum(T167:X167)</f>
        <v/>
      </c>
      <c r="AA167" s="203">
        <f>sum(Z167/Y167)*100%</f>
        <v/>
      </c>
    </row>
    <row r="168" ht="15.75" customHeight="1" s="205">
      <c r="A168" s="199" t="n"/>
      <c r="B168" s="204" t="n"/>
      <c r="C168" s="199" t="n"/>
      <c r="D168" s="199" t="n"/>
      <c r="E168" s="199" t="n"/>
      <c r="F168" s="199" t="n"/>
      <c r="G168" s="199" t="n"/>
      <c r="H168" s="199" t="n"/>
      <c r="I168" s="199" t="n"/>
      <c r="J168" s="199" t="n"/>
      <c r="K168" s="199" t="n"/>
      <c r="L168" s="199" t="n"/>
      <c r="M168" s="199" t="n"/>
      <c r="N168" s="199" t="n"/>
      <c r="O168" s="199" t="n"/>
      <c r="P168" s="199" t="n"/>
      <c r="Q168" s="199" t="n"/>
      <c r="R168" s="199" t="n"/>
      <c r="S168" s="199" t="n"/>
      <c r="T168" s="199" t="n"/>
      <c r="U168" s="199" t="n"/>
      <c r="V168" s="199" t="n"/>
      <c r="W168" s="199" t="n"/>
      <c r="X168" s="199" t="n"/>
      <c r="Y168" s="199" t="n"/>
      <c r="Z168" s="202">
        <f>sum(T168:X168)</f>
        <v/>
      </c>
      <c r="AA168" s="203">
        <f>sum(Z168/Y168)*100%</f>
        <v/>
      </c>
    </row>
    <row r="169" ht="15.75" customHeight="1" s="205">
      <c r="A169" s="199" t="n"/>
      <c r="B169" s="200" t="n"/>
      <c r="C169" s="201" t="n"/>
      <c r="D169" s="199" t="n"/>
      <c r="E169" s="199" t="n"/>
      <c r="F169" s="199" t="n"/>
      <c r="G169" s="199" t="n"/>
      <c r="H169" s="199" t="n"/>
      <c r="I169" s="201" t="n"/>
      <c r="J169" s="201" t="n"/>
      <c r="K169" s="201" t="n"/>
      <c r="L169" s="201" t="n"/>
      <c r="M169" s="201" t="n"/>
      <c r="N169" s="201" t="n"/>
      <c r="O169" s="199" t="n"/>
      <c r="P169" s="201" t="n"/>
      <c r="Q169" s="201" t="n"/>
      <c r="R169" s="201" t="n"/>
      <c r="S169" s="201" t="n"/>
      <c r="T169" s="201" t="n"/>
      <c r="U169" s="201" t="n"/>
      <c r="V169" s="201" t="n"/>
      <c r="W169" s="201" t="n"/>
      <c r="X169" s="201" t="n"/>
      <c r="Y169" s="201" t="n"/>
      <c r="Z169" s="202">
        <f>sum(T169:X169)</f>
        <v/>
      </c>
      <c r="AA169" s="203">
        <f>sum(Z169/Y169)*100%</f>
        <v/>
      </c>
    </row>
    <row r="170" ht="15.75" customHeight="1" s="205">
      <c r="A170" s="199" t="n"/>
      <c r="B170" s="204" t="n"/>
      <c r="C170" s="199" t="n"/>
      <c r="D170" s="199" t="n"/>
      <c r="E170" s="199" t="n"/>
      <c r="F170" s="199" t="n"/>
      <c r="G170" s="199" t="n"/>
      <c r="H170" s="199" t="n"/>
      <c r="I170" s="199" t="n"/>
      <c r="J170" s="199" t="n"/>
      <c r="K170" s="199" t="n"/>
      <c r="L170" s="199" t="n"/>
      <c r="M170" s="199" t="n"/>
      <c r="N170" s="199" t="n"/>
      <c r="O170" s="199" t="n"/>
      <c r="P170" s="199" t="n"/>
      <c r="Q170" s="199" t="n"/>
      <c r="R170" s="199" t="n"/>
      <c r="S170" s="199" t="n"/>
      <c r="T170" s="199" t="n"/>
      <c r="U170" s="199" t="n"/>
      <c r="V170" s="199" t="n"/>
      <c r="W170" s="199" t="n"/>
      <c r="X170" s="199" t="n"/>
      <c r="Y170" s="199" t="n"/>
      <c r="Z170" s="202">
        <f>sum(T170:X170)</f>
        <v/>
      </c>
      <c r="AA170" s="203">
        <f>sum(Z170/Y170)*100%</f>
        <v/>
      </c>
    </row>
    <row r="171" ht="15.75" customHeight="1" s="205">
      <c r="A171" s="199" t="n"/>
      <c r="B171" s="200" t="n"/>
      <c r="C171" s="201" t="n"/>
      <c r="D171" s="199" t="n"/>
      <c r="E171" s="199" t="n"/>
      <c r="F171" s="199" t="n"/>
      <c r="G171" s="199" t="n"/>
      <c r="H171" s="199" t="n"/>
      <c r="I171" s="201" t="n"/>
      <c r="J171" s="201" t="n"/>
      <c r="K171" s="201" t="n"/>
      <c r="L171" s="201" t="n"/>
      <c r="M171" s="201" t="n"/>
      <c r="N171" s="201" t="n"/>
      <c r="O171" s="199" t="n"/>
      <c r="P171" s="201" t="n"/>
      <c r="Q171" s="201" t="n"/>
      <c r="R171" s="201" t="n"/>
      <c r="S171" s="201" t="n"/>
      <c r="T171" s="201" t="n"/>
      <c r="U171" s="201" t="n"/>
      <c r="V171" s="201" t="n"/>
      <c r="W171" s="201" t="n"/>
      <c r="X171" s="201" t="n"/>
      <c r="Y171" s="201" t="n"/>
      <c r="Z171" s="202">
        <f>sum(T171:X171)</f>
        <v/>
      </c>
      <c r="AA171" s="203">
        <f>sum(Z171/Y171)*100%</f>
        <v/>
      </c>
    </row>
    <row r="172" ht="15.75" customHeight="1" s="205">
      <c r="A172" s="199" t="n"/>
      <c r="B172" s="204" t="n"/>
      <c r="C172" s="199" t="n"/>
      <c r="D172" s="199" t="n"/>
      <c r="E172" s="199" t="n"/>
      <c r="F172" s="199" t="n"/>
      <c r="G172" s="199" t="n"/>
      <c r="H172" s="199" t="n"/>
      <c r="I172" s="199" t="n"/>
      <c r="J172" s="199" t="n"/>
      <c r="K172" s="199" t="n"/>
      <c r="L172" s="199" t="n"/>
      <c r="M172" s="199" t="n"/>
      <c r="N172" s="199" t="n"/>
      <c r="O172" s="199" t="n"/>
      <c r="P172" s="199" t="n"/>
      <c r="Q172" s="199" t="n"/>
      <c r="R172" s="199" t="n"/>
      <c r="S172" s="199" t="n"/>
      <c r="T172" s="199" t="n"/>
      <c r="U172" s="199" t="n"/>
      <c r="V172" s="199" t="n"/>
      <c r="W172" s="199" t="n"/>
      <c r="X172" s="199" t="n"/>
      <c r="Y172" s="199" t="n"/>
      <c r="Z172" s="202">
        <f>sum(T172:X172)</f>
        <v/>
      </c>
      <c r="AA172" s="203">
        <f>sum(Z172/Y172)*100%</f>
        <v/>
      </c>
    </row>
    <row r="173" ht="15.75" customHeight="1" s="205">
      <c r="A173" s="199" t="n"/>
      <c r="B173" s="200" t="n"/>
      <c r="C173" s="201" t="n"/>
      <c r="D173" s="199" t="n"/>
      <c r="E173" s="199" t="n"/>
      <c r="F173" s="199" t="n"/>
      <c r="G173" s="199" t="n"/>
      <c r="H173" s="199" t="n"/>
      <c r="I173" s="201" t="n"/>
      <c r="J173" s="201" t="n"/>
      <c r="K173" s="201" t="n"/>
      <c r="L173" s="201" t="n"/>
      <c r="M173" s="201" t="n"/>
      <c r="N173" s="201" t="n"/>
      <c r="O173" s="199" t="n"/>
      <c r="P173" s="201" t="n"/>
      <c r="Q173" s="201" t="n"/>
      <c r="R173" s="201" t="n"/>
      <c r="S173" s="201" t="n"/>
      <c r="T173" s="201" t="n"/>
      <c r="U173" s="201" t="n"/>
      <c r="V173" s="201" t="n"/>
      <c r="W173" s="201" t="n"/>
      <c r="X173" s="201" t="n"/>
      <c r="Y173" s="201" t="n"/>
      <c r="Z173" s="202">
        <f>sum(T173:X173)</f>
        <v/>
      </c>
      <c r="AA173" s="203">
        <f>sum(Z173/Y173)*100%</f>
        <v/>
      </c>
    </row>
    <row r="174" ht="15.75" customHeight="1" s="205">
      <c r="A174" s="199" t="n"/>
      <c r="B174" s="204" t="n"/>
      <c r="C174" s="199" t="n"/>
      <c r="D174" s="199" t="n"/>
      <c r="E174" s="199" t="n"/>
      <c r="F174" s="199" t="n"/>
      <c r="G174" s="199" t="n"/>
      <c r="H174" s="199" t="n"/>
      <c r="I174" s="199" t="n"/>
      <c r="J174" s="199" t="n"/>
      <c r="K174" s="199" t="n"/>
      <c r="L174" s="199" t="n"/>
      <c r="M174" s="199" t="n"/>
      <c r="N174" s="199" t="n"/>
      <c r="O174" s="199" t="n"/>
      <c r="P174" s="199" t="n"/>
      <c r="Q174" s="199" t="n"/>
      <c r="R174" s="199" t="n"/>
      <c r="S174" s="199" t="n"/>
      <c r="T174" s="199" t="n"/>
      <c r="U174" s="199" t="n"/>
      <c r="V174" s="199" t="n"/>
      <c r="W174" s="199" t="n"/>
      <c r="X174" s="199" t="n"/>
      <c r="Y174" s="199" t="n"/>
      <c r="Z174" s="202">
        <f>sum(T174:X174)</f>
        <v/>
      </c>
      <c r="AA174" s="203">
        <f>sum(Z174/Y174)*100%</f>
        <v/>
      </c>
    </row>
    <row r="175" ht="15.75" customHeight="1" s="205">
      <c r="A175" s="199" t="n"/>
      <c r="B175" s="200" t="n"/>
      <c r="C175" s="201" t="n"/>
      <c r="D175" s="199" t="n"/>
      <c r="E175" s="199" t="n"/>
      <c r="F175" s="199" t="n"/>
      <c r="G175" s="199" t="n"/>
      <c r="H175" s="199" t="n"/>
      <c r="I175" s="201" t="n"/>
      <c r="J175" s="201" t="n"/>
      <c r="K175" s="201" t="n"/>
      <c r="L175" s="201" t="n"/>
      <c r="M175" s="201" t="n"/>
      <c r="N175" s="201" t="n"/>
      <c r="O175" s="199" t="n"/>
      <c r="P175" s="201" t="n"/>
      <c r="Q175" s="201" t="n"/>
      <c r="R175" s="201" t="n"/>
      <c r="S175" s="201" t="n"/>
      <c r="T175" s="201" t="n"/>
      <c r="U175" s="201" t="n"/>
      <c r="V175" s="201" t="n"/>
      <c r="W175" s="201" t="n"/>
      <c r="X175" s="201" t="n"/>
      <c r="Y175" s="201" t="n"/>
      <c r="Z175" s="202">
        <f>sum(T175:X175)</f>
        <v/>
      </c>
      <c r="AA175" s="203">
        <f>sum(Z175/Y175)*100%</f>
        <v/>
      </c>
    </row>
    <row r="176" ht="15.75" customHeight="1" s="205">
      <c r="A176" s="199" t="n"/>
      <c r="B176" s="204" t="n"/>
      <c r="C176" s="199" t="n"/>
      <c r="D176" s="199" t="n"/>
      <c r="E176" s="199" t="n"/>
      <c r="F176" s="199" t="n"/>
      <c r="G176" s="199" t="n"/>
      <c r="H176" s="199" t="n"/>
      <c r="I176" s="199" t="n"/>
      <c r="J176" s="199" t="n"/>
      <c r="K176" s="199" t="n"/>
      <c r="L176" s="199" t="n"/>
      <c r="M176" s="199" t="n"/>
      <c r="N176" s="199" t="n"/>
      <c r="O176" s="199" t="n"/>
      <c r="P176" s="199" t="n"/>
      <c r="Q176" s="199" t="n"/>
      <c r="R176" s="199" t="n"/>
      <c r="S176" s="199" t="n"/>
      <c r="T176" s="199" t="n"/>
      <c r="U176" s="199" t="n"/>
      <c r="V176" s="199" t="n"/>
      <c r="W176" s="199" t="n"/>
      <c r="X176" s="199" t="n"/>
      <c r="Y176" s="199" t="n"/>
      <c r="Z176" s="202">
        <f>sum(T176:X176)</f>
        <v/>
      </c>
      <c r="AA176" s="203">
        <f>sum(Z176/Y176)*100%</f>
        <v/>
      </c>
    </row>
    <row r="177" ht="15.75" customHeight="1" s="205">
      <c r="A177" s="199" t="n"/>
      <c r="B177" s="200" t="n"/>
      <c r="C177" s="201" t="n"/>
      <c r="D177" s="199" t="n"/>
      <c r="E177" s="199" t="n"/>
      <c r="F177" s="199" t="n"/>
      <c r="G177" s="199" t="n"/>
      <c r="H177" s="199" t="n"/>
      <c r="I177" s="201" t="n"/>
      <c r="J177" s="201" t="n"/>
      <c r="K177" s="201" t="n"/>
      <c r="L177" s="201" t="n"/>
      <c r="M177" s="201" t="n"/>
      <c r="N177" s="201" t="n"/>
      <c r="O177" s="199" t="n"/>
      <c r="P177" s="201" t="n"/>
      <c r="Q177" s="201" t="n"/>
      <c r="R177" s="201" t="n"/>
      <c r="S177" s="201" t="n"/>
      <c r="T177" s="201" t="n"/>
      <c r="U177" s="201" t="n"/>
      <c r="V177" s="201" t="n"/>
      <c r="W177" s="201" t="n"/>
      <c r="X177" s="201" t="n"/>
      <c r="Y177" s="201" t="n"/>
      <c r="Z177" s="202">
        <f>sum(T177:X177)</f>
        <v/>
      </c>
      <c r="AA177" s="203">
        <f>sum(Z177/Y177)*100%</f>
        <v/>
      </c>
    </row>
    <row r="178" ht="15.75" customHeight="1" s="205">
      <c r="A178" s="199" t="n"/>
      <c r="B178" s="204" t="n"/>
      <c r="C178" s="199" t="n"/>
      <c r="D178" s="199" t="n"/>
      <c r="E178" s="199" t="n"/>
      <c r="F178" s="199" t="n"/>
      <c r="G178" s="199" t="n"/>
      <c r="H178" s="199" t="n"/>
      <c r="I178" s="199" t="n"/>
      <c r="J178" s="199" t="n"/>
      <c r="K178" s="199" t="n"/>
      <c r="L178" s="199" t="n"/>
      <c r="M178" s="199" t="n"/>
      <c r="N178" s="199" t="n"/>
      <c r="O178" s="199" t="n"/>
      <c r="P178" s="199" t="n"/>
      <c r="Q178" s="199" t="n"/>
      <c r="R178" s="199" t="n"/>
      <c r="S178" s="199" t="n"/>
      <c r="T178" s="199" t="n"/>
      <c r="U178" s="199" t="n"/>
      <c r="V178" s="199" t="n"/>
      <c r="W178" s="199" t="n"/>
      <c r="X178" s="199" t="n"/>
      <c r="Y178" s="199" t="n"/>
      <c r="Z178" s="202">
        <f>sum(T178:X178)</f>
        <v/>
      </c>
      <c r="AA178" s="203">
        <f>sum(Z178/Y178)*100%</f>
        <v/>
      </c>
    </row>
    <row r="179" ht="15.75" customHeight="1" s="205">
      <c r="A179" s="199" t="n"/>
      <c r="B179" s="200" t="n"/>
      <c r="C179" s="201" t="n"/>
      <c r="D179" s="199" t="n"/>
      <c r="E179" s="199" t="n"/>
      <c r="F179" s="199" t="n"/>
      <c r="G179" s="199" t="n"/>
      <c r="H179" s="199" t="n"/>
      <c r="I179" s="201" t="n"/>
      <c r="J179" s="201" t="n"/>
      <c r="K179" s="201" t="n"/>
      <c r="L179" s="201" t="n"/>
      <c r="M179" s="201" t="n"/>
      <c r="N179" s="201" t="n"/>
      <c r="O179" s="199" t="n"/>
      <c r="P179" s="201" t="n"/>
      <c r="Q179" s="201" t="n"/>
      <c r="R179" s="201" t="n"/>
      <c r="S179" s="201" t="n"/>
      <c r="T179" s="201" t="n"/>
      <c r="U179" s="201" t="n"/>
      <c r="V179" s="201" t="n"/>
      <c r="W179" s="201" t="n"/>
      <c r="X179" s="201" t="n"/>
      <c r="Y179" s="201" t="n"/>
      <c r="Z179" s="202">
        <f>sum(T179:X179)</f>
        <v/>
      </c>
      <c r="AA179" s="203">
        <f>sum(Z179/Y179)*100%</f>
        <v/>
      </c>
    </row>
    <row r="180" ht="15.75" customHeight="1" s="205">
      <c r="A180" s="199" t="n"/>
      <c r="B180" s="204" t="n"/>
      <c r="C180" s="199" t="n"/>
      <c r="D180" s="199" t="n"/>
      <c r="E180" s="199" t="n"/>
      <c r="F180" s="199" t="n"/>
      <c r="G180" s="199" t="n"/>
      <c r="H180" s="199" t="n"/>
      <c r="I180" s="199" t="n"/>
      <c r="J180" s="199" t="n"/>
      <c r="K180" s="199" t="n"/>
      <c r="L180" s="199" t="n"/>
      <c r="M180" s="199" t="n"/>
      <c r="N180" s="199" t="n"/>
      <c r="O180" s="199" t="n"/>
      <c r="P180" s="199" t="n"/>
      <c r="Q180" s="199" t="n"/>
      <c r="R180" s="199" t="n"/>
      <c r="S180" s="199" t="n"/>
      <c r="T180" s="199" t="n"/>
      <c r="U180" s="199" t="n"/>
      <c r="V180" s="199" t="n"/>
      <c r="W180" s="199" t="n"/>
      <c r="X180" s="199" t="n"/>
      <c r="Y180" s="199" t="n"/>
      <c r="Z180" s="202">
        <f>sum(T180:X180)</f>
        <v/>
      </c>
      <c r="AA180" s="203">
        <f>sum(Z180/Y180)*100%</f>
        <v/>
      </c>
    </row>
    <row r="181" ht="15.75" customHeight="1" s="205">
      <c r="A181" s="199" t="n"/>
      <c r="B181" s="200" t="n"/>
      <c r="C181" s="201" t="n"/>
      <c r="D181" s="199" t="n"/>
      <c r="E181" s="199" t="n"/>
      <c r="F181" s="199" t="n"/>
      <c r="G181" s="199" t="n"/>
      <c r="H181" s="199" t="n"/>
      <c r="I181" s="201" t="n"/>
      <c r="J181" s="201" t="n"/>
      <c r="K181" s="201" t="n"/>
      <c r="L181" s="201" t="n"/>
      <c r="M181" s="201" t="n"/>
      <c r="N181" s="201" t="n"/>
      <c r="O181" s="199" t="n"/>
      <c r="P181" s="201" t="n"/>
      <c r="Q181" s="201" t="n"/>
      <c r="R181" s="201" t="n"/>
      <c r="S181" s="201" t="n"/>
      <c r="T181" s="201" t="n"/>
      <c r="U181" s="201" t="n"/>
      <c r="V181" s="201" t="n"/>
      <c r="W181" s="201" t="n"/>
      <c r="X181" s="201" t="n"/>
      <c r="Y181" s="201" t="n"/>
      <c r="Z181" s="202">
        <f>sum(T181:X181)</f>
        <v/>
      </c>
      <c r="AA181" s="203">
        <f>sum(Z181/Y181)*100%</f>
        <v/>
      </c>
    </row>
    <row r="182" ht="15.75" customHeight="1" s="205">
      <c r="A182" s="199" t="n"/>
      <c r="B182" s="204" t="n"/>
      <c r="C182" s="199" t="n"/>
      <c r="D182" s="199" t="n"/>
      <c r="E182" s="199" t="n"/>
      <c r="F182" s="199" t="n"/>
      <c r="G182" s="199" t="n"/>
      <c r="H182" s="199" t="n"/>
      <c r="I182" s="199" t="n"/>
      <c r="J182" s="199" t="n"/>
      <c r="K182" s="199" t="n"/>
      <c r="L182" s="199" t="n"/>
      <c r="M182" s="199" t="n"/>
      <c r="N182" s="199" t="n"/>
      <c r="O182" s="199" t="n"/>
      <c r="P182" s="199" t="n"/>
      <c r="Q182" s="199" t="n"/>
      <c r="R182" s="199" t="n"/>
      <c r="S182" s="199" t="n"/>
      <c r="T182" s="199" t="n"/>
      <c r="U182" s="199" t="n"/>
      <c r="V182" s="199" t="n"/>
      <c r="W182" s="199" t="n"/>
      <c r="X182" s="199" t="n"/>
      <c r="Y182" s="199" t="n"/>
      <c r="Z182" s="202">
        <f>sum(T182:X182)</f>
        <v/>
      </c>
      <c r="AA182" s="203">
        <f>sum(Z182/Y182)*100%</f>
        <v/>
      </c>
    </row>
    <row r="183" ht="15.75" customHeight="1" s="205">
      <c r="A183" s="199" t="n"/>
      <c r="B183" s="200" t="n"/>
      <c r="C183" s="201" t="n"/>
      <c r="D183" s="199" t="n"/>
      <c r="E183" s="199" t="n"/>
      <c r="F183" s="199" t="n"/>
      <c r="G183" s="199" t="n"/>
      <c r="H183" s="199" t="n"/>
      <c r="I183" s="201" t="n"/>
      <c r="J183" s="201" t="n"/>
      <c r="K183" s="201" t="n"/>
      <c r="L183" s="201" t="n"/>
      <c r="M183" s="201" t="n"/>
      <c r="N183" s="201" t="n"/>
      <c r="O183" s="199" t="n"/>
      <c r="P183" s="201" t="n"/>
      <c r="Q183" s="201" t="n"/>
      <c r="R183" s="201" t="n"/>
      <c r="S183" s="201" t="n"/>
      <c r="T183" s="201" t="n"/>
      <c r="U183" s="201" t="n"/>
      <c r="V183" s="201" t="n"/>
      <c r="W183" s="201" t="n"/>
      <c r="X183" s="201" t="n"/>
      <c r="Y183" s="201" t="n"/>
      <c r="Z183" s="202">
        <f>sum(T183:X183)</f>
        <v/>
      </c>
      <c r="AA183" s="203">
        <f>sum(Z183/Y183)*100%</f>
        <v/>
      </c>
    </row>
    <row r="184" ht="15.75" customHeight="1" s="205">
      <c r="A184" s="199" t="n"/>
      <c r="B184" s="204" t="n"/>
      <c r="C184" s="199" t="n"/>
      <c r="D184" s="199" t="n"/>
      <c r="E184" s="199" t="n"/>
      <c r="F184" s="199" t="n"/>
      <c r="G184" s="199" t="n"/>
      <c r="H184" s="199" t="n"/>
      <c r="I184" s="199" t="n"/>
      <c r="J184" s="199" t="n"/>
      <c r="K184" s="199" t="n"/>
      <c r="L184" s="199" t="n"/>
      <c r="M184" s="199" t="n"/>
      <c r="N184" s="199" t="n"/>
      <c r="O184" s="199" t="n"/>
      <c r="P184" s="199" t="n"/>
      <c r="Q184" s="199" t="n"/>
      <c r="R184" s="199" t="n"/>
      <c r="S184" s="199" t="n"/>
      <c r="T184" s="199" t="n"/>
      <c r="U184" s="199" t="n"/>
      <c r="V184" s="199" t="n"/>
      <c r="W184" s="199" t="n"/>
      <c r="X184" s="199" t="n"/>
      <c r="Y184" s="199" t="n"/>
      <c r="Z184" s="202">
        <f>sum(T184:X184)</f>
        <v/>
      </c>
      <c r="AA184" s="203">
        <f>sum(Z184/Y184)*100%</f>
        <v/>
      </c>
    </row>
    <row r="185" ht="15.75" customHeight="1" s="205">
      <c r="A185" s="199" t="n"/>
      <c r="B185" s="200" t="n"/>
      <c r="C185" s="201" t="n"/>
      <c r="D185" s="199" t="n"/>
      <c r="E185" s="199" t="n"/>
      <c r="F185" s="199" t="n"/>
      <c r="G185" s="199" t="n"/>
      <c r="H185" s="199" t="n"/>
      <c r="I185" s="201" t="n"/>
      <c r="J185" s="201" t="n"/>
      <c r="K185" s="201" t="n"/>
      <c r="L185" s="201" t="n"/>
      <c r="M185" s="201" t="n"/>
      <c r="N185" s="201" t="n"/>
      <c r="O185" s="199" t="n"/>
      <c r="P185" s="201" t="n"/>
      <c r="Q185" s="201" t="n"/>
      <c r="R185" s="201" t="n"/>
      <c r="S185" s="201" t="n"/>
      <c r="T185" s="201" t="n"/>
      <c r="U185" s="201" t="n"/>
      <c r="V185" s="201" t="n"/>
      <c r="W185" s="201" t="n"/>
      <c r="X185" s="201" t="n"/>
      <c r="Y185" s="201" t="n"/>
      <c r="Z185" s="202">
        <f>sum(T185:X185)</f>
        <v/>
      </c>
      <c r="AA185" s="203">
        <f>sum(Z185/Y185)*100%</f>
        <v/>
      </c>
    </row>
    <row r="186" ht="15.75" customHeight="1" s="205">
      <c r="A186" s="199" t="n"/>
      <c r="B186" s="204" t="n"/>
      <c r="C186" s="199" t="n"/>
      <c r="D186" s="199" t="n"/>
      <c r="E186" s="199" t="n"/>
      <c r="F186" s="199" t="n"/>
      <c r="G186" s="199" t="n"/>
      <c r="H186" s="199" t="n"/>
      <c r="I186" s="199" t="n"/>
      <c r="J186" s="199" t="n"/>
      <c r="K186" s="199" t="n"/>
      <c r="L186" s="199" t="n"/>
      <c r="M186" s="199" t="n"/>
      <c r="N186" s="199" t="n"/>
      <c r="O186" s="199" t="n"/>
      <c r="P186" s="199" t="n"/>
      <c r="Q186" s="199" t="n"/>
      <c r="R186" s="199" t="n"/>
      <c r="S186" s="199" t="n"/>
      <c r="T186" s="199" t="n"/>
      <c r="U186" s="199" t="n"/>
      <c r="V186" s="199" t="n"/>
      <c r="W186" s="199" t="n"/>
      <c r="X186" s="199" t="n"/>
      <c r="Y186" s="199" t="n"/>
      <c r="Z186" s="202">
        <f>sum(T186:X186)</f>
        <v/>
      </c>
      <c r="AA186" s="203">
        <f>sum(Z186/Y186)*100%</f>
        <v/>
      </c>
    </row>
    <row r="187" ht="15.75" customHeight="1" s="205">
      <c r="A187" s="199" t="n"/>
      <c r="B187" s="200" t="n"/>
      <c r="C187" s="201" t="n"/>
      <c r="D187" s="199" t="n"/>
      <c r="E187" s="199" t="n"/>
      <c r="F187" s="199" t="n"/>
      <c r="G187" s="199" t="n"/>
      <c r="H187" s="199" t="n"/>
      <c r="I187" s="201" t="n"/>
      <c r="J187" s="201" t="n"/>
      <c r="K187" s="201" t="n"/>
      <c r="L187" s="201" t="n"/>
      <c r="M187" s="201" t="n"/>
      <c r="N187" s="201" t="n"/>
      <c r="O187" s="199" t="n"/>
      <c r="P187" s="201" t="n"/>
      <c r="Q187" s="201" t="n"/>
      <c r="R187" s="201" t="n"/>
      <c r="S187" s="201" t="n"/>
      <c r="T187" s="201" t="n"/>
      <c r="U187" s="201" t="n"/>
      <c r="V187" s="201" t="n"/>
      <c r="W187" s="201" t="n"/>
      <c r="X187" s="201" t="n"/>
      <c r="Y187" s="201" t="n"/>
      <c r="Z187" s="202">
        <f>sum(T187:X187)</f>
        <v/>
      </c>
      <c r="AA187" s="203">
        <f>sum(Z187/Y187)*100%</f>
        <v/>
      </c>
    </row>
    <row r="188" ht="15.75" customHeight="1" s="205">
      <c r="A188" s="199" t="n"/>
      <c r="B188" s="204" t="n"/>
      <c r="C188" s="199" t="n"/>
      <c r="D188" s="199" t="n"/>
      <c r="E188" s="199" t="n"/>
      <c r="F188" s="199" t="n"/>
      <c r="G188" s="199" t="n"/>
      <c r="H188" s="199" t="n"/>
      <c r="I188" s="199" t="n"/>
      <c r="J188" s="199" t="n"/>
      <c r="K188" s="199" t="n"/>
      <c r="L188" s="199" t="n"/>
      <c r="M188" s="199" t="n"/>
      <c r="N188" s="199" t="n"/>
      <c r="O188" s="199" t="n"/>
      <c r="P188" s="199" t="n"/>
      <c r="Q188" s="199" t="n"/>
      <c r="R188" s="199" t="n"/>
      <c r="S188" s="199" t="n"/>
      <c r="T188" s="199" t="n"/>
      <c r="U188" s="199" t="n"/>
      <c r="V188" s="199" t="n"/>
      <c r="W188" s="199" t="n"/>
      <c r="X188" s="199" t="n"/>
      <c r="Y188" s="199" t="n"/>
      <c r="Z188" s="202">
        <f>sum(T188:X188)</f>
        <v/>
      </c>
      <c r="AA188" s="203">
        <f>sum(Z188/Y188)*100%</f>
        <v/>
      </c>
    </row>
    <row r="189" ht="15.75" customHeight="1" s="205">
      <c r="A189" s="199" t="n"/>
      <c r="B189" s="200" t="n"/>
      <c r="C189" s="201" t="n"/>
      <c r="D189" s="199" t="n"/>
      <c r="E189" s="199" t="n"/>
      <c r="F189" s="199" t="n"/>
      <c r="G189" s="199" t="n"/>
      <c r="H189" s="199" t="n"/>
      <c r="I189" s="201" t="n"/>
      <c r="J189" s="201" t="n"/>
      <c r="K189" s="201" t="n"/>
      <c r="L189" s="201" t="n"/>
      <c r="M189" s="201" t="n"/>
      <c r="N189" s="201" t="n"/>
      <c r="O189" s="199" t="n"/>
      <c r="P189" s="201" t="n"/>
      <c r="Q189" s="201" t="n"/>
      <c r="R189" s="201" t="n"/>
      <c r="S189" s="201" t="n"/>
      <c r="T189" s="201" t="n"/>
      <c r="U189" s="201" t="n"/>
      <c r="V189" s="201" t="n"/>
      <c r="W189" s="201" t="n"/>
      <c r="X189" s="201" t="n"/>
      <c r="Y189" s="201" t="n"/>
      <c r="Z189" s="202">
        <f>sum(T189:X189)</f>
        <v/>
      </c>
      <c r="AA189" s="203">
        <f>sum(Z189/Y189)*100%</f>
        <v/>
      </c>
    </row>
    <row r="190" ht="15.75" customHeight="1" s="205">
      <c r="A190" s="199" t="n"/>
      <c r="B190" s="204" t="n"/>
      <c r="C190" s="199" t="n"/>
      <c r="D190" s="199" t="n"/>
      <c r="E190" s="199" t="n"/>
      <c r="F190" s="199" t="n"/>
      <c r="G190" s="199" t="n"/>
      <c r="H190" s="199" t="n"/>
      <c r="I190" s="199" t="n"/>
      <c r="J190" s="199" t="n"/>
      <c r="K190" s="199" t="n"/>
      <c r="L190" s="199" t="n"/>
      <c r="M190" s="199" t="n"/>
      <c r="N190" s="199" t="n"/>
      <c r="O190" s="199" t="n"/>
      <c r="P190" s="199" t="n"/>
      <c r="Q190" s="199" t="n"/>
      <c r="R190" s="199" t="n"/>
      <c r="S190" s="199" t="n"/>
      <c r="T190" s="199" t="n"/>
      <c r="U190" s="199" t="n"/>
      <c r="V190" s="199" t="n"/>
      <c r="W190" s="199" t="n"/>
      <c r="X190" s="199" t="n"/>
      <c r="Y190" s="199" t="n"/>
      <c r="Z190" s="202">
        <f>sum(T190:X190)</f>
        <v/>
      </c>
      <c r="AA190" s="203">
        <f>sum(Z190/Y190)*100%</f>
        <v/>
      </c>
    </row>
    <row r="191" ht="15.75" customHeight="1" s="205">
      <c r="A191" s="199" t="n"/>
      <c r="B191" s="200" t="n"/>
      <c r="C191" s="201" t="n"/>
      <c r="D191" s="199" t="n"/>
      <c r="E191" s="199" t="n"/>
      <c r="F191" s="199" t="n"/>
      <c r="G191" s="199" t="n"/>
      <c r="H191" s="199" t="n"/>
      <c r="I191" s="201" t="n"/>
      <c r="J191" s="201" t="n"/>
      <c r="K191" s="201" t="n"/>
      <c r="L191" s="201" t="n"/>
      <c r="M191" s="201" t="n"/>
      <c r="N191" s="201" t="n"/>
      <c r="O191" s="199" t="n"/>
      <c r="P191" s="201" t="n"/>
      <c r="Q191" s="201" t="n"/>
      <c r="R191" s="201" t="n"/>
      <c r="S191" s="201" t="n"/>
      <c r="T191" s="201" t="n"/>
      <c r="U191" s="201" t="n"/>
      <c r="V191" s="201" t="n"/>
      <c r="W191" s="201" t="n"/>
      <c r="X191" s="201" t="n"/>
      <c r="Y191" s="201" t="n"/>
      <c r="Z191" s="202">
        <f>sum(T191:X191)</f>
        <v/>
      </c>
      <c r="AA191" s="203">
        <f>sum(Z191/Y191)*100%</f>
        <v/>
      </c>
    </row>
    <row r="192" ht="15.75" customHeight="1" s="205">
      <c r="A192" s="199" t="n"/>
      <c r="B192" s="204" t="n"/>
      <c r="C192" s="199" t="n"/>
      <c r="D192" s="199" t="n"/>
      <c r="E192" s="199" t="n"/>
      <c r="F192" s="199" t="n"/>
      <c r="G192" s="199" t="n"/>
      <c r="H192" s="199" t="n"/>
      <c r="I192" s="199" t="n"/>
      <c r="J192" s="199" t="n"/>
      <c r="K192" s="199" t="n"/>
      <c r="L192" s="199" t="n"/>
      <c r="M192" s="199" t="n"/>
      <c r="N192" s="199" t="n"/>
      <c r="O192" s="199" t="n"/>
      <c r="P192" s="199" t="n"/>
      <c r="Q192" s="199" t="n"/>
      <c r="R192" s="199" t="n"/>
      <c r="S192" s="199" t="n"/>
      <c r="T192" s="199" t="n"/>
      <c r="U192" s="199" t="n"/>
      <c r="V192" s="199" t="n"/>
      <c r="W192" s="199" t="n"/>
      <c r="X192" s="199" t="n"/>
      <c r="Y192" s="199" t="n"/>
      <c r="Z192" s="202">
        <f>sum(T192:X192)</f>
        <v/>
      </c>
      <c r="AA192" s="203">
        <f>sum(Z192/Y192)*100%</f>
        <v/>
      </c>
    </row>
    <row r="193" ht="15.75" customHeight="1" s="205">
      <c r="A193" s="199" t="n"/>
      <c r="B193" s="200" t="n"/>
      <c r="C193" s="201" t="n"/>
      <c r="D193" s="199" t="n"/>
      <c r="E193" s="199" t="n"/>
      <c r="F193" s="199" t="n"/>
      <c r="G193" s="199" t="n"/>
      <c r="H193" s="199" t="n"/>
      <c r="I193" s="201" t="n"/>
      <c r="J193" s="201" t="n"/>
      <c r="K193" s="201" t="n"/>
      <c r="L193" s="201" t="n"/>
      <c r="M193" s="201" t="n"/>
      <c r="N193" s="201" t="n"/>
      <c r="O193" s="199" t="n"/>
      <c r="P193" s="201" t="n"/>
      <c r="Q193" s="201" t="n"/>
      <c r="R193" s="201" t="n"/>
      <c r="S193" s="201" t="n"/>
      <c r="T193" s="201" t="n"/>
      <c r="U193" s="201" t="n"/>
      <c r="V193" s="201" t="n"/>
      <c r="W193" s="201" t="n"/>
      <c r="X193" s="201" t="n"/>
      <c r="Y193" s="201" t="n"/>
      <c r="Z193" s="202">
        <f>sum(T193:X193)</f>
        <v/>
      </c>
      <c r="AA193" s="203">
        <f>sum(Z193/Y193)*100%</f>
        <v/>
      </c>
    </row>
    <row r="194" ht="15.75" customHeight="1" s="205">
      <c r="A194" s="199" t="n"/>
      <c r="B194" s="204" t="n"/>
      <c r="C194" s="199" t="n"/>
      <c r="D194" s="199" t="n"/>
      <c r="E194" s="199" t="n"/>
      <c r="F194" s="199" t="n"/>
      <c r="G194" s="199" t="n"/>
      <c r="H194" s="199" t="n"/>
      <c r="I194" s="199" t="n"/>
      <c r="J194" s="199" t="n"/>
      <c r="K194" s="199" t="n"/>
      <c r="L194" s="199" t="n"/>
      <c r="M194" s="199" t="n"/>
      <c r="N194" s="199" t="n"/>
      <c r="O194" s="199" t="n"/>
      <c r="P194" s="199" t="n"/>
      <c r="Q194" s="199" t="n"/>
      <c r="R194" s="199" t="n"/>
      <c r="S194" s="199" t="n"/>
      <c r="T194" s="199" t="n"/>
      <c r="U194" s="199" t="n"/>
      <c r="V194" s="199" t="n"/>
      <c r="W194" s="199" t="n"/>
      <c r="X194" s="199" t="n"/>
      <c r="Y194" s="199" t="n"/>
      <c r="Z194" s="202">
        <f>sum(T194:X194)</f>
        <v/>
      </c>
      <c r="AA194" s="203">
        <f>sum(Z194/Y194)*100%</f>
        <v/>
      </c>
    </row>
    <row r="195" ht="15.75" customHeight="1" s="205">
      <c r="A195" s="199" t="n"/>
      <c r="B195" s="200" t="n"/>
      <c r="C195" s="201" t="n"/>
      <c r="D195" s="199" t="n"/>
      <c r="E195" s="199" t="n"/>
      <c r="F195" s="199" t="n"/>
      <c r="G195" s="199" t="n"/>
      <c r="H195" s="199" t="n"/>
      <c r="I195" s="201" t="n"/>
      <c r="J195" s="201" t="n"/>
      <c r="K195" s="201" t="n"/>
      <c r="L195" s="201" t="n"/>
      <c r="M195" s="201" t="n"/>
      <c r="N195" s="201" t="n"/>
      <c r="O195" s="199" t="n"/>
      <c r="P195" s="201" t="n"/>
      <c r="Q195" s="201" t="n"/>
      <c r="R195" s="201" t="n"/>
      <c r="S195" s="201" t="n"/>
      <c r="T195" s="201" t="n"/>
      <c r="U195" s="201" t="n"/>
      <c r="V195" s="201" t="n"/>
      <c r="W195" s="201" t="n"/>
      <c r="X195" s="201" t="n"/>
      <c r="Y195" s="201" t="n"/>
      <c r="Z195" s="202">
        <f>sum(T195:X195)</f>
        <v/>
      </c>
      <c r="AA195" s="203">
        <f>sum(Z195/Y195)*100%</f>
        <v/>
      </c>
    </row>
    <row r="196" ht="15.75" customHeight="1" s="205">
      <c r="A196" s="199" t="n"/>
      <c r="B196" s="204" t="n"/>
      <c r="C196" s="199" t="n"/>
      <c r="D196" s="199" t="n"/>
      <c r="E196" s="199" t="n"/>
      <c r="F196" s="199" t="n"/>
      <c r="G196" s="199" t="n"/>
      <c r="H196" s="199" t="n"/>
      <c r="I196" s="199" t="n"/>
      <c r="J196" s="199" t="n"/>
      <c r="K196" s="199" t="n"/>
      <c r="L196" s="199" t="n"/>
      <c r="M196" s="199" t="n"/>
      <c r="N196" s="199" t="n"/>
      <c r="O196" s="199" t="n"/>
      <c r="P196" s="199" t="n"/>
      <c r="Q196" s="199" t="n"/>
      <c r="R196" s="199" t="n"/>
      <c r="S196" s="199" t="n"/>
      <c r="T196" s="199" t="n"/>
      <c r="U196" s="199" t="n"/>
      <c r="V196" s="199" t="n"/>
      <c r="W196" s="199" t="n"/>
      <c r="X196" s="199" t="n"/>
      <c r="Y196" s="199" t="n"/>
      <c r="Z196" s="202">
        <f>sum(T196:X196)</f>
        <v/>
      </c>
      <c r="AA196" s="203">
        <f>sum(Z196/Y196)*100%</f>
        <v/>
      </c>
    </row>
    <row r="197" ht="15.75" customHeight="1" s="205">
      <c r="A197" s="199" t="n"/>
      <c r="B197" s="200" t="n"/>
      <c r="C197" s="201" t="n"/>
      <c r="D197" s="199" t="n"/>
      <c r="E197" s="199" t="n"/>
      <c r="F197" s="199" t="n"/>
      <c r="G197" s="199" t="n"/>
      <c r="H197" s="199" t="n"/>
      <c r="I197" s="201" t="n"/>
      <c r="J197" s="201" t="n"/>
      <c r="K197" s="201" t="n"/>
      <c r="L197" s="201" t="n"/>
      <c r="M197" s="201" t="n"/>
      <c r="N197" s="201" t="n"/>
      <c r="O197" s="199" t="n"/>
      <c r="P197" s="201" t="n"/>
      <c r="Q197" s="201" t="n"/>
      <c r="R197" s="201" t="n"/>
      <c r="S197" s="201" t="n"/>
      <c r="T197" s="201" t="n"/>
      <c r="U197" s="201" t="n"/>
      <c r="V197" s="201" t="n"/>
      <c r="W197" s="201" t="n"/>
      <c r="X197" s="201" t="n"/>
      <c r="Y197" s="201" t="n"/>
      <c r="Z197" s="202">
        <f>sum(T197:X197)</f>
        <v/>
      </c>
      <c r="AA197" s="203">
        <f>sum(Z197/Y197)*100%</f>
        <v/>
      </c>
    </row>
    <row r="198" ht="15.75" customHeight="1" s="205">
      <c r="A198" s="199" t="n"/>
      <c r="B198" s="204" t="n"/>
      <c r="C198" s="199" t="n"/>
      <c r="D198" s="199" t="n"/>
      <c r="E198" s="199" t="n"/>
      <c r="F198" s="199" t="n"/>
      <c r="G198" s="199" t="n"/>
      <c r="H198" s="199" t="n"/>
      <c r="I198" s="199" t="n"/>
      <c r="J198" s="199" t="n"/>
      <c r="K198" s="199" t="n"/>
      <c r="L198" s="199" t="n"/>
      <c r="M198" s="199" t="n"/>
      <c r="N198" s="199" t="n"/>
      <c r="O198" s="199" t="n"/>
      <c r="P198" s="199" t="n"/>
      <c r="Q198" s="199" t="n"/>
      <c r="R198" s="199" t="n"/>
      <c r="S198" s="199" t="n"/>
      <c r="T198" s="199" t="n"/>
      <c r="U198" s="199" t="n"/>
      <c r="V198" s="199" t="n"/>
      <c r="W198" s="199" t="n"/>
      <c r="X198" s="199" t="n"/>
      <c r="Y198" s="199" t="n"/>
      <c r="Z198" s="202">
        <f>sum(T198:X198)</f>
        <v/>
      </c>
      <c r="AA198" s="203">
        <f>sum(Z198/Y198)*100%</f>
        <v/>
      </c>
    </row>
    <row r="199" ht="15.75" customHeight="1" s="205">
      <c r="A199" s="199" t="n"/>
      <c r="B199" s="200" t="n"/>
      <c r="C199" s="201" t="n"/>
      <c r="D199" s="199" t="n"/>
      <c r="E199" s="199" t="n"/>
      <c r="F199" s="199" t="n"/>
      <c r="G199" s="199" t="n"/>
      <c r="H199" s="199" t="n"/>
      <c r="I199" s="201" t="n"/>
      <c r="J199" s="201" t="n"/>
      <c r="K199" s="201" t="n"/>
      <c r="L199" s="201" t="n"/>
      <c r="M199" s="201" t="n"/>
      <c r="N199" s="201" t="n"/>
      <c r="O199" s="199" t="n"/>
      <c r="P199" s="201" t="n"/>
      <c r="Q199" s="201" t="n"/>
      <c r="R199" s="201" t="n"/>
      <c r="S199" s="201" t="n"/>
      <c r="T199" s="201" t="n"/>
      <c r="U199" s="201" t="n"/>
      <c r="V199" s="201" t="n"/>
      <c r="W199" s="201" t="n"/>
      <c r="X199" s="201" t="n"/>
      <c r="Y199" s="201" t="n"/>
      <c r="Z199" s="202">
        <f>sum(T199:X199)</f>
        <v/>
      </c>
      <c r="AA199" s="203">
        <f>sum(Z199/Y199)*100%</f>
        <v/>
      </c>
    </row>
    <row r="200" ht="15.75" customHeight="1" s="205">
      <c r="A200" s="199" t="n"/>
      <c r="B200" s="204" t="n"/>
      <c r="C200" s="199" t="n"/>
      <c r="D200" s="199" t="n"/>
      <c r="E200" s="199" t="n"/>
      <c r="F200" s="199" t="n"/>
      <c r="G200" s="199" t="n"/>
      <c r="H200" s="199" t="n"/>
      <c r="I200" s="199" t="n"/>
      <c r="J200" s="199" t="n"/>
      <c r="K200" s="199" t="n"/>
      <c r="L200" s="199" t="n"/>
      <c r="M200" s="199" t="n"/>
      <c r="N200" s="199" t="n"/>
      <c r="O200" s="199" t="n"/>
      <c r="P200" s="199" t="n"/>
      <c r="Q200" s="199" t="n"/>
      <c r="R200" s="199" t="n"/>
      <c r="S200" s="199" t="n"/>
      <c r="T200" s="199" t="n"/>
      <c r="U200" s="199" t="n"/>
      <c r="V200" s="199" t="n"/>
      <c r="W200" s="199" t="n"/>
      <c r="X200" s="199" t="n"/>
      <c r="Y200" s="199" t="n"/>
      <c r="Z200" s="202">
        <f>sum(T200:X200)</f>
        <v/>
      </c>
      <c r="AA200" s="203">
        <f>sum(Z200/Y200)*100%</f>
        <v/>
      </c>
    </row>
    <row r="201" ht="15.75" customHeight="1" s="205">
      <c r="A201" s="199" t="n"/>
      <c r="B201" s="200" t="n"/>
      <c r="C201" s="201" t="n"/>
      <c r="D201" s="199" t="n"/>
      <c r="E201" s="199" t="n"/>
      <c r="F201" s="199" t="n"/>
      <c r="G201" s="199" t="n"/>
      <c r="H201" s="199" t="n"/>
      <c r="I201" s="201" t="n"/>
      <c r="J201" s="201" t="n"/>
      <c r="K201" s="201" t="n"/>
      <c r="L201" s="201" t="n"/>
      <c r="M201" s="201" t="n"/>
      <c r="N201" s="201" t="n"/>
      <c r="O201" s="199" t="n"/>
      <c r="P201" s="201" t="n"/>
      <c r="Q201" s="201" t="n"/>
      <c r="R201" s="201" t="n"/>
      <c r="S201" s="201" t="n"/>
      <c r="T201" s="201" t="n"/>
      <c r="U201" s="201" t="n"/>
      <c r="V201" s="201" t="n"/>
      <c r="W201" s="201" t="n"/>
      <c r="X201" s="201" t="n"/>
      <c r="Y201" s="201" t="n"/>
      <c r="Z201" s="202">
        <f>sum(T201:X201)</f>
        <v/>
      </c>
      <c r="AA201" s="203">
        <f>sum(Z201/Y201)*100%</f>
        <v/>
      </c>
    </row>
    <row r="202" ht="15.75" customHeight="1" s="205">
      <c r="A202" s="199" t="n"/>
      <c r="B202" s="204" t="n"/>
      <c r="C202" s="199" t="n"/>
      <c r="D202" s="199" t="n"/>
      <c r="E202" s="199" t="n"/>
      <c r="F202" s="199" t="n"/>
      <c r="G202" s="199" t="n"/>
      <c r="H202" s="199" t="n"/>
      <c r="I202" s="199" t="n"/>
      <c r="J202" s="199" t="n"/>
      <c r="K202" s="199" t="n"/>
      <c r="L202" s="199" t="n"/>
      <c r="M202" s="199" t="n"/>
      <c r="N202" s="199" t="n"/>
      <c r="O202" s="199" t="n"/>
      <c r="P202" s="199" t="n"/>
      <c r="Q202" s="199" t="n"/>
      <c r="R202" s="199" t="n"/>
      <c r="S202" s="199" t="n"/>
      <c r="T202" s="199" t="n"/>
      <c r="U202" s="199" t="n"/>
      <c r="V202" s="199" t="n"/>
      <c r="W202" s="199" t="n"/>
      <c r="X202" s="199" t="n"/>
      <c r="Y202" s="199" t="n"/>
      <c r="Z202" s="202">
        <f>sum(T202:X202)</f>
        <v/>
      </c>
      <c r="AA202" s="203">
        <f>sum(Z202/Y202)*100%</f>
        <v/>
      </c>
    </row>
    <row r="203" ht="15.75" customHeight="1" s="205">
      <c r="A203" s="199" t="n"/>
      <c r="B203" s="200" t="n"/>
      <c r="C203" s="201" t="n"/>
      <c r="D203" s="199" t="n"/>
      <c r="E203" s="199" t="n"/>
      <c r="F203" s="199" t="n"/>
      <c r="G203" s="199" t="n"/>
      <c r="H203" s="199" t="n"/>
      <c r="I203" s="201" t="n"/>
      <c r="J203" s="201" t="n"/>
      <c r="K203" s="201" t="n"/>
      <c r="L203" s="201" t="n"/>
      <c r="M203" s="201" t="n"/>
      <c r="N203" s="201" t="n"/>
      <c r="O203" s="199" t="n"/>
      <c r="P203" s="201" t="n"/>
      <c r="Q203" s="201" t="n"/>
      <c r="R203" s="201" t="n"/>
      <c r="S203" s="201" t="n"/>
      <c r="T203" s="201" t="n"/>
      <c r="U203" s="201" t="n"/>
      <c r="V203" s="201" t="n"/>
      <c r="W203" s="201" t="n"/>
      <c r="X203" s="201" t="n"/>
      <c r="Y203" s="201" t="n"/>
      <c r="Z203" s="202">
        <f>sum(T203:X203)</f>
        <v/>
      </c>
      <c r="AA203" s="203">
        <f>sum(Z203/Y203)*100%</f>
        <v/>
      </c>
    </row>
    <row r="204" ht="15.75" customHeight="1" s="205">
      <c r="A204" s="199" t="n"/>
      <c r="B204" s="204" t="n"/>
      <c r="C204" s="199" t="n"/>
      <c r="D204" s="199" t="n"/>
      <c r="E204" s="199" t="n"/>
      <c r="F204" s="199" t="n"/>
      <c r="G204" s="199" t="n"/>
      <c r="H204" s="199" t="n"/>
      <c r="I204" s="199" t="n"/>
      <c r="J204" s="199" t="n"/>
      <c r="K204" s="199" t="n"/>
      <c r="L204" s="199" t="n"/>
      <c r="M204" s="199" t="n"/>
      <c r="N204" s="199" t="n"/>
      <c r="O204" s="199" t="n"/>
      <c r="P204" s="199" t="n"/>
      <c r="Q204" s="199" t="n"/>
      <c r="R204" s="199" t="n"/>
      <c r="S204" s="199" t="n"/>
      <c r="T204" s="199" t="n"/>
      <c r="U204" s="199" t="n"/>
      <c r="V204" s="199" t="n"/>
      <c r="W204" s="199" t="n"/>
      <c r="X204" s="199" t="n"/>
      <c r="Y204" s="199" t="n"/>
      <c r="Z204" s="202">
        <f>sum(T204:X204)</f>
        <v/>
      </c>
      <c r="AA204" s="203">
        <f>sum(Z204/Y204)*100%</f>
        <v/>
      </c>
    </row>
    <row r="205" ht="15.75" customHeight="1" s="205">
      <c r="A205" s="199" t="n"/>
      <c r="B205" s="200" t="n"/>
      <c r="C205" s="201" t="n"/>
      <c r="D205" s="199" t="n"/>
      <c r="E205" s="199" t="n"/>
      <c r="F205" s="199" t="n"/>
      <c r="G205" s="199" t="n"/>
      <c r="H205" s="199" t="n"/>
      <c r="I205" s="201" t="n"/>
      <c r="J205" s="201" t="n"/>
      <c r="K205" s="201" t="n"/>
      <c r="L205" s="201" t="n"/>
      <c r="M205" s="201" t="n"/>
      <c r="N205" s="201" t="n"/>
      <c r="O205" s="199" t="n"/>
      <c r="P205" s="201" t="n"/>
      <c r="Q205" s="201" t="n"/>
      <c r="R205" s="201" t="n"/>
      <c r="S205" s="201" t="n"/>
      <c r="T205" s="201" t="n"/>
      <c r="U205" s="201" t="n"/>
      <c r="V205" s="201" t="n"/>
      <c r="W205" s="201" t="n"/>
      <c r="X205" s="201" t="n"/>
      <c r="Y205" s="201" t="n"/>
      <c r="Z205" s="202">
        <f>sum(T205:X205)</f>
        <v/>
      </c>
      <c r="AA205" s="203">
        <f>sum(Z205/Y205)*100%</f>
        <v/>
      </c>
    </row>
    <row r="206" ht="15.75" customHeight="1" s="205">
      <c r="A206" s="199" t="n"/>
      <c r="B206" s="204" t="n"/>
      <c r="C206" s="199" t="n"/>
      <c r="D206" s="199" t="n"/>
      <c r="E206" s="199" t="n"/>
      <c r="F206" s="199" t="n"/>
      <c r="G206" s="199" t="n"/>
      <c r="H206" s="199" t="n"/>
      <c r="I206" s="199" t="n"/>
      <c r="J206" s="199" t="n"/>
      <c r="K206" s="199" t="n"/>
      <c r="L206" s="199" t="n"/>
      <c r="M206" s="199" t="n"/>
      <c r="N206" s="199" t="n"/>
      <c r="O206" s="199" t="n"/>
      <c r="P206" s="199" t="n"/>
      <c r="Q206" s="199" t="n"/>
      <c r="R206" s="199" t="n"/>
      <c r="S206" s="199" t="n"/>
      <c r="T206" s="199" t="n"/>
      <c r="U206" s="199" t="n"/>
      <c r="V206" s="199" t="n"/>
      <c r="W206" s="199" t="n"/>
      <c r="X206" s="199" t="n"/>
      <c r="Y206" s="199" t="n"/>
      <c r="Z206" s="202">
        <f>sum(T206:X206)</f>
        <v/>
      </c>
      <c r="AA206" s="203">
        <f>sum(Z206/Y206)*100%</f>
        <v/>
      </c>
    </row>
    <row r="207" ht="15.75" customHeight="1" s="205">
      <c r="A207" s="199" t="n"/>
      <c r="B207" s="200" t="n"/>
      <c r="C207" s="201" t="n"/>
      <c r="D207" s="199" t="n"/>
      <c r="E207" s="199" t="n"/>
      <c r="F207" s="199" t="n"/>
      <c r="G207" s="199" t="n"/>
      <c r="H207" s="199" t="n"/>
      <c r="I207" s="201" t="n"/>
      <c r="J207" s="201" t="n"/>
      <c r="K207" s="201" t="n"/>
      <c r="L207" s="201" t="n"/>
      <c r="M207" s="201" t="n"/>
      <c r="N207" s="201" t="n"/>
      <c r="O207" s="199" t="n"/>
      <c r="P207" s="201" t="n"/>
      <c r="Q207" s="201" t="n"/>
      <c r="R207" s="201" t="n"/>
      <c r="S207" s="201" t="n"/>
      <c r="T207" s="201" t="n"/>
      <c r="U207" s="201" t="n"/>
      <c r="V207" s="201" t="n"/>
      <c r="W207" s="201" t="n"/>
      <c r="X207" s="201" t="n"/>
      <c r="Y207" s="201" t="n"/>
      <c r="Z207" s="202">
        <f>sum(T207:X207)</f>
        <v/>
      </c>
      <c r="AA207" s="203">
        <f>sum(Z207/Y207)*100%</f>
        <v/>
      </c>
    </row>
    <row r="208" ht="15.75" customHeight="1" s="205">
      <c r="A208" s="199" t="n"/>
      <c r="B208" s="204" t="n"/>
      <c r="C208" s="199" t="n"/>
      <c r="D208" s="199" t="n"/>
      <c r="E208" s="199" t="n"/>
      <c r="F208" s="199" t="n"/>
      <c r="G208" s="199" t="n"/>
      <c r="H208" s="199" t="n"/>
      <c r="I208" s="199" t="n"/>
      <c r="J208" s="199" t="n"/>
      <c r="K208" s="199" t="n"/>
      <c r="L208" s="199" t="n"/>
      <c r="M208" s="199" t="n"/>
      <c r="N208" s="199" t="n"/>
      <c r="O208" s="199" t="n"/>
      <c r="P208" s="199" t="n"/>
      <c r="Q208" s="199" t="n"/>
      <c r="R208" s="199" t="n"/>
      <c r="S208" s="199" t="n"/>
      <c r="T208" s="199" t="n"/>
      <c r="U208" s="199" t="n"/>
      <c r="V208" s="199" t="n"/>
      <c r="W208" s="199" t="n"/>
      <c r="X208" s="199" t="n"/>
      <c r="Y208" s="199" t="n"/>
      <c r="Z208" s="202">
        <f>sum(T208:X208)</f>
        <v/>
      </c>
      <c r="AA208" s="203">
        <f>sum(Z208/Y208)*100%</f>
        <v/>
      </c>
    </row>
    <row r="209" ht="15.75" customHeight="1" s="205">
      <c r="A209" s="199" t="n"/>
      <c r="B209" s="200" t="n"/>
      <c r="C209" s="201" t="n"/>
      <c r="D209" s="199" t="n"/>
      <c r="E209" s="199" t="n"/>
      <c r="F209" s="199" t="n"/>
      <c r="G209" s="199" t="n"/>
      <c r="H209" s="199" t="n"/>
      <c r="I209" s="201" t="n"/>
      <c r="J209" s="201" t="n"/>
      <c r="K209" s="201" t="n"/>
      <c r="L209" s="201" t="n"/>
      <c r="M209" s="201" t="n"/>
      <c r="N209" s="201" t="n"/>
      <c r="O209" s="199" t="n"/>
      <c r="P209" s="201" t="n"/>
      <c r="Q209" s="201" t="n"/>
      <c r="R209" s="201" t="n"/>
      <c r="S209" s="201" t="n"/>
      <c r="T209" s="201" t="n"/>
      <c r="U209" s="201" t="n"/>
      <c r="V209" s="201" t="n"/>
      <c r="W209" s="201" t="n"/>
      <c r="X209" s="201" t="n"/>
      <c r="Y209" s="201" t="n"/>
      <c r="Z209" s="202">
        <f>sum(T209:X209)</f>
        <v/>
      </c>
      <c r="AA209" s="203">
        <f>sum(Z209/Y209)*100%</f>
        <v/>
      </c>
    </row>
    <row r="210" ht="15.75" customHeight="1" s="205">
      <c r="A210" s="199" t="n"/>
      <c r="B210" s="204" t="n"/>
      <c r="C210" s="199" t="n"/>
      <c r="D210" s="199" t="n"/>
      <c r="E210" s="199" t="n"/>
      <c r="F210" s="199" t="n"/>
      <c r="G210" s="199" t="n"/>
      <c r="H210" s="199" t="n"/>
      <c r="I210" s="199" t="n"/>
      <c r="J210" s="199" t="n"/>
      <c r="K210" s="199" t="n"/>
      <c r="L210" s="199" t="n"/>
      <c r="M210" s="199" t="n"/>
      <c r="N210" s="199" t="n"/>
      <c r="O210" s="199" t="n"/>
      <c r="P210" s="199" t="n"/>
      <c r="Q210" s="199" t="n"/>
      <c r="R210" s="199" t="n"/>
      <c r="S210" s="199" t="n"/>
      <c r="T210" s="199" t="n"/>
      <c r="U210" s="199" t="n"/>
      <c r="V210" s="199" t="n"/>
      <c r="W210" s="199" t="n"/>
      <c r="X210" s="199" t="n"/>
      <c r="Y210" s="199" t="n"/>
      <c r="Z210" s="202">
        <f>sum(T210:X210)</f>
        <v/>
      </c>
      <c r="AA210" s="203">
        <f>sum(Z210/Y210)*100%</f>
        <v/>
      </c>
    </row>
    <row r="211" ht="15.75" customHeight="1" s="205">
      <c r="A211" s="199" t="n"/>
      <c r="B211" s="200" t="n"/>
      <c r="C211" s="201" t="n"/>
      <c r="D211" s="199" t="n"/>
      <c r="E211" s="199" t="n"/>
      <c r="F211" s="199" t="n"/>
      <c r="G211" s="199" t="n"/>
      <c r="H211" s="199" t="n"/>
      <c r="I211" s="201" t="n"/>
      <c r="J211" s="201" t="n"/>
      <c r="K211" s="201" t="n"/>
      <c r="L211" s="201" t="n"/>
      <c r="M211" s="201" t="n"/>
      <c r="N211" s="201" t="n"/>
      <c r="O211" s="199" t="n"/>
      <c r="P211" s="201" t="n"/>
      <c r="Q211" s="201" t="n"/>
      <c r="R211" s="201" t="n"/>
      <c r="S211" s="201" t="n"/>
      <c r="T211" s="201" t="n"/>
      <c r="U211" s="201" t="n"/>
      <c r="V211" s="201" t="n"/>
      <c r="W211" s="201" t="n"/>
      <c r="X211" s="201" t="n"/>
      <c r="Y211" s="201" t="n"/>
      <c r="Z211" s="202">
        <f>sum(T211:X211)</f>
        <v/>
      </c>
      <c r="AA211" s="203">
        <f>sum(Z211/Y211)*100%</f>
        <v/>
      </c>
    </row>
    <row r="212" ht="15.75" customHeight="1" s="205">
      <c r="A212" s="199" t="n"/>
      <c r="B212" s="204" t="n"/>
      <c r="C212" s="199" t="n"/>
      <c r="D212" s="199" t="n"/>
      <c r="E212" s="199" t="n"/>
      <c r="F212" s="199" t="n"/>
      <c r="G212" s="199" t="n"/>
      <c r="H212" s="199" t="n"/>
      <c r="I212" s="199" t="n"/>
      <c r="J212" s="199" t="n"/>
      <c r="K212" s="199" t="n"/>
      <c r="L212" s="199" t="n"/>
      <c r="M212" s="199" t="n"/>
      <c r="N212" s="199" t="n"/>
      <c r="O212" s="199" t="n"/>
      <c r="P212" s="199" t="n"/>
      <c r="Q212" s="199" t="n"/>
      <c r="R212" s="199" t="n"/>
      <c r="S212" s="199" t="n"/>
      <c r="T212" s="199" t="n"/>
      <c r="U212" s="199" t="n"/>
      <c r="V212" s="199" t="n"/>
      <c r="W212" s="199" t="n"/>
      <c r="X212" s="199" t="n"/>
      <c r="Y212" s="199" t="n"/>
      <c r="Z212" s="202">
        <f>sum(T212:X212)</f>
        <v/>
      </c>
      <c r="AA212" s="203">
        <f>sum(Z212/Y212)*100%</f>
        <v/>
      </c>
    </row>
    <row r="213" ht="15.75" customHeight="1" s="205">
      <c r="A213" s="199" t="n"/>
      <c r="B213" s="200" t="n"/>
      <c r="C213" s="201" t="n"/>
      <c r="D213" s="199" t="n"/>
      <c r="E213" s="199" t="n"/>
      <c r="F213" s="199" t="n"/>
      <c r="G213" s="199" t="n"/>
      <c r="H213" s="199" t="n"/>
      <c r="I213" s="201" t="n"/>
      <c r="J213" s="201" t="n"/>
      <c r="K213" s="201" t="n"/>
      <c r="L213" s="201" t="n"/>
      <c r="M213" s="201" t="n"/>
      <c r="N213" s="201" t="n"/>
      <c r="O213" s="199" t="n"/>
      <c r="P213" s="201" t="n"/>
      <c r="Q213" s="201" t="n"/>
      <c r="R213" s="201" t="n"/>
      <c r="S213" s="201" t="n"/>
      <c r="T213" s="201" t="n"/>
      <c r="U213" s="201" t="n"/>
      <c r="V213" s="201" t="n"/>
      <c r="W213" s="201" t="n"/>
      <c r="X213" s="201" t="n"/>
      <c r="Y213" s="201" t="n"/>
      <c r="Z213" s="202">
        <f>sum(T213:X213)</f>
        <v/>
      </c>
      <c r="AA213" s="203">
        <f>sum(Z213/Y213)*100%</f>
        <v/>
      </c>
    </row>
    <row r="214" ht="15.75" customHeight="1" s="205">
      <c r="A214" s="199" t="n"/>
      <c r="B214" s="204" t="n"/>
      <c r="C214" s="199" t="n"/>
      <c r="D214" s="199" t="n"/>
      <c r="E214" s="199" t="n"/>
      <c r="F214" s="199" t="n"/>
      <c r="G214" s="199" t="n"/>
      <c r="H214" s="199" t="n"/>
      <c r="I214" s="199" t="n"/>
      <c r="J214" s="199" t="n"/>
      <c r="K214" s="199" t="n"/>
      <c r="L214" s="199" t="n"/>
      <c r="M214" s="199" t="n"/>
      <c r="N214" s="199" t="n"/>
      <c r="O214" s="199" t="n"/>
      <c r="P214" s="199" t="n"/>
      <c r="Q214" s="199" t="n"/>
      <c r="R214" s="199" t="n"/>
      <c r="S214" s="199" t="n"/>
      <c r="T214" s="199" t="n"/>
      <c r="U214" s="199" t="n"/>
      <c r="V214" s="199" t="n"/>
      <c r="W214" s="199" t="n"/>
      <c r="X214" s="199" t="n"/>
      <c r="Y214" s="199" t="n"/>
      <c r="Z214" s="202">
        <f>sum(T214:X214)</f>
        <v/>
      </c>
      <c r="AA214" s="203">
        <f>sum(Z214/Y214)*100%</f>
        <v/>
      </c>
    </row>
    <row r="215" ht="15.75" customHeight="1" s="205">
      <c r="A215" s="199" t="n"/>
      <c r="B215" s="200" t="n"/>
      <c r="C215" s="201" t="n"/>
      <c r="D215" s="199" t="n"/>
      <c r="E215" s="199" t="n"/>
      <c r="F215" s="199" t="n"/>
      <c r="G215" s="199" t="n"/>
      <c r="H215" s="199" t="n"/>
      <c r="I215" s="201" t="n"/>
      <c r="J215" s="201" t="n"/>
      <c r="K215" s="201" t="n"/>
      <c r="L215" s="201" t="n"/>
      <c r="M215" s="201" t="n"/>
      <c r="N215" s="201" t="n"/>
      <c r="O215" s="199" t="n"/>
      <c r="P215" s="201" t="n"/>
      <c r="Q215" s="201" t="n"/>
      <c r="R215" s="201" t="n"/>
      <c r="S215" s="201" t="n"/>
      <c r="T215" s="201" t="n"/>
      <c r="U215" s="201" t="n"/>
      <c r="V215" s="201" t="n"/>
      <c r="W215" s="201" t="n"/>
      <c r="X215" s="201" t="n"/>
      <c r="Y215" s="201" t="n"/>
      <c r="Z215" s="202">
        <f>sum(T215:X215)</f>
        <v/>
      </c>
      <c r="AA215" s="203">
        <f>sum(Z215/Y215)*100%</f>
        <v/>
      </c>
    </row>
    <row r="216" ht="15.75" customHeight="1" s="205">
      <c r="A216" s="199" t="n"/>
      <c r="B216" s="204" t="n"/>
      <c r="C216" s="199" t="n"/>
      <c r="D216" s="199" t="n"/>
      <c r="E216" s="199" t="n"/>
      <c r="F216" s="199" t="n"/>
      <c r="G216" s="199" t="n"/>
      <c r="H216" s="199" t="n"/>
      <c r="I216" s="199" t="n"/>
      <c r="J216" s="199" t="n"/>
      <c r="K216" s="199" t="n"/>
      <c r="L216" s="199" t="n"/>
      <c r="M216" s="199" t="n"/>
      <c r="N216" s="199" t="n"/>
      <c r="O216" s="199" t="n"/>
      <c r="P216" s="199" t="n"/>
      <c r="Q216" s="199" t="n"/>
      <c r="R216" s="199" t="n"/>
      <c r="S216" s="199" t="n"/>
      <c r="T216" s="199" t="n"/>
      <c r="U216" s="199" t="n"/>
      <c r="V216" s="199" t="n"/>
      <c r="W216" s="199" t="n"/>
      <c r="X216" s="199" t="n"/>
      <c r="Y216" s="199" t="n"/>
      <c r="Z216" s="202">
        <f>sum(T216:X216)</f>
        <v/>
      </c>
      <c r="AA216" s="203">
        <f>sum(Z216/Y216)*100%</f>
        <v/>
      </c>
    </row>
    <row r="217" ht="15.75" customHeight="1" s="205">
      <c r="A217" s="199" t="n"/>
      <c r="B217" s="200" t="n"/>
      <c r="C217" s="201" t="n"/>
      <c r="D217" s="199" t="n"/>
      <c r="E217" s="199" t="n"/>
      <c r="F217" s="199" t="n"/>
      <c r="G217" s="199" t="n"/>
      <c r="H217" s="199" t="n"/>
      <c r="I217" s="201" t="n"/>
      <c r="J217" s="201" t="n"/>
      <c r="K217" s="201" t="n"/>
      <c r="L217" s="201" t="n"/>
      <c r="M217" s="201" t="n"/>
      <c r="N217" s="201" t="n"/>
      <c r="O217" s="199" t="n"/>
      <c r="P217" s="201" t="n"/>
      <c r="Q217" s="201" t="n"/>
      <c r="R217" s="201" t="n"/>
      <c r="S217" s="201" t="n"/>
      <c r="T217" s="201" t="n"/>
      <c r="U217" s="201" t="n"/>
      <c r="V217" s="201" t="n"/>
      <c r="W217" s="201" t="n"/>
      <c r="X217" s="201" t="n"/>
      <c r="Y217" s="201" t="n"/>
      <c r="Z217" s="202">
        <f>sum(T217:X217)</f>
        <v/>
      </c>
      <c r="AA217" s="203">
        <f>sum(Z217/Y217)*100%</f>
        <v/>
      </c>
    </row>
    <row r="218" ht="15.75" customHeight="1" s="205">
      <c r="A218" s="199" t="n"/>
      <c r="B218" s="204" t="n"/>
      <c r="C218" s="199" t="n"/>
      <c r="D218" s="199" t="n"/>
      <c r="E218" s="199" t="n"/>
      <c r="F218" s="199" t="n"/>
      <c r="G218" s="199" t="n"/>
      <c r="H218" s="199" t="n"/>
      <c r="I218" s="199" t="n"/>
      <c r="J218" s="199" t="n"/>
      <c r="K218" s="199" t="n"/>
      <c r="L218" s="199" t="n"/>
      <c r="M218" s="199" t="n"/>
      <c r="N218" s="199" t="n"/>
      <c r="O218" s="199" t="n"/>
      <c r="P218" s="199" t="n"/>
      <c r="Q218" s="199" t="n"/>
      <c r="R218" s="199" t="n"/>
      <c r="S218" s="199" t="n"/>
      <c r="T218" s="199" t="n"/>
      <c r="U218" s="199" t="n"/>
      <c r="V218" s="199" t="n"/>
      <c r="W218" s="199" t="n"/>
      <c r="X218" s="199" t="n"/>
      <c r="Y218" s="199" t="n"/>
      <c r="Z218" s="202">
        <f>sum(T218:X218)</f>
        <v/>
      </c>
      <c r="AA218" s="203">
        <f>sum(Z218/Y218)*100%</f>
        <v/>
      </c>
    </row>
    <row r="219" ht="15.75" customHeight="1" s="205">
      <c r="A219" s="199" t="n"/>
      <c r="B219" s="200" t="n"/>
      <c r="C219" s="201" t="n"/>
      <c r="D219" s="199" t="n"/>
      <c r="E219" s="199" t="n"/>
      <c r="F219" s="199" t="n"/>
      <c r="G219" s="199" t="n"/>
      <c r="H219" s="199" t="n"/>
      <c r="I219" s="201" t="n"/>
      <c r="J219" s="201" t="n"/>
      <c r="K219" s="201" t="n"/>
      <c r="L219" s="201" t="n"/>
      <c r="M219" s="201" t="n"/>
      <c r="N219" s="201" t="n"/>
      <c r="O219" s="199" t="n"/>
      <c r="P219" s="201" t="n"/>
      <c r="Q219" s="201" t="n"/>
      <c r="R219" s="201" t="n"/>
      <c r="S219" s="201" t="n"/>
      <c r="T219" s="201" t="n"/>
      <c r="U219" s="201" t="n"/>
      <c r="V219" s="201" t="n"/>
      <c r="W219" s="201" t="n"/>
      <c r="X219" s="201" t="n"/>
      <c r="Y219" s="201" t="n"/>
      <c r="Z219" s="202">
        <f>sum(T219:X219)</f>
        <v/>
      </c>
      <c r="AA219" s="203">
        <f>sum(Z219/Y219)*100%</f>
        <v/>
      </c>
    </row>
    <row r="220" ht="15.75" customHeight="1" s="205">
      <c r="A220" s="199" t="n"/>
      <c r="B220" s="204" t="n"/>
      <c r="C220" s="199" t="n"/>
      <c r="D220" s="199" t="n"/>
      <c r="E220" s="199" t="n"/>
      <c r="F220" s="199" t="n"/>
      <c r="G220" s="199" t="n"/>
      <c r="H220" s="199" t="n"/>
      <c r="I220" s="199" t="n"/>
      <c r="J220" s="199" t="n"/>
      <c r="K220" s="199" t="n"/>
      <c r="L220" s="199" t="n"/>
      <c r="M220" s="199" t="n"/>
      <c r="N220" s="199" t="n"/>
      <c r="O220" s="199" t="n"/>
      <c r="P220" s="199" t="n"/>
      <c r="Q220" s="199" t="n"/>
      <c r="R220" s="199" t="n"/>
      <c r="S220" s="199" t="n"/>
      <c r="T220" s="199" t="n"/>
      <c r="U220" s="199" t="n"/>
      <c r="V220" s="199" t="n"/>
      <c r="W220" s="199" t="n"/>
      <c r="X220" s="199" t="n"/>
      <c r="Y220" s="199" t="n"/>
      <c r="Z220" s="202">
        <f>sum(T220:X220)</f>
        <v/>
      </c>
      <c r="AA220" s="203">
        <f>sum(Z220/Y220)*100%</f>
        <v/>
      </c>
    </row>
    <row r="221" ht="15.75" customHeight="1" s="205">
      <c r="A221" s="199" t="n"/>
      <c r="B221" s="200" t="n"/>
      <c r="C221" s="201" t="n"/>
      <c r="D221" s="199" t="n"/>
      <c r="E221" s="199" t="n"/>
      <c r="F221" s="199" t="n"/>
      <c r="G221" s="199" t="n"/>
      <c r="H221" s="199" t="n"/>
      <c r="I221" s="201" t="n"/>
      <c r="J221" s="201" t="n"/>
      <c r="K221" s="201" t="n"/>
      <c r="L221" s="201" t="n"/>
      <c r="M221" s="201" t="n"/>
      <c r="N221" s="201" t="n"/>
      <c r="O221" s="199" t="n"/>
      <c r="P221" s="201" t="n"/>
      <c r="Q221" s="201" t="n"/>
      <c r="R221" s="201" t="n"/>
      <c r="S221" s="201" t="n"/>
      <c r="T221" s="201" t="n"/>
      <c r="U221" s="201" t="n"/>
      <c r="V221" s="201" t="n"/>
      <c r="W221" s="201" t="n"/>
      <c r="X221" s="201" t="n"/>
      <c r="Y221" s="201" t="n"/>
      <c r="Z221" s="202">
        <f>sum(T221:X221)</f>
        <v/>
      </c>
      <c r="AA221" s="203">
        <f>sum(Z221/Y221)*100%</f>
        <v/>
      </c>
    </row>
    <row r="222" ht="15.75" customHeight="1" s="205">
      <c r="A222" s="199" t="n"/>
      <c r="B222" s="204" t="n"/>
      <c r="C222" s="199" t="n"/>
      <c r="D222" s="199" t="n"/>
      <c r="E222" s="199" t="n"/>
      <c r="F222" s="199" t="n"/>
      <c r="G222" s="199" t="n"/>
      <c r="H222" s="199" t="n"/>
      <c r="I222" s="199" t="n"/>
      <c r="J222" s="199" t="n"/>
      <c r="K222" s="199" t="n"/>
      <c r="L222" s="199" t="n"/>
      <c r="M222" s="199" t="n"/>
      <c r="N222" s="199" t="n"/>
      <c r="O222" s="199" t="n"/>
      <c r="P222" s="199" t="n"/>
      <c r="Q222" s="199" t="n"/>
      <c r="R222" s="199" t="n"/>
      <c r="S222" s="199" t="n"/>
      <c r="T222" s="199" t="n"/>
      <c r="U222" s="199" t="n"/>
      <c r="V222" s="199" t="n"/>
      <c r="W222" s="199" t="n"/>
      <c r="X222" s="199" t="n"/>
      <c r="Y222" s="199" t="n"/>
      <c r="Z222" s="202">
        <f>sum(T222:X222)</f>
        <v/>
      </c>
      <c r="AA222" s="203">
        <f>sum(Z222/Y222)*100%</f>
        <v/>
      </c>
    </row>
    <row r="223" ht="15.75" customHeight="1" s="205">
      <c r="A223" s="199" t="n"/>
      <c r="B223" s="200" t="n"/>
      <c r="C223" s="201" t="n"/>
      <c r="D223" s="199" t="n"/>
      <c r="E223" s="199" t="n"/>
      <c r="F223" s="199" t="n"/>
      <c r="G223" s="199" t="n"/>
      <c r="H223" s="199" t="n"/>
      <c r="I223" s="201" t="n"/>
      <c r="J223" s="201" t="n"/>
      <c r="K223" s="201" t="n"/>
      <c r="L223" s="201" t="n"/>
      <c r="M223" s="201" t="n"/>
      <c r="N223" s="201" t="n"/>
      <c r="O223" s="199" t="n"/>
      <c r="P223" s="201" t="n"/>
      <c r="Q223" s="201" t="n"/>
      <c r="R223" s="201" t="n"/>
      <c r="S223" s="201" t="n"/>
      <c r="T223" s="201" t="n"/>
      <c r="U223" s="201" t="n"/>
      <c r="V223" s="201" t="n"/>
      <c r="W223" s="201" t="n"/>
      <c r="X223" s="201" t="n"/>
      <c r="Y223" s="201" t="n"/>
      <c r="Z223" s="202">
        <f>sum(T223:X223)</f>
        <v/>
      </c>
      <c r="AA223" s="203">
        <f>sum(Z223/Y223)*100%</f>
        <v/>
      </c>
    </row>
    <row r="224" ht="15.75" customHeight="1" s="205">
      <c r="A224" s="199" t="n"/>
      <c r="B224" s="204" t="n"/>
      <c r="C224" s="199" t="n"/>
      <c r="D224" s="199" t="n"/>
      <c r="E224" s="199" t="n"/>
      <c r="F224" s="199" t="n"/>
      <c r="G224" s="199" t="n"/>
      <c r="H224" s="199" t="n"/>
      <c r="I224" s="199" t="n"/>
      <c r="J224" s="199" t="n"/>
      <c r="K224" s="199" t="n"/>
      <c r="L224" s="199" t="n"/>
      <c r="M224" s="199" t="n"/>
      <c r="N224" s="199" t="n"/>
      <c r="O224" s="199" t="n"/>
      <c r="P224" s="199" t="n"/>
      <c r="Q224" s="199" t="n"/>
      <c r="R224" s="199" t="n"/>
      <c r="S224" s="199" t="n"/>
      <c r="T224" s="199" t="n"/>
      <c r="U224" s="199" t="n"/>
      <c r="V224" s="199" t="n"/>
      <c r="W224" s="199" t="n"/>
      <c r="X224" s="199" t="n"/>
      <c r="Y224" s="199" t="n"/>
      <c r="Z224" s="202">
        <f>sum(T224:X224)</f>
        <v/>
      </c>
      <c r="AA224" s="203">
        <f>sum(Z224/Y224)*100%</f>
        <v/>
      </c>
    </row>
    <row r="225" ht="15.75" customHeight="1" s="205">
      <c r="A225" s="199" t="n"/>
      <c r="B225" s="200" t="n"/>
      <c r="C225" s="201" t="n"/>
      <c r="D225" s="199" t="n"/>
      <c r="E225" s="199" t="n"/>
      <c r="F225" s="199" t="n"/>
      <c r="G225" s="199" t="n"/>
      <c r="H225" s="199" t="n"/>
      <c r="I225" s="201" t="n"/>
      <c r="J225" s="201" t="n"/>
      <c r="K225" s="201" t="n"/>
      <c r="L225" s="201" t="n"/>
      <c r="M225" s="201" t="n"/>
      <c r="N225" s="201" t="n"/>
      <c r="O225" s="199" t="n"/>
      <c r="P225" s="201" t="n"/>
      <c r="Q225" s="201" t="n"/>
      <c r="R225" s="201" t="n"/>
      <c r="S225" s="201" t="n"/>
      <c r="T225" s="201" t="n"/>
      <c r="U225" s="201" t="n"/>
      <c r="V225" s="201" t="n"/>
      <c r="W225" s="201" t="n"/>
      <c r="X225" s="201" t="n"/>
      <c r="Y225" s="201" t="n"/>
      <c r="Z225" s="202">
        <f>sum(T225:X225)</f>
        <v/>
      </c>
      <c r="AA225" s="203">
        <f>sum(Z225/Y225)*100%</f>
        <v/>
      </c>
    </row>
    <row r="226" ht="15.75" customHeight="1" s="205">
      <c r="A226" s="199" t="n"/>
      <c r="B226" s="204" t="n"/>
      <c r="C226" s="199" t="n"/>
      <c r="D226" s="199" t="n"/>
      <c r="E226" s="199" t="n"/>
      <c r="F226" s="199" t="n"/>
      <c r="G226" s="199" t="n"/>
      <c r="H226" s="199" t="n"/>
      <c r="I226" s="199" t="n"/>
      <c r="J226" s="199" t="n"/>
      <c r="K226" s="199" t="n"/>
      <c r="L226" s="199" t="n"/>
      <c r="M226" s="199" t="n"/>
      <c r="N226" s="199" t="n"/>
      <c r="O226" s="199" t="n"/>
      <c r="P226" s="199" t="n"/>
      <c r="Q226" s="199" t="n"/>
      <c r="R226" s="199" t="n"/>
      <c r="S226" s="199" t="n"/>
      <c r="T226" s="199" t="n"/>
      <c r="U226" s="199" t="n"/>
      <c r="V226" s="199" t="n"/>
      <c r="W226" s="199" t="n"/>
      <c r="X226" s="199" t="n"/>
      <c r="Y226" s="199" t="n"/>
      <c r="Z226" s="202">
        <f>sum(T226:X226)</f>
        <v/>
      </c>
      <c r="AA226" s="203">
        <f>sum(Z226/Y226)*100%</f>
        <v/>
      </c>
    </row>
    <row r="227" ht="15.75" customHeight="1" s="205">
      <c r="A227" s="199" t="n"/>
      <c r="B227" s="200" t="n"/>
      <c r="C227" s="201" t="n"/>
      <c r="D227" s="199" t="n"/>
      <c r="E227" s="199" t="n"/>
      <c r="F227" s="199" t="n"/>
      <c r="G227" s="199" t="n"/>
      <c r="H227" s="199" t="n"/>
      <c r="I227" s="201" t="n"/>
      <c r="J227" s="201" t="n"/>
      <c r="K227" s="201" t="n"/>
      <c r="L227" s="201" t="n"/>
      <c r="M227" s="201" t="n"/>
      <c r="N227" s="201" t="n"/>
      <c r="O227" s="199" t="n"/>
      <c r="P227" s="201" t="n"/>
      <c r="Q227" s="201" t="n"/>
      <c r="R227" s="201" t="n"/>
      <c r="S227" s="201" t="n"/>
      <c r="T227" s="201" t="n"/>
      <c r="U227" s="201" t="n"/>
      <c r="V227" s="201" t="n"/>
      <c r="W227" s="201" t="n"/>
      <c r="X227" s="201" t="n"/>
      <c r="Y227" s="201" t="n"/>
      <c r="Z227" s="202">
        <f>sum(T227:X227)</f>
        <v/>
      </c>
      <c r="AA227" s="203">
        <f>sum(Z227/Y227)*100%</f>
        <v/>
      </c>
    </row>
    <row r="228" ht="15.75" customHeight="1" s="205">
      <c r="A228" s="199" t="n"/>
      <c r="B228" s="204" t="n"/>
      <c r="C228" s="199" t="n"/>
      <c r="D228" s="199" t="n"/>
      <c r="E228" s="199" t="n"/>
      <c r="F228" s="199" t="n"/>
      <c r="G228" s="199" t="n"/>
      <c r="H228" s="199" t="n"/>
      <c r="I228" s="199" t="n"/>
      <c r="J228" s="199" t="n"/>
      <c r="K228" s="199" t="n"/>
      <c r="L228" s="199" t="n"/>
      <c r="M228" s="199" t="n"/>
      <c r="N228" s="199" t="n"/>
      <c r="O228" s="199" t="n"/>
      <c r="P228" s="199" t="n"/>
      <c r="Q228" s="199" t="n"/>
      <c r="R228" s="199" t="n"/>
      <c r="S228" s="199" t="n"/>
      <c r="T228" s="199" t="n"/>
      <c r="U228" s="199" t="n"/>
      <c r="V228" s="199" t="n"/>
      <c r="W228" s="199" t="n"/>
      <c r="X228" s="199" t="n"/>
      <c r="Y228" s="199" t="n"/>
      <c r="Z228" s="202">
        <f>sum(T228:X228)</f>
        <v/>
      </c>
      <c r="AA228" s="203">
        <f>sum(Z228/Y228)*100%</f>
        <v/>
      </c>
    </row>
    <row r="229" ht="15.75" customHeight="1" s="205">
      <c r="A229" s="199" t="n"/>
      <c r="B229" s="200" t="n"/>
      <c r="C229" s="201" t="n"/>
      <c r="D229" s="199" t="n"/>
      <c r="E229" s="199" t="n"/>
      <c r="F229" s="199" t="n"/>
      <c r="G229" s="199" t="n"/>
      <c r="H229" s="199" t="n"/>
      <c r="I229" s="201" t="n"/>
      <c r="J229" s="201" t="n"/>
      <c r="K229" s="201" t="n"/>
      <c r="L229" s="201" t="n"/>
      <c r="M229" s="201" t="n"/>
      <c r="N229" s="201" t="n"/>
      <c r="O229" s="199" t="n"/>
      <c r="P229" s="201" t="n"/>
      <c r="Q229" s="201" t="n"/>
      <c r="R229" s="201" t="n"/>
      <c r="S229" s="201" t="n"/>
      <c r="T229" s="201" t="n"/>
      <c r="U229" s="201" t="n"/>
      <c r="V229" s="201" t="n"/>
      <c r="W229" s="201" t="n"/>
      <c r="X229" s="201" t="n"/>
      <c r="Y229" s="201" t="n"/>
      <c r="Z229" s="202">
        <f>sum(T229:X229)</f>
        <v/>
      </c>
      <c r="AA229" s="203">
        <f>sum(Z229/Y229)*100%</f>
        <v/>
      </c>
    </row>
    <row r="230" ht="15.75" customHeight="1" s="205">
      <c r="A230" s="199" t="n"/>
      <c r="B230" s="204" t="n"/>
      <c r="C230" s="199" t="n"/>
      <c r="D230" s="199" t="n"/>
      <c r="E230" s="199" t="n"/>
      <c r="F230" s="199" t="n"/>
      <c r="G230" s="199" t="n"/>
      <c r="H230" s="199" t="n"/>
      <c r="I230" s="199" t="n"/>
      <c r="J230" s="199" t="n"/>
      <c r="K230" s="199" t="n"/>
      <c r="L230" s="199" t="n"/>
      <c r="M230" s="199" t="n"/>
      <c r="N230" s="199" t="n"/>
      <c r="O230" s="199" t="n"/>
      <c r="P230" s="199" t="n"/>
      <c r="Q230" s="199" t="n"/>
      <c r="R230" s="199" t="n"/>
      <c r="S230" s="199" t="n"/>
      <c r="T230" s="199" t="n"/>
      <c r="U230" s="199" t="n"/>
      <c r="V230" s="199" t="n"/>
      <c r="W230" s="199" t="n"/>
      <c r="X230" s="199" t="n"/>
      <c r="Y230" s="199" t="n"/>
      <c r="Z230" s="202">
        <f>sum(T230:X230)</f>
        <v/>
      </c>
      <c r="AA230" s="203">
        <f>sum(Z230/Y230)*100%</f>
        <v/>
      </c>
    </row>
    <row r="231" ht="15.75" customHeight="1" s="205">
      <c r="A231" s="199" t="n"/>
      <c r="B231" s="200" t="n"/>
      <c r="C231" s="201" t="n"/>
      <c r="D231" s="199" t="n"/>
      <c r="E231" s="199" t="n"/>
      <c r="F231" s="199" t="n"/>
      <c r="G231" s="199" t="n"/>
      <c r="H231" s="199" t="n"/>
      <c r="I231" s="201" t="n"/>
      <c r="J231" s="201" t="n"/>
      <c r="K231" s="201" t="n"/>
      <c r="L231" s="201" t="n"/>
      <c r="M231" s="201" t="n"/>
      <c r="N231" s="201" t="n"/>
      <c r="O231" s="199" t="n"/>
      <c r="P231" s="201" t="n"/>
      <c r="Q231" s="201" t="n"/>
      <c r="R231" s="201" t="n"/>
      <c r="S231" s="201" t="n"/>
      <c r="T231" s="201" t="n"/>
      <c r="U231" s="201" t="n"/>
      <c r="V231" s="201" t="n"/>
      <c r="W231" s="201" t="n"/>
      <c r="X231" s="201" t="n"/>
      <c r="Y231" s="201" t="n"/>
      <c r="Z231" s="202">
        <f>sum(T231:X231)</f>
        <v/>
      </c>
      <c r="AA231" s="203">
        <f>sum(Z231/Y231)*100%</f>
        <v/>
      </c>
    </row>
    <row r="232" ht="15.75" customHeight="1" s="205">
      <c r="A232" s="199" t="n"/>
      <c r="B232" s="204" t="n"/>
      <c r="C232" s="199" t="n"/>
      <c r="D232" s="199" t="n"/>
      <c r="E232" s="199" t="n"/>
      <c r="F232" s="199" t="n"/>
      <c r="G232" s="199" t="n"/>
      <c r="H232" s="199" t="n"/>
      <c r="I232" s="199" t="n"/>
      <c r="J232" s="199" t="n"/>
      <c r="K232" s="199" t="n"/>
      <c r="L232" s="199" t="n"/>
      <c r="M232" s="199" t="n"/>
      <c r="N232" s="199" t="n"/>
      <c r="O232" s="199" t="n"/>
      <c r="P232" s="199" t="n"/>
      <c r="Q232" s="199" t="n"/>
      <c r="R232" s="199" t="n"/>
      <c r="S232" s="199" t="n"/>
      <c r="T232" s="199" t="n"/>
      <c r="U232" s="199" t="n"/>
      <c r="V232" s="199" t="n"/>
      <c r="W232" s="199" t="n"/>
      <c r="X232" s="199" t="n"/>
      <c r="Y232" s="199" t="n"/>
      <c r="Z232" s="202">
        <f>sum(T232:X232)</f>
        <v/>
      </c>
      <c r="AA232" s="203">
        <f>sum(Z232/Y232)*100%</f>
        <v/>
      </c>
    </row>
    <row r="233" ht="15.75" customHeight="1" s="205">
      <c r="A233" s="199" t="n"/>
      <c r="B233" s="200" t="n"/>
      <c r="C233" s="201" t="n"/>
      <c r="D233" s="199" t="n"/>
      <c r="E233" s="199" t="n"/>
      <c r="F233" s="199" t="n"/>
      <c r="G233" s="199" t="n"/>
      <c r="H233" s="199" t="n"/>
      <c r="I233" s="201" t="n"/>
      <c r="J233" s="201" t="n"/>
      <c r="K233" s="201" t="n"/>
      <c r="L233" s="201" t="n"/>
      <c r="M233" s="201" t="n"/>
      <c r="N233" s="201" t="n"/>
      <c r="O233" s="199" t="n"/>
      <c r="P233" s="201" t="n"/>
      <c r="Q233" s="201" t="n"/>
      <c r="R233" s="201" t="n"/>
      <c r="S233" s="201" t="n"/>
      <c r="T233" s="201" t="n"/>
      <c r="U233" s="201" t="n"/>
      <c r="V233" s="201" t="n"/>
      <c r="W233" s="201" t="n"/>
      <c r="X233" s="201" t="n"/>
      <c r="Y233" s="201" t="n"/>
      <c r="Z233" s="202">
        <f>sum(T233:X233)</f>
        <v/>
      </c>
      <c r="AA233" s="203">
        <f>sum(Z233/Y233)*100%</f>
        <v/>
      </c>
    </row>
    <row r="234" ht="15.75" customHeight="1" s="205">
      <c r="A234" s="199" t="n"/>
      <c r="B234" s="204" t="n"/>
      <c r="C234" s="199" t="n"/>
      <c r="D234" s="199" t="n"/>
      <c r="E234" s="199" t="n"/>
      <c r="F234" s="199" t="n"/>
      <c r="G234" s="199" t="n"/>
      <c r="H234" s="199" t="n"/>
      <c r="I234" s="199" t="n"/>
      <c r="J234" s="199" t="n"/>
      <c r="K234" s="199" t="n"/>
      <c r="L234" s="199" t="n"/>
      <c r="M234" s="199" t="n"/>
      <c r="N234" s="199" t="n"/>
      <c r="O234" s="199" t="n"/>
      <c r="P234" s="199" t="n"/>
      <c r="Q234" s="199" t="n"/>
      <c r="R234" s="199" t="n"/>
      <c r="S234" s="199" t="n"/>
      <c r="T234" s="199" t="n"/>
      <c r="U234" s="199" t="n"/>
      <c r="V234" s="199" t="n"/>
      <c r="W234" s="199" t="n"/>
      <c r="X234" s="199" t="n"/>
      <c r="Y234" s="199" t="n"/>
      <c r="Z234" s="202">
        <f>sum(T234:X234)</f>
        <v/>
      </c>
      <c r="AA234" s="203">
        <f>sum(Z234/Y234)*100%</f>
        <v/>
      </c>
    </row>
    <row r="235" ht="15.75" customHeight="1" s="205">
      <c r="A235" s="199" t="n"/>
      <c r="B235" s="200" t="n"/>
      <c r="C235" s="201" t="n"/>
      <c r="D235" s="199" t="n"/>
      <c r="E235" s="199" t="n"/>
      <c r="F235" s="199" t="n"/>
      <c r="G235" s="199" t="n"/>
      <c r="H235" s="199" t="n"/>
      <c r="I235" s="201" t="n"/>
      <c r="J235" s="201" t="n"/>
      <c r="K235" s="201" t="n"/>
      <c r="L235" s="201" t="n"/>
      <c r="M235" s="201" t="n"/>
      <c r="N235" s="201" t="n"/>
      <c r="O235" s="199" t="n"/>
      <c r="P235" s="201" t="n"/>
      <c r="Q235" s="201" t="n"/>
      <c r="R235" s="201" t="n"/>
      <c r="S235" s="201" t="n"/>
      <c r="T235" s="201" t="n"/>
      <c r="U235" s="201" t="n"/>
      <c r="V235" s="201" t="n"/>
      <c r="W235" s="201" t="n"/>
      <c r="X235" s="201" t="n"/>
      <c r="Y235" s="201" t="n"/>
      <c r="Z235" s="202">
        <f>sum(T235:X235)</f>
        <v/>
      </c>
      <c r="AA235" s="203">
        <f>sum(Z235/Y235)*100%</f>
        <v/>
      </c>
    </row>
    <row r="236" ht="15.75" customHeight="1" s="205">
      <c r="A236" s="199" t="n"/>
      <c r="B236" s="204" t="n"/>
      <c r="C236" s="199" t="n"/>
      <c r="D236" s="199" t="n"/>
      <c r="E236" s="199" t="n"/>
      <c r="F236" s="199" t="n"/>
      <c r="G236" s="199" t="n"/>
      <c r="H236" s="199" t="n"/>
      <c r="I236" s="199" t="n"/>
      <c r="J236" s="199" t="n"/>
      <c r="K236" s="199" t="n"/>
      <c r="L236" s="199" t="n"/>
      <c r="M236" s="199" t="n"/>
      <c r="N236" s="199" t="n"/>
      <c r="O236" s="199" t="n"/>
      <c r="P236" s="199" t="n"/>
      <c r="Q236" s="199" t="n"/>
      <c r="R236" s="199" t="n"/>
      <c r="S236" s="199" t="n"/>
      <c r="T236" s="199" t="n"/>
      <c r="U236" s="199" t="n"/>
      <c r="V236" s="199" t="n"/>
      <c r="W236" s="199" t="n"/>
      <c r="X236" s="199" t="n"/>
      <c r="Y236" s="199" t="n"/>
      <c r="Z236" s="202">
        <f>sum(T236:X236)</f>
        <v/>
      </c>
      <c r="AA236" s="203">
        <f>sum(Z236/Y236)*100%</f>
        <v/>
      </c>
    </row>
    <row r="237" ht="15.75" customHeight="1" s="205">
      <c r="A237" s="199" t="n"/>
      <c r="B237" s="200" t="n"/>
      <c r="C237" s="201" t="n"/>
      <c r="D237" s="199" t="n"/>
      <c r="E237" s="199" t="n"/>
      <c r="F237" s="199" t="n"/>
      <c r="G237" s="199" t="n"/>
      <c r="H237" s="199" t="n"/>
      <c r="I237" s="201" t="n"/>
      <c r="J237" s="201" t="n"/>
      <c r="K237" s="201" t="n"/>
      <c r="L237" s="201" t="n"/>
      <c r="M237" s="201" t="n"/>
      <c r="N237" s="201" t="n"/>
      <c r="O237" s="199" t="n"/>
      <c r="P237" s="201" t="n"/>
      <c r="Q237" s="201" t="n"/>
      <c r="R237" s="201" t="n"/>
      <c r="S237" s="201" t="n"/>
      <c r="T237" s="201" t="n"/>
      <c r="U237" s="201" t="n"/>
      <c r="V237" s="201" t="n"/>
      <c r="W237" s="201" t="n"/>
      <c r="X237" s="201" t="n"/>
      <c r="Y237" s="201" t="n"/>
      <c r="Z237" s="202">
        <f>sum(T237:X237)</f>
        <v/>
      </c>
      <c r="AA237" s="203">
        <f>sum(Z237/Y237)*100%</f>
        <v/>
      </c>
    </row>
    <row r="238" ht="15.75" customHeight="1" s="205">
      <c r="A238" s="199" t="n"/>
      <c r="B238" s="204" t="n"/>
      <c r="C238" s="199" t="n"/>
      <c r="D238" s="199" t="n"/>
      <c r="E238" s="199" t="n"/>
      <c r="F238" s="199" t="n"/>
      <c r="G238" s="199" t="n"/>
      <c r="H238" s="199" t="n"/>
      <c r="I238" s="199" t="n"/>
      <c r="J238" s="199" t="n"/>
      <c r="K238" s="199" t="n"/>
      <c r="L238" s="199" t="n"/>
      <c r="M238" s="199" t="n"/>
      <c r="N238" s="199" t="n"/>
      <c r="O238" s="199" t="n"/>
      <c r="P238" s="199" t="n"/>
      <c r="Q238" s="199" t="n"/>
      <c r="R238" s="199" t="n"/>
      <c r="S238" s="199" t="n"/>
      <c r="T238" s="199" t="n"/>
      <c r="U238" s="199" t="n"/>
      <c r="V238" s="199" t="n"/>
      <c r="W238" s="199" t="n"/>
      <c r="X238" s="199" t="n"/>
      <c r="Y238" s="199" t="n"/>
      <c r="Z238" s="202">
        <f>sum(T238:X238)</f>
        <v/>
      </c>
      <c r="AA238" s="203">
        <f>sum(Z238/Y238)*100%</f>
        <v/>
      </c>
    </row>
    <row r="239" ht="15.75" customHeight="1" s="205">
      <c r="A239" s="199" t="n"/>
      <c r="B239" s="200" t="n"/>
      <c r="C239" s="201" t="n"/>
      <c r="D239" s="199" t="n"/>
      <c r="E239" s="199" t="n"/>
      <c r="F239" s="199" t="n"/>
      <c r="G239" s="199" t="n"/>
      <c r="H239" s="199" t="n"/>
      <c r="I239" s="201" t="n"/>
      <c r="J239" s="201" t="n"/>
      <c r="K239" s="201" t="n"/>
      <c r="L239" s="201" t="n"/>
      <c r="M239" s="201" t="n"/>
      <c r="N239" s="201" t="n"/>
      <c r="O239" s="199" t="n"/>
      <c r="P239" s="201" t="n"/>
      <c r="Q239" s="201" t="n"/>
      <c r="R239" s="201" t="n"/>
      <c r="S239" s="201" t="n"/>
      <c r="T239" s="201" t="n"/>
      <c r="U239" s="201" t="n"/>
      <c r="V239" s="201" t="n"/>
      <c r="W239" s="201" t="n"/>
      <c r="X239" s="201" t="n"/>
      <c r="Y239" s="201" t="n"/>
      <c r="Z239" s="202">
        <f>sum(T239:X239)</f>
        <v/>
      </c>
      <c r="AA239" s="203">
        <f>sum(Z239/Y239)*100%</f>
        <v/>
      </c>
    </row>
    <row r="240" ht="15.75" customHeight="1" s="205">
      <c r="A240" s="199" t="n"/>
      <c r="B240" s="204" t="n"/>
      <c r="C240" s="199" t="n"/>
      <c r="D240" s="199" t="n"/>
      <c r="E240" s="199" t="n"/>
      <c r="F240" s="199" t="n"/>
      <c r="G240" s="199" t="n"/>
      <c r="H240" s="199" t="n"/>
      <c r="I240" s="199" t="n"/>
      <c r="J240" s="199" t="n"/>
      <c r="K240" s="199" t="n"/>
      <c r="L240" s="199" t="n"/>
      <c r="M240" s="199" t="n"/>
      <c r="N240" s="199" t="n"/>
      <c r="O240" s="199" t="n"/>
      <c r="P240" s="199" t="n"/>
      <c r="Q240" s="199" t="n"/>
      <c r="R240" s="199" t="n"/>
      <c r="S240" s="199" t="n"/>
      <c r="T240" s="199" t="n"/>
      <c r="U240" s="199" t="n"/>
      <c r="V240" s="199" t="n"/>
      <c r="W240" s="199" t="n"/>
      <c r="X240" s="199" t="n"/>
      <c r="Y240" s="199" t="n"/>
      <c r="Z240" s="202">
        <f>sum(T240:X240)</f>
        <v/>
      </c>
      <c r="AA240" s="203">
        <f>sum(Z240/Y240)*100%</f>
        <v/>
      </c>
    </row>
    <row r="241" ht="15.75" customHeight="1" s="205">
      <c r="A241" s="199" t="n"/>
      <c r="B241" s="200" t="n"/>
      <c r="C241" s="201" t="n"/>
      <c r="D241" s="199" t="n"/>
      <c r="E241" s="199" t="n"/>
      <c r="F241" s="199" t="n"/>
      <c r="G241" s="199" t="n"/>
      <c r="H241" s="199" t="n"/>
      <c r="I241" s="201" t="n"/>
      <c r="J241" s="201" t="n"/>
      <c r="K241" s="201" t="n"/>
      <c r="L241" s="201" t="n"/>
      <c r="M241" s="201" t="n"/>
      <c r="N241" s="201" t="n"/>
      <c r="O241" s="199" t="n"/>
      <c r="P241" s="201" t="n"/>
      <c r="Q241" s="201" t="n"/>
      <c r="R241" s="201" t="n"/>
      <c r="S241" s="201" t="n"/>
      <c r="T241" s="201" t="n"/>
      <c r="U241" s="201" t="n"/>
      <c r="V241" s="201" t="n"/>
      <c r="W241" s="201" t="n"/>
      <c r="X241" s="201" t="n"/>
      <c r="Y241" s="201" t="n"/>
      <c r="Z241" s="202">
        <f>sum(T241:X241)</f>
        <v/>
      </c>
      <c r="AA241" s="203">
        <f>sum(Z241/Y241)*100%</f>
        <v/>
      </c>
    </row>
    <row r="242" ht="15.75" customHeight="1" s="205">
      <c r="A242" s="199" t="n"/>
      <c r="B242" s="204" t="n"/>
      <c r="C242" s="199" t="n"/>
      <c r="D242" s="199" t="n"/>
      <c r="E242" s="199" t="n"/>
      <c r="F242" s="199" t="n"/>
      <c r="G242" s="199" t="n"/>
      <c r="H242" s="199" t="n"/>
      <c r="I242" s="199" t="n"/>
      <c r="J242" s="199" t="n"/>
      <c r="K242" s="199" t="n"/>
      <c r="L242" s="199" t="n"/>
      <c r="M242" s="199" t="n"/>
      <c r="N242" s="199" t="n"/>
      <c r="O242" s="199" t="n"/>
      <c r="P242" s="199" t="n"/>
      <c r="Q242" s="199" t="n"/>
      <c r="R242" s="199" t="n"/>
      <c r="S242" s="199" t="n"/>
      <c r="T242" s="199" t="n"/>
      <c r="U242" s="199" t="n"/>
      <c r="V242" s="199" t="n"/>
      <c r="W242" s="199" t="n"/>
      <c r="X242" s="199" t="n"/>
      <c r="Y242" s="199" t="n"/>
      <c r="Z242" s="202">
        <f>sum(T242:X242)</f>
        <v/>
      </c>
      <c r="AA242" s="203">
        <f>sum(Z242/Y242)*100%</f>
        <v/>
      </c>
    </row>
    <row r="243" ht="15.75" customHeight="1" s="205">
      <c r="A243" s="199" t="n"/>
      <c r="B243" s="200" t="n"/>
      <c r="C243" s="201" t="n"/>
      <c r="D243" s="199" t="n"/>
      <c r="E243" s="199" t="n"/>
      <c r="F243" s="199" t="n"/>
      <c r="G243" s="199" t="n"/>
      <c r="H243" s="199" t="n"/>
      <c r="I243" s="201" t="n"/>
      <c r="J243" s="201" t="n"/>
      <c r="K243" s="201" t="n"/>
      <c r="L243" s="201" t="n"/>
      <c r="M243" s="201" t="n"/>
      <c r="N243" s="201" t="n"/>
      <c r="O243" s="199" t="n"/>
      <c r="P243" s="201" t="n"/>
      <c r="Q243" s="201" t="n"/>
      <c r="R243" s="201" t="n"/>
      <c r="S243" s="201" t="n"/>
      <c r="T243" s="201" t="n"/>
      <c r="U243" s="201" t="n"/>
      <c r="V243" s="201" t="n"/>
      <c r="W243" s="201" t="n"/>
      <c r="X243" s="201" t="n"/>
      <c r="Y243" s="201" t="n"/>
      <c r="Z243" s="202">
        <f>sum(T243:X243)</f>
        <v/>
      </c>
      <c r="AA243" s="203">
        <f>sum(Z243/Y243)*100%</f>
        <v/>
      </c>
    </row>
    <row r="244" ht="15.75" customHeight="1" s="205">
      <c r="A244" s="199" t="n"/>
      <c r="B244" s="204" t="n"/>
      <c r="C244" s="199" t="n"/>
      <c r="D244" s="199" t="n"/>
      <c r="E244" s="199" t="n"/>
      <c r="F244" s="199" t="n"/>
      <c r="G244" s="199" t="n"/>
      <c r="H244" s="199" t="n"/>
      <c r="I244" s="199" t="n"/>
      <c r="J244" s="199" t="n"/>
      <c r="K244" s="199" t="n"/>
      <c r="L244" s="199" t="n"/>
      <c r="M244" s="199" t="n"/>
      <c r="N244" s="199" t="n"/>
      <c r="O244" s="199" t="n"/>
      <c r="P244" s="199" t="n"/>
      <c r="Q244" s="199" t="n"/>
      <c r="R244" s="199" t="n"/>
      <c r="S244" s="199" t="n"/>
      <c r="T244" s="199" t="n"/>
      <c r="U244" s="199" t="n"/>
      <c r="V244" s="199" t="n"/>
      <c r="W244" s="199" t="n"/>
      <c r="X244" s="199" t="n"/>
      <c r="Y244" s="199" t="n"/>
      <c r="Z244" s="202">
        <f>sum(T244:X244)</f>
        <v/>
      </c>
      <c r="AA244" s="203">
        <f>sum(Z244/Y244)*100%</f>
        <v/>
      </c>
    </row>
    <row r="245" ht="15.75" customHeight="1" s="205">
      <c r="A245" s="199" t="n"/>
      <c r="B245" s="200" t="n"/>
      <c r="C245" s="201" t="n"/>
      <c r="D245" s="199" t="n"/>
      <c r="E245" s="199" t="n"/>
      <c r="F245" s="199" t="n"/>
      <c r="G245" s="199" t="n"/>
      <c r="H245" s="199" t="n"/>
      <c r="I245" s="201" t="n"/>
      <c r="J245" s="201" t="n"/>
      <c r="K245" s="201" t="n"/>
      <c r="L245" s="201" t="n"/>
      <c r="M245" s="201" t="n"/>
      <c r="N245" s="201" t="n"/>
      <c r="O245" s="199" t="n"/>
      <c r="P245" s="201" t="n"/>
      <c r="Q245" s="201" t="n"/>
      <c r="R245" s="201" t="n"/>
      <c r="S245" s="201" t="n"/>
      <c r="T245" s="201" t="n"/>
      <c r="U245" s="201" t="n"/>
      <c r="V245" s="201" t="n"/>
      <c r="W245" s="201" t="n"/>
      <c r="X245" s="201" t="n"/>
      <c r="Y245" s="201" t="n"/>
      <c r="Z245" s="202">
        <f>sum(T245:X245)</f>
        <v/>
      </c>
      <c r="AA245" s="203">
        <f>sum(Z245/Y245)*100%</f>
        <v/>
      </c>
    </row>
    <row r="246" ht="15.75" customHeight="1" s="205">
      <c r="A246" s="199" t="n"/>
      <c r="B246" s="204" t="n"/>
      <c r="C246" s="199" t="n"/>
      <c r="D246" s="199" t="n"/>
      <c r="E246" s="199" t="n"/>
      <c r="F246" s="199" t="n"/>
      <c r="G246" s="199" t="n"/>
      <c r="H246" s="199" t="n"/>
      <c r="I246" s="199" t="n"/>
      <c r="J246" s="199" t="n"/>
      <c r="K246" s="199" t="n"/>
      <c r="L246" s="199" t="n"/>
      <c r="M246" s="199" t="n"/>
      <c r="N246" s="199" t="n"/>
      <c r="O246" s="199" t="n"/>
      <c r="P246" s="199" t="n"/>
      <c r="Q246" s="199" t="n"/>
      <c r="R246" s="199" t="n"/>
      <c r="S246" s="199" t="n"/>
      <c r="T246" s="199" t="n"/>
      <c r="U246" s="199" t="n"/>
      <c r="V246" s="199" t="n"/>
      <c r="W246" s="199" t="n"/>
      <c r="X246" s="199" t="n"/>
      <c r="Y246" s="199" t="n"/>
      <c r="Z246" s="202">
        <f>sum(T246:X246)</f>
        <v/>
      </c>
      <c r="AA246" s="203">
        <f>sum(Z246/Y246)*100%</f>
        <v/>
      </c>
    </row>
    <row r="247" ht="15.75" customHeight="1" s="205">
      <c r="A247" s="199" t="n"/>
      <c r="B247" s="200" t="n"/>
      <c r="C247" s="201" t="n"/>
      <c r="D247" s="199" t="n"/>
      <c r="E247" s="199" t="n"/>
      <c r="F247" s="199" t="n"/>
      <c r="G247" s="199" t="n"/>
      <c r="H247" s="199" t="n"/>
      <c r="I247" s="201" t="n"/>
      <c r="J247" s="201" t="n"/>
      <c r="K247" s="201" t="n"/>
      <c r="L247" s="201" t="n"/>
      <c r="M247" s="201" t="n"/>
      <c r="N247" s="201" t="n"/>
      <c r="O247" s="199" t="n"/>
      <c r="P247" s="201" t="n"/>
      <c r="Q247" s="201" t="n"/>
      <c r="R247" s="201" t="n"/>
      <c r="S247" s="201" t="n"/>
      <c r="T247" s="201" t="n"/>
      <c r="U247" s="201" t="n"/>
      <c r="V247" s="201" t="n"/>
      <c r="W247" s="201" t="n"/>
      <c r="X247" s="201" t="n"/>
      <c r="Y247" s="201" t="n"/>
      <c r="Z247" s="202">
        <f>sum(T247:X247)</f>
        <v/>
      </c>
      <c r="AA247" s="203">
        <f>sum(Z247/Y247)*100%</f>
        <v/>
      </c>
    </row>
    <row r="248" ht="15.75" customHeight="1" s="205">
      <c r="A248" s="199" t="n"/>
      <c r="B248" s="204" t="n"/>
      <c r="C248" s="199" t="n"/>
      <c r="D248" s="199" t="n"/>
      <c r="E248" s="199" t="n"/>
      <c r="F248" s="199" t="n"/>
      <c r="G248" s="199" t="n"/>
      <c r="H248" s="199" t="n"/>
      <c r="I248" s="199" t="n"/>
      <c r="J248" s="199" t="n"/>
      <c r="K248" s="199" t="n"/>
      <c r="L248" s="199" t="n"/>
      <c r="M248" s="199" t="n"/>
      <c r="N248" s="199" t="n"/>
      <c r="O248" s="199" t="n"/>
      <c r="P248" s="199" t="n"/>
      <c r="Q248" s="199" t="n"/>
      <c r="R248" s="199" t="n"/>
      <c r="S248" s="199" t="n"/>
      <c r="T248" s="199" t="n"/>
      <c r="U248" s="199" t="n"/>
      <c r="V248" s="199" t="n"/>
      <c r="W248" s="199" t="n"/>
      <c r="X248" s="199" t="n"/>
      <c r="Y248" s="199" t="n"/>
      <c r="Z248" s="202">
        <f>sum(T248:X248)</f>
        <v/>
      </c>
      <c r="AA248" s="203">
        <f>sum(Z248/Y248)*100%</f>
        <v/>
      </c>
    </row>
    <row r="249" ht="15.75" customHeight="1" s="205">
      <c r="A249" s="199" t="n"/>
      <c r="B249" s="200" t="n"/>
      <c r="C249" s="201" t="n"/>
      <c r="D249" s="199" t="n"/>
      <c r="E249" s="199" t="n"/>
      <c r="F249" s="199" t="n"/>
      <c r="G249" s="199" t="n"/>
      <c r="H249" s="199" t="n"/>
      <c r="I249" s="201" t="n"/>
      <c r="J249" s="201" t="n"/>
      <c r="K249" s="201" t="n"/>
      <c r="L249" s="201" t="n"/>
      <c r="M249" s="201" t="n"/>
      <c r="N249" s="201" t="n"/>
      <c r="O249" s="199" t="n"/>
      <c r="P249" s="201" t="n"/>
      <c r="Q249" s="201" t="n"/>
      <c r="R249" s="201" t="n"/>
      <c r="S249" s="201" t="n"/>
      <c r="T249" s="201" t="n"/>
      <c r="U249" s="201" t="n"/>
      <c r="V249" s="201" t="n"/>
      <c r="W249" s="201" t="n"/>
      <c r="X249" s="201" t="n"/>
      <c r="Y249" s="201" t="n"/>
      <c r="Z249" s="202">
        <f>sum(T249:X249)</f>
        <v/>
      </c>
      <c r="AA249" s="203">
        <f>sum(Z249/Y249)*100%</f>
        <v/>
      </c>
    </row>
    <row r="250" ht="15.75" customHeight="1" s="205">
      <c r="A250" s="199" t="n"/>
      <c r="B250" s="204" t="n"/>
      <c r="C250" s="199" t="n"/>
      <c r="D250" s="199" t="n"/>
      <c r="E250" s="199" t="n"/>
      <c r="F250" s="199" t="n"/>
      <c r="G250" s="199" t="n"/>
      <c r="H250" s="199" t="n"/>
      <c r="I250" s="199" t="n"/>
      <c r="J250" s="199" t="n"/>
      <c r="K250" s="199" t="n"/>
      <c r="L250" s="199" t="n"/>
      <c r="M250" s="199" t="n"/>
      <c r="N250" s="199" t="n"/>
      <c r="O250" s="199" t="n"/>
      <c r="P250" s="199" t="n"/>
      <c r="Q250" s="199" t="n"/>
      <c r="R250" s="199" t="n"/>
      <c r="S250" s="199" t="n"/>
      <c r="T250" s="199" t="n"/>
      <c r="U250" s="199" t="n"/>
      <c r="V250" s="199" t="n"/>
      <c r="W250" s="199" t="n"/>
      <c r="X250" s="199" t="n"/>
      <c r="Y250" s="199" t="n"/>
      <c r="Z250" s="202">
        <f>sum(T250:X250)</f>
        <v/>
      </c>
      <c r="AA250" s="203">
        <f>sum(Z250/Y250)*100%</f>
        <v/>
      </c>
    </row>
    <row r="251" ht="15.75" customHeight="1" s="205">
      <c r="A251" s="199" t="n"/>
      <c r="B251" s="200" t="n"/>
      <c r="C251" s="201" t="n"/>
      <c r="D251" s="199" t="n"/>
      <c r="E251" s="199" t="n"/>
      <c r="F251" s="199" t="n"/>
      <c r="G251" s="199" t="n"/>
      <c r="H251" s="199" t="n"/>
      <c r="I251" s="201" t="n"/>
      <c r="J251" s="201" t="n"/>
      <c r="K251" s="201" t="n"/>
      <c r="L251" s="201" t="n"/>
      <c r="M251" s="201" t="n"/>
      <c r="N251" s="201" t="n"/>
      <c r="O251" s="199" t="n"/>
      <c r="P251" s="201" t="n"/>
      <c r="Q251" s="201" t="n"/>
      <c r="R251" s="201" t="n"/>
      <c r="S251" s="201" t="n"/>
      <c r="T251" s="201" t="n"/>
      <c r="U251" s="201" t="n"/>
      <c r="V251" s="201" t="n"/>
      <c r="W251" s="201" t="n"/>
      <c r="X251" s="201" t="n"/>
      <c r="Y251" s="201" t="n"/>
      <c r="Z251" s="202">
        <f>sum(T251:X251)</f>
        <v/>
      </c>
      <c r="AA251" s="203">
        <f>sum(Z251/Y251)*100%</f>
        <v/>
      </c>
    </row>
    <row r="252" ht="15.75" customHeight="1" s="205">
      <c r="A252" s="199" t="n"/>
      <c r="B252" s="204" t="n"/>
      <c r="C252" s="199" t="n"/>
      <c r="D252" s="199" t="n"/>
      <c r="E252" s="199" t="n"/>
      <c r="F252" s="199" t="n"/>
      <c r="G252" s="199" t="n"/>
      <c r="H252" s="199" t="n"/>
      <c r="I252" s="199" t="n"/>
      <c r="J252" s="199" t="n"/>
      <c r="K252" s="199" t="n"/>
      <c r="L252" s="199" t="n"/>
      <c r="M252" s="199" t="n"/>
      <c r="N252" s="199" t="n"/>
      <c r="O252" s="199" t="n"/>
      <c r="P252" s="199" t="n"/>
      <c r="Q252" s="199" t="n"/>
      <c r="R252" s="199" t="n"/>
      <c r="S252" s="199" t="n"/>
      <c r="T252" s="199" t="n"/>
      <c r="U252" s="199" t="n"/>
      <c r="V252" s="199" t="n"/>
      <c r="W252" s="199" t="n"/>
      <c r="X252" s="199" t="n"/>
      <c r="Y252" s="199" t="n"/>
      <c r="Z252" s="202">
        <f>sum(T252:X252)</f>
        <v/>
      </c>
      <c r="AA252" s="203">
        <f>sum(Z252/Y252)*100%</f>
        <v/>
      </c>
    </row>
    <row r="253" ht="15.75" customHeight="1" s="205">
      <c r="A253" s="199" t="n"/>
      <c r="B253" s="200" t="n"/>
      <c r="C253" s="201" t="n"/>
      <c r="D253" s="199" t="n"/>
      <c r="E253" s="199" t="n"/>
      <c r="F253" s="199" t="n"/>
      <c r="G253" s="199" t="n"/>
      <c r="H253" s="199" t="n"/>
      <c r="I253" s="201" t="n"/>
      <c r="J253" s="201" t="n"/>
      <c r="K253" s="201" t="n"/>
      <c r="L253" s="201" t="n"/>
      <c r="M253" s="201" t="n"/>
      <c r="N253" s="201" t="n"/>
      <c r="O253" s="199" t="n"/>
      <c r="P253" s="201" t="n"/>
      <c r="Q253" s="201" t="n"/>
      <c r="R253" s="201" t="n"/>
      <c r="S253" s="201" t="n"/>
      <c r="T253" s="201" t="n"/>
      <c r="U253" s="201" t="n"/>
      <c r="V253" s="201" t="n"/>
      <c r="W253" s="201" t="n"/>
      <c r="X253" s="201" t="n"/>
      <c r="Y253" s="201" t="n"/>
      <c r="Z253" s="202">
        <f>sum(T253:X253)</f>
        <v/>
      </c>
      <c r="AA253" s="203">
        <f>sum(Z253/Y253)*100%</f>
        <v/>
      </c>
    </row>
    <row r="254" ht="15.75" customHeight="1" s="205">
      <c r="A254" s="199" t="n"/>
      <c r="B254" s="204" t="n"/>
      <c r="C254" s="199" t="n"/>
      <c r="D254" s="199" t="n"/>
      <c r="E254" s="199" t="n"/>
      <c r="F254" s="199" t="n"/>
      <c r="G254" s="199" t="n"/>
      <c r="H254" s="199" t="n"/>
      <c r="I254" s="199" t="n"/>
      <c r="J254" s="199" t="n"/>
      <c r="K254" s="199" t="n"/>
      <c r="L254" s="199" t="n"/>
      <c r="M254" s="199" t="n"/>
      <c r="N254" s="199" t="n"/>
      <c r="O254" s="199" t="n"/>
      <c r="P254" s="199" t="n"/>
      <c r="Q254" s="199" t="n"/>
      <c r="R254" s="199" t="n"/>
      <c r="S254" s="199" t="n"/>
      <c r="T254" s="199" t="n"/>
      <c r="U254" s="199" t="n"/>
      <c r="V254" s="199" t="n"/>
      <c r="W254" s="199" t="n"/>
      <c r="X254" s="199" t="n"/>
      <c r="Y254" s="199" t="n"/>
      <c r="Z254" s="202">
        <f>sum(T254:X254)</f>
        <v/>
      </c>
      <c r="AA254" s="203">
        <f>sum(Z254/Y254)*100%</f>
        <v/>
      </c>
    </row>
    <row r="255" ht="15.75" customHeight="1" s="205">
      <c r="A255" s="199" t="n"/>
      <c r="B255" s="200" t="n"/>
      <c r="C255" s="201" t="n"/>
      <c r="D255" s="199" t="n"/>
      <c r="E255" s="199" t="n"/>
      <c r="F255" s="199" t="n"/>
      <c r="G255" s="199" t="n"/>
      <c r="H255" s="199" t="n"/>
      <c r="I255" s="201" t="n"/>
      <c r="J255" s="201" t="n"/>
      <c r="K255" s="201" t="n"/>
      <c r="L255" s="201" t="n"/>
      <c r="M255" s="201" t="n"/>
      <c r="N255" s="201" t="n"/>
      <c r="O255" s="199" t="n"/>
      <c r="P255" s="201" t="n"/>
      <c r="Q255" s="201" t="n"/>
      <c r="R255" s="201" t="n"/>
      <c r="S255" s="201" t="n"/>
      <c r="T255" s="201" t="n"/>
      <c r="U255" s="201" t="n"/>
      <c r="V255" s="201" t="n"/>
      <c r="W255" s="201" t="n"/>
      <c r="X255" s="201" t="n"/>
      <c r="Y255" s="201" t="n"/>
      <c r="Z255" s="202">
        <f>sum(T255:X255)</f>
        <v/>
      </c>
      <c r="AA255" s="203">
        <f>sum(Z255/Y255)*100%</f>
        <v/>
      </c>
    </row>
    <row r="256" ht="15.75" customHeight="1" s="205">
      <c r="A256" s="199" t="n"/>
      <c r="B256" s="204" t="n"/>
      <c r="C256" s="199" t="n"/>
      <c r="D256" s="199" t="n"/>
      <c r="E256" s="199" t="n"/>
      <c r="F256" s="199" t="n"/>
      <c r="G256" s="199" t="n"/>
      <c r="H256" s="199" t="n"/>
      <c r="I256" s="199" t="n"/>
      <c r="J256" s="199" t="n"/>
      <c r="K256" s="199" t="n"/>
      <c r="L256" s="199" t="n"/>
      <c r="M256" s="199" t="n"/>
      <c r="N256" s="199" t="n"/>
      <c r="O256" s="199" t="n"/>
      <c r="P256" s="199" t="n"/>
      <c r="Q256" s="199" t="n"/>
      <c r="R256" s="199" t="n"/>
      <c r="S256" s="199" t="n"/>
      <c r="T256" s="199" t="n"/>
      <c r="U256" s="199" t="n"/>
      <c r="V256" s="199" t="n"/>
      <c r="W256" s="199" t="n"/>
      <c r="X256" s="199" t="n"/>
      <c r="Y256" s="199" t="n"/>
      <c r="Z256" s="202">
        <f>sum(T256:X256)</f>
        <v/>
      </c>
      <c r="AA256" s="203">
        <f>sum(Z256/Y256)*100%</f>
        <v/>
      </c>
    </row>
    <row r="257" ht="15.75" customHeight="1" s="205">
      <c r="A257" s="199" t="n"/>
      <c r="B257" s="200" t="n"/>
      <c r="C257" s="201" t="n"/>
      <c r="D257" s="199" t="n"/>
      <c r="E257" s="199" t="n"/>
      <c r="F257" s="199" t="n"/>
      <c r="G257" s="199" t="n"/>
      <c r="H257" s="199" t="n"/>
      <c r="I257" s="201" t="n"/>
      <c r="J257" s="201" t="n"/>
      <c r="K257" s="201" t="n"/>
      <c r="L257" s="201" t="n"/>
      <c r="M257" s="201" t="n"/>
      <c r="N257" s="201" t="n"/>
      <c r="O257" s="199" t="n"/>
      <c r="P257" s="201" t="n"/>
      <c r="Q257" s="201" t="n"/>
      <c r="R257" s="201" t="n"/>
      <c r="S257" s="201" t="n"/>
      <c r="T257" s="201" t="n"/>
      <c r="U257" s="201" t="n"/>
      <c r="V257" s="201" t="n"/>
      <c r="W257" s="201" t="n"/>
      <c r="X257" s="201" t="n"/>
      <c r="Y257" s="201" t="n"/>
      <c r="Z257" s="202">
        <f>sum(T257:X257)</f>
        <v/>
      </c>
      <c r="AA257" s="203">
        <f>sum(Z257/Y257)*100%</f>
        <v/>
      </c>
    </row>
    <row r="258" ht="15.75" customHeight="1" s="205">
      <c r="A258" s="199" t="n"/>
      <c r="B258" s="204" t="n"/>
      <c r="C258" s="199" t="n"/>
      <c r="D258" s="199" t="n"/>
      <c r="E258" s="199" t="n"/>
      <c r="F258" s="199" t="n"/>
      <c r="G258" s="199" t="n"/>
      <c r="H258" s="199" t="n"/>
      <c r="I258" s="199" t="n"/>
      <c r="J258" s="199" t="n"/>
      <c r="K258" s="199" t="n"/>
      <c r="L258" s="199" t="n"/>
      <c r="M258" s="199" t="n"/>
      <c r="N258" s="199" t="n"/>
      <c r="O258" s="199" t="n"/>
      <c r="P258" s="199" t="n"/>
      <c r="Q258" s="199" t="n"/>
      <c r="R258" s="199" t="n"/>
      <c r="S258" s="199" t="n"/>
      <c r="T258" s="199" t="n"/>
      <c r="U258" s="199" t="n"/>
      <c r="V258" s="199" t="n"/>
      <c r="W258" s="199" t="n"/>
      <c r="X258" s="199" t="n"/>
      <c r="Y258" s="199" t="n"/>
      <c r="Z258" s="202">
        <f>sum(T258:X258)</f>
        <v/>
      </c>
      <c r="AA258" s="203">
        <f>sum(Z258/Y258)*100%</f>
        <v/>
      </c>
    </row>
    <row r="259" ht="15.75" customHeight="1" s="205">
      <c r="A259" s="199" t="n"/>
      <c r="B259" s="200" t="n"/>
      <c r="C259" s="201" t="n"/>
      <c r="D259" s="199" t="n"/>
      <c r="E259" s="199" t="n"/>
      <c r="F259" s="199" t="n"/>
      <c r="G259" s="199" t="n"/>
      <c r="H259" s="199" t="n"/>
      <c r="I259" s="201" t="n"/>
      <c r="J259" s="201" t="n"/>
      <c r="K259" s="201" t="n"/>
      <c r="L259" s="201" t="n"/>
      <c r="M259" s="201" t="n"/>
      <c r="N259" s="201" t="n"/>
      <c r="O259" s="199" t="n"/>
      <c r="P259" s="201" t="n"/>
      <c r="Q259" s="201" t="n"/>
      <c r="R259" s="201" t="n"/>
      <c r="S259" s="201" t="n"/>
      <c r="T259" s="201" t="n"/>
      <c r="U259" s="201" t="n"/>
      <c r="V259" s="201" t="n"/>
      <c r="W259" s="201" t="n"/>
      <c r="X259" s="201" t="n"/>
      <c r="Y259" s="201" t="n"/>
      <c r="Z259" s="202">
        <f>sum(T259:X259)</f>
        <v/>
      </c>
      <c r="AA259" s="203">
        <f>sum(Z259/Y259)*100%</f>
        <v/>
      </c>
    </row>
    <row r="260" ht="15.75" customHeight="1" s="205">
      <c r="A260" s="199" t="n"/>
      <c r="B260" s="204" t="n"/>
      <c r="C260" s="199" t="n"/>
      <c r="D260" s="199" t="n"/>
      <c r="E260" s="199" t="n"/>
      <c r="F260" s="199" t="n"/>
      <c r="G260" s="199" t="n"/>
      <c r="H260" s="199" t="n"/>
      <c r="I260" s="199" t="n"/>
      <c r="J260" s="199" t="n"/>
      <c r="K260" s="199" t="n"/>
      <c r="L260" s="199" t="n"/>
      <c r="M260" s="199" t="n"/>
      <c r="N260" s="199" t="n"/>
      <c r="O260" s="199" t="n"/>
      <c r="P260" s="199" t="n"/>
      <c r="Q260" s="199" t="n"/>
      <c r="R260" s="199" t="n"/>
      <c r="S260" s="199" t="n"/>
      <c r="T260" s="199" t="n"/>
      <c r="U260" s="199" t="n"/>
      <c r="V260" s="199" t="n"/>
      <c r="W260" s="199" t="n"/>
      <c r="X260" s="199" t="n"/>
      <c r="Y260" s="199" t="n"/>
      <c r="Z260" s="202">
        <f>sum(T260:X260)</f>
        <v/>
      </c>
      <c r="AA260" s="203">
        <f>sum(Z260/Y260)*100%</f>
        <v/>
      </c>
    </row>
    <row r="261" ht="15.75" customHeight="1" s="205">
      <c r="A261" s="199" t="n"/>
      <c r="B261" s="200" t="n"/>
      <c r="C261" s="201" t="n"/>
      <c r="D261" s="199" t="n"/>
      <c r="E261" s="199" t="n"/>
      <c r="F261" s="199" t="n"/>
      <c r="G261" s="199" t="n"/>
      <c r="H261" s="199" t="n"/>
      <c r="I261" s="201" t="n"/>
      <c r="J261" s="201" t="n"/>
      <c r="K261" s="201" t="n"/>
      <c r="L261" s="201" t="n"/>
      <c r="M261" s="201" t="n"/>
      <c r="N261" s="201" t="n"/>
      <c r="O261" s="199" t="n"/>
      <c r="P261" s="201" t="n"/>
      <c r="Q261" s="201" t="n"/>
      <c r="R261" s="201" t="n"/>
      <c r="S261" s="201" t="n"/>
      <c r="T261" s="201" t="n"/>
      <c r="U261" s="201" t="n"/>
      <c r="V261" s="201" t="n"/>
      <c r="W261" s="201" t="n"/>
      <c r="X261" s="201" t="n"/>
      <c r="Y261" s="201" t="n"/>
      <c r="Z261" s="202">
        <f>sum(T261:X261)</f>
        <v/>
      </c>
      <c r="AA261" s="203">
        <f>sum(Z261/Y261)*100%</f>
        <v/>
      </c>
    </row>
    <row r="262" ht="15.75" customHeight="1" s="205">
      <c r="A262" s="199" t="n"/>
      <c r="B262" s="204" t="n"/>
      <c r="C262" s="199" t="n"/>
      <c r="D262" s="199" t="n"/>
      <c r="E262" s="199" t="n"/>
      <c r="F262" s="199" t="n"/>
      <c r="G262" s="199" t="n"/>
      <c r="H262" s="199" t="n"/>
      <c r="I262" s="199" t="n"/>
      <c r="J262" s="199" t="n"/>
      <c r="K262" s="199" t="n"/>
      <c r="L262" s="199" t="n"/>
      <c r="M262" s="199" t="n"/>
      <c r="N262" s="199" t="n"/>
      <c r="O262" s="199" t="n"/>
      <c r="P262" s="199" t="n"/>
      <c r="Q262" s="199" t="n"/>
      <c r="R262" s="199" t="n"/>
      <c r="S262" s="199" t="n"/>
      <c r="T262" s="199" t="n"/>
      <c r="U262" s="199" t="n"/>
      <c r="V262" s="199" t="n"/>
      <c r="W262" s="199" t="n"/>
      <c r="X262" s="199" t="n"/>
      <c r="Y262" s="199" t="n"/>
      <c r="Z262" s="202">
        <f>sum(T262:X262)</f>
        <v/>
      </c>
      <c r="AA262" s="203">
        <f>sum(Z262/Y262)*100%</f>
        <v/>
      </c>
    </row>
    <row r="263" ht="15.75" customHeight="1" s="205">
      <c r="A263" s="199" t="n"/>
      <c r="B263" s="200" t="n"/>
      <c r="C263" s="201" t="n"/>
      <c r="D263" s="199" t="n"/>
      <c r="E263" s="199" t="n"/>
      <c r="F263" s="199" t="n"/>
      <c r="G263" s="199" t="n"/>
      <c r="H263" s="199" t="n"/>
      <c r="I263" s="201" t="n"/>
      <c r="J263" s="201" t="n"/>
      <c r="K263" s="201" t="n"/>
      <c r="L263" s="201" t="n"/>
      <c r="M263" s="201" t="n"/>
      <c r="N263" s="201" t="n"/>
      <c r="O263" s="199" t="n"/>
      <c r="P263" s="201" t="n"/>
      <c r="Q263" s="201" t="n"/>
      <c r="R263" s="201" t="n"/>
      <c r="S263" s="201" t="n"/>
      <c r="T263" s="201" t="n"/>
      <c r="U263" s="201" t="n"/>
      <c r="V263" s="201" t="n"/>
      <c r="W263" s="201" t="n"/>
      <c r="X263" s="201" t="n"/>
      <c r="Y263" s="201" t="n"/>
      <c r="Z263" s="202">
        <f>sum(T263:X263)</f>
        <v/>
      </c>
      <c r="AA263" s="203">
        <f>sum(Z263/Y263)*100%</f>
        <v/>
      </c>
    </row>
    <row r="264" ht="15.75" customHeight="1" s="205">
      <c r="A264" s="199" t="n"/>
      <c r="B264" s="204" t="n"/>
      <c r="C264" s="199" t="n"/>
      <c r="D264" s="199" t="n"/>
      <c r="E264" s="199" t="n"/>
      <c r="F264" s="199" t="n"/>
      <c r="G264" s="199" t="n"/>
      <c r="H264" s="199" t="n"/>
      <c r="I264" s="199" t="n"/>
      <c r="J264" s="199" t="n"/>
      <c r="K264" s="199" t="n"/>
      <c r="L264" s="199" t="n"/>
      <c r="M264" s="199" t="n"/>
      <c r="N264" s="199" t="n"/>
      <c r="O264" s="199" t="n"/>
      <c r="P264" s="199" t="n"/>
      <c r="Q264" s="199" t="n"/>
      <c r="R264" s="199" t="n"/>
      <c r="S264" s="199" t="n"/>
      <c r="T264" s="199" t="n"/>
      <c r="U264" s="199" t="n"/>
      <c r="V264" s="199" t="n"/>
      <c r="W264" s="199" t="n"/>
      <c r="X264" s="199" t="n"/>
      <c r="Y264" s="199" t="n"/>
      <c r="Z264" s="202">
        <f>sum(T264:X264)</f>
        <v/>
      </c>
      <c r="AA264" s="203">
        <f>sum(Z264/Y264)*100%</f>
        <v/>
      </c>
    </row>
    <row r="265" ht="15.75" customHeight="1" s="205">
      <c r="A265" s="199" t="n"/>
      <c r="B265" s="200" t="n"/>
      <c r="C265" s="201" t="n"/>
      <c r="D265" s="199" t="n"/>
      <c r="E265" s="199" t="n"/>
      <c r="F265" s="199" t="n"/>
      <c r="G265" s="199" t="n"/>
      <c r="H265" s="199" t="n"/>
      <c r="I265" s="201" t="n"/>
      <c r="J265" s="201" t="n"/>
      <c r="K265" s="201" t="n"/>
      <c r="L265" s="201" t="n"/>
      <c r="M265" s="201" t="n"/>
      <c r="N265" s="201" t="n"/>
      <c r="O265" s="199" t="n"/>
      <c r="P265" s="201" t="n"/>
      <c r="Q265" s="201" t="n"/>
      <c r="R265" s="201" t="n"/>
      <c r="S265" s="201" t="n"/>
      <c r="T265" s="201" t="n"/>
      <c r="U265" s="201" t="n"/>
      <c r="V265" s="201" t="n"/>
      <c r="W265" s="201" t="n"/>
      <c r="X265" s="201" t="n"/>
      <c r="Y265" s="201" t="n"/>
      <c r="Z265" s="202">
        <f>sum(T265:X265)</f>
        <v/>
      </c>
      <c r="AA265" s="203">
        <f>sum(Z265/Y265)*100%</f>
        <v/>
      </c>
    </row>
    <row r="266" ht="15.75" customHeight="1" s="205">
      <c r="A266" s="199" t="n"/>
      <c r="B266" s="204" t="n"/>
      <c r="C266" s="199" t="n"/>
      <c r="D266" s="199" t="n"/>
      <c r="E266" s="199" t="n"/>
      <c r="F266" s="199" t="n"/>
      <c r="G266" s="199" t="n"/>
      <c r="H266" s="199" t="n"/>
      <c r="I266" s="199" t="n"/>
      <c r="J266" s="199" t="n"/>
      <c r="K266" s="199" t="n"/>
      <c r="L266" s="199" t="n"/>
      <c r="M266" s="199" t="n"/>
      <c r="N266" s="199" t="n"/>
      <c r="O266" s="199" t="n"/>
      <c r="P266" s="199" t="n"/>
      <c r="Q266" s="199" t="n"/>
      <c r="R266" s="199" t="n"/>
      <c r="S266" s="199" t="n"/>
      <c r="T266" s="199" t="n"/>
      <c r="U266" s="199" t="n"/>
      <c r="V266" s="199" t="n"/>
      <c r="W266" s="199" t="n"/>
      <c r="X266" s="199" t="n"/>
      <c r="Y266" s="199" t="n"/>
      <c r="Z266" s="202">
        <f>sum(T266:X266)</f>
        <v/>
      </c>
      <c r="AA266" s="203">
        <f>sum(Z266/Y266)*100%</f>
        <v/>
      </c>
    </row>
    <row r="267" ht="15.75" customHeight="1" s="205">
      <c r="A267" s="199" t="n"/>
      <c r="B267" s="200" t="n"/>
      <c r="C267" s="201" t="n"/>
      <c r="D267" s="199" t="n"/>
      <c r="E267" s="199" t="n"/>
      <c r="F267" s="199" t="n"/>
      <c r="G267" s="199" t="n"/>
      <c r="H267" s="199" t="n"/>
      <c r="I267" s="201" t="n"/>
      <c r="J267" s="201" t="n"/>
      <c r="K267" s="201" t="n"/>
      <c r="L267" s="201" t="n"/>
      <c r="M267" s="201" t="n"/>
      <c r="N267" s="201" t="n"/>
      <c r="O267" s="199" t="n"/>
      <c r="P267" s="201" t="n"/>
      <c r="Q267" s="201" t="n"/>
      <c r="R267" s="201" t="n"/>
      <c r="S267" s="201" t="n"/>
      <c r="T267" s="201" t="n"/>
      <c r="U267" s="201" t="n"/>
      <c r="V267" s="201" t="n"/>
      <c r="W267" s="201" t="n"/>
      <c r="X267" s="201" t="n"/>
      <c r="Y267" s="201" t="n"/>
      <c r="Z267" s="202">
        <f>sum(T267:X267)</f>
        <v/>
      </c>
      <c r="AA267" s="203">
        <f>sum(Z267/Y267)*100%</f>
        <v/>
      </c>
    </row>
    <row r="268" ht="15.75" customHeight="1" s="205">
      <c r="A268" s="199" t="n"/>
      <c r="B268" s="204" t="n"/>
      <c r="C268" s="199" t="n"/>
      <c r="D268" s="199" t="n"/>
      <c r="E268" s="199" t="n"/>
      <c r="F268" s="199" t="n"/>
      <c r="G268" s="199" t="n"/>
      <c r="H268" s="199" t="n"/>
      <c r="I268" s="199" t="n"/>
      <c r="J268" s="199" t="n"/>
      <c r="K268" s="199" t="n"/>
      <c r="L268" s="199" t="n"/>
      <c r="M268" s="199" t="n"/>
      <c r="N268" s="199" t="n"/>
      <c r="O268" s="199" t="n"/>
      <c r="P268" s="199" t="n"/>
      <c r="Q268" s="199" t="n"/>
      <c r="R268" s="199" t="n"/>
      <c r="S268" s="199" t="n"/>
      <c r="T268" s="199" t="n"/>
      <c r="U268" s="199" t="n"/>
      <c r="V268" s="199" t="n"/>
      <c r="W268" s="199" t="n"/>
      <c r="X268" s="199" t="n"/>
      <c r="Y268" s="199" t="n"/>
      <c r="Z268" s="202">
        <f>sum(T268:X268)</f>
        <v/>
      </c>
      <c r="AA268" s="203">
        <f>sum(Z268/Y268)*100%</f>
        <v/>
      </c>
    </row>
    <row r="269" ht="15.75" customHeight="1" s="205">
      <c r="A269" s="199" t="n"/>
      <c r="B269" s="200" t="n"/>
      <c r="C269" s="201" t="n"/>
      <c r="D269" s="199" t="n"/>
      <c r="E269" s="199" t="n"/>
      <c r="F269" s="199" t="n"/>
      <c r="G269" s="199" t="n"/>
      <c r="H269" s="199" t="n"/>
      <c r="I269" s="201" t="n"/>
      <c r="J269" s="201" t="n"/>
      <c r="K269" s="201" t="n"/>
      <c r="L269" s="201" t="n"/>
      <c r="M269" s="201" t="n"/>
      <c r="N269" s="201" t="n"/>
      <c r="O269" s="199" t="n"/>
      <c r="P269" s="201" t="n"/>
      <c r="Q269" s="201" t="n"/>
      <c r="R269" s="201" t="n"/>
      <c r="S269" s="201" t="n"/>
      <c r="T269" s="201" t="n"/>
      <c r="U269" s="201" t="n"/>
      <c r="V269" s="201" t="n"/>
      <c r="W269" s="201" t="n"/>
      <c r="X269" s="201" t="n"/>
      <c r="Y269" s="201" t="n"/>
      <c r="Z269" s="202">
        <f>sum(T269:X269)</f>
        <v/>
      </c>
      <c r="AA269" s="203">
        <f>sum(Z269/Y269)*100%</f>
        <v/>
      </c>
    </row>
    <row r="270" ht="15.75" customHeight="1" s="205">
      <c r="A270" s="199" t="n"/>
      <c r="B270" s="204" t="n"/>
      <c r="C270" s="199" t="n"/>
      <c r="D270" s="199" t="n"/>
      <c r="E270" s="199" t="n"/>
      <c r="F270" s="199" t="n"/>
      <c r="G270" s="199" t="n"/>
      <c r="H270" s="199" t="n"/>
      <c r="I270" s="199" t="n"/>
      <c r="J270" s="199" t="n"/>
      <c r="K270" s="199" t="n"/>
      <c r="L270" s="199" t="n"/>
      <c r="M270" s="199" t="n"/>
      <c r="N270" s="199" t="n"/>
      <c r="O270" s="199" t="n"/>
      <c r="P270" s="199" t="n"/>
      <c r="Q270" s="199" t="n"/>
      <c r="R270" s="199" t="n"/>
      <c r="S270" s="199" t="n"/>
      <c r="T270" s="199" t="n"/>
      <c r="U270" s="199" t="n"/>
      <c r="V270" s="199" t="n"/>
      <c r="W270" s="199" t="n"/>
      <c r="X270" s="199" t="n"/>
      <c r="Y270" s="199" t="n"/>
      <c r="Z270" s="202">
        <f>sum(T270:X270)</f>
        <v/>
      </c>
      <c r="AA270" s="203">
        <f>sum(Z270/Y270)*100%</f>
        <v/>
      </c>
    </row>
    <row r="271" ht="15.75" customHeight="1" s="205">
      <c r="A271" s="199" t="n"/>
      <c r="B271" s="200" t="n"/>
      <c r="C271" s="201" t="n"/>
      <c r="D271" s="199" t="n"/>
      <c r="E271" s="199" t="n"/>
      <c r="F271" s="199" t="n"/>
      <c r="G271" s="199" t="n"/>
      <c r="H271" s="199" t="n"/>
      <c r="I271" s="201" t="n"/>
      <c r="J271" s="201" t="n"/>
      <c r="K271" s="201" t="n"/>
      <c r="L271" s="201" t="n"/>
      <c r="M271" s="201" t="n"/>
      <c r="N271" s="201" t="n"/>
      <c r="O271" s="199" t="n"/>
      <c r="P271" s="201" t="n"/>
      <c r="Q271" s="201" t="n"/>
      <c r="R271" s="201" t="n"/>
      <c r="S271" s="201" t="n"/>
      <c r="T271" s="201" t="n"/>
      <c r="U271" s="201" t="n"/>
      <c r="V271" s="201" t="n"/>
      <c r="W271" s="201" t="n"/>
      <c r="X271" s="201" t="n"/>
      <c r="Y271" s="201" t="n"/>
      <c r="Z271" s="202">
        <f>sum(T271:X271)</f>
        <v/>
      </c>
      <c r="AA271" s="203">
        <f>sum(Z271/Y271)*100%</f>
        <v/>
      </c>
    </row>
    <row r="272" ht="15.75" customHeight="1" s="205">
      <c r="A272" s="199" t="n"/>
      <c r="B272" s="204" t="n"/>
      <c r="C272" s="199" t="n"/>
      <c r="D272" s="199" t="n"/>
      <c r="E272" s="199" t="n"/>
      <c r="F272" s="199" t="n"/>
      <c r="G272" s="199" t="n"/>
      <c r="H272" s="199" t="n"/>
      <c r="I272" s="199" t="n"/>
      <c r="J272" s="199" t="n"/>
      <c r="K272" s="199" t="n"/>
      <c r="L272" s="199" t="n"/>
      <c r="M272" s="199" t="n"/>
      <c r="N272" s="199" t="n"/>
      <c r="O272" s="199" t="n"/>
      <c r="P272" s="199" t="n"/>
      <c r="Q272" s="199" t="n"/>
      <c r="R272" s="199" t="n"/>
      <c r="S272" s="199" t="n"/>
      <c r="T272" s="199" t="n"/>
      <c r="U272" s="199" t="n"/>
      <c r="V272" s="199" t="n"/>
      <c r="W272" s="199" t="n"/>
      <c r="X272" s="199" t="n"/>
      <c r="Y272" s="199" t="n"/>
      <c r="Z272" s="202">
        <f>sum(T272:X272)</f>
        <v/>
      </c>
      <c r="AA272" s="203">
        <f>sum(Z272/Y272)*100%</f>
        <v/>
      </c>
    </row>
    <row r="273" ht="15.75" customHeight="1" s="205">
      <c r="A273" s="199" t="n"/>
      <c r="B273" s="200" t="n"/>
      <c r="C273" s="201" t="n"/>
      <c r="D273" s="199" t="n"/>
      <c r="E273" s="199" t="n"/>
      <c r="F273" s="199" t="n"/>
      <c r="G273" s="199" t="n"/>
      <c r="H273" s="199" t="n"/>
      <c r="I273" s="201" t="n"/>
      <c r="J273" s="201" t="n"/>
      <c r="K273" s="201" t="n"/>
      <c r="L273" s="201" t="n"/>
      <c r="M273" s="201" t="n"/>
      <c r="N273" s="201" t="n"/>
      <c r="O273" s="199" t="n"/>
      <c r="P273" s="201" t="n"/>
      <c r="Q273" s="201" t="n"/>
      <c r="R273" s="201" t="n"/>
      <c r="S273" s="201" t="n"/>
      <c r="T273" s="201" t="n"/>
      <c r="U273" s="201" t="n"/>
      <c r="V273" s="201" t="n"/>
      <c r="W273" s="201" t="n"/>
      <c r="X273" s="201" t="n"/>
      <c r="Y273" s="201" t="n"/>
      <c r="Z273" s="202">
        <f>sum(T273:X273)</f>
        <v/>
      </c>
      <c r="AA273" s="203">
        <f>sum(Z273/Y273)*100%</f>
        <v/>
      </c>
    </row>
    <row r="274" ht="15.75" customHeight="1" s="205">
      <c r="A274" s="199" t="n"/>
      <c r="B274" s="204" t="n"/>
      <c r="C274" s="199" t="n"/>
      <c r="D274" s="199" t="n"/>
      <c r="E274" s="199" t="n"/>
      <c r="F274" s="199" t="n"/>
      <c r="G274" s="199" t="n"/>
      <c r="H274" s="199" t="n"/>
      <c r="I274" s="199" t="n"/>
      <c r="J274" s="199" t="n"/>
      <c r="K274" s="199" t="n"/>
      <c r="L274" s="199" t="n"/>
      <c r="M274" s="199" t="n"/>
      <c r="N274" s="199" t="n"/>
      <c r="O274" s="199" t="n"/>
      <c r="P274" s="199" t="n"/>
      <c r="Q274" s="199" t="n"/>
      <c r="R274" s="199" t="n"/>
      <c r="S274" s="199" t="n"/>
      <c r="T274" s="199" t="n"/>
      <c r="U274" s="199" t="n"/>
      <c r="V274" s="199" t="n"/>
      <c r="W274" s="199" t="n"/>
      <c r="X274" s="199" t="n"/>
      <c r="Y274" s="199" t="n"/>
      <c r="Z274" s="202">
        <f>sum(T274:X274)</f>
        <v/>
      </c>
      <c r="AA274" s="203">
        <f>sum(Z274/Y274)*100%</f>
        <v/>
      </c>
    </row>
    <row r="275" ht="15.75" customHeight="1" s="205">
      <c r="A275" s="199" t="n"/>
      <c r="B275" s="200" t="n"/>
      <c r="C275" s="201" t="n"/>
      <c r="D275" s="199" t="n"/>
      <c r="E275" s="199" t="n"/>
      <c r="F275" s="199" t="n"/>
      <c r="G275" s="199" t="n"/>
      <c r="H275" s="199" t="n"/>
      <c r="I275" s="201" t="n"/>
      <c r="J275" s="201" t="n"/>
      <c r="K275" s="201" t="n"/>
      <c r="L275" s="201" t="n"/>
      <c r="M275" s="201" t="n"/>
      <c r="N275" s="201" t="n"/>
      <c r="O275" s="199" t="n"/>
      <c r="P275" s="201" t="n"/>
      <c r="Q275" s="201" t="n"/>
      <c r="R275" s="201" t="n"/>
      <c r="S275" s="201" t="n"/>
      <c r="T275" s="201" t="n"/>
      <c r="U275" s="201" t="n"/>
      <c r="V275" s="201" t="n"/>
      <c r="W275" s="201" t="n"/>
      <c r="X275" s="201" t="n"/>
      <c r="Y275" s="201" t="n"/>
      <c r="Z275" s="202">
        <f>sum(T275:X275)</f>
        <v/>
      </c>
      <c r="AA275" s="203">
        <f>sum(Z275/Y275)*100%</f>
        <v/>
      </c>
    </row>
    <row r="276" ht="15.75" customHeight="1" s="205">
      <c r="A276" s="199" t="n"/>
      <c r="B276" s="204" t="n"/>
      <c r="C276" s="199" t="n"/>
      <c r="D276" s="199" t="n"/>
      <c r="E276" s="199" t="n"/>
      <c r="F276" s="199" t="n"/>
      <c r="G276" s="199" t="n"/>
      <c r="H276" s="199" t="n"/>
      <c r="I276" s="199" t="n"/>
      <c r="J276" s="199" t="n"/>
      <c r="K276" s="199" t="n"/>
      <c r="L276" s="199" t="n"/>
      <c r="M276" s="199" t="n"/>
      <c r="N276" s="199" t="n"/>
      <c r="O276" s="199" t="n"/>
      <c r="P276" s="199" t="n"/>
      <c r="Q276" s="199" t="n"/>
      <c r="R276" s="199" t="n"/>
      <c r="S276" s="199" t="n"/>
      <c r="T276" s="199" t="n"/>
      <c r="U276" s="199" t="n"/>
      <c r="V276" s="199" t="n"/>
      <c r="W276" s="199" t="n"/>
      <c r="X276" s="199" t="n"/>
      <c r="Y276" s="199" t="n"/>
      <c r="Z276" s="202">
        <f>sum(T276:X276)</f>
        <v/>
      </c>
      <c r="AA276" s="203">
        <f>sum(Z276/Y276)*100%</f>
        <v/>
      </c>
    </row>
    <row r="277" ht="15.75" customHeight="1" s="205">
      <c r="A277" s="199" t="n"/>
      <c r="B277" s="200" t="n"/>
      <c r="C277" s="201" t="n"/>
      <c r="D277" s="199" t="n"/>
      <c r="E277" s="199" t="n"/>
      <c r="F277" s="199" t="n"/>
      <c r="G277" s="199" t="n"/>
      <c r="H277" s="199" t="n"/>
      <c r="I277" s="201" t="n"/>
      <c r="J277" s="201" t="n"/>
      <c r="K277" s="201" t="n"/>
      <c r="L277" s="201" t="n"/>
      <c r="M277" s="201" t="n"/>
      <c r="N277" s="201" t="n"/>
      <c r="O277" s="199" t="n"/>
      <c r="P277" s="201" t="n"/>
      <c r="Q277" s="201" t="n"/>
      <c r="R277" s="201" t="n"/>
      <c r="S277" s="201" t="n"/>
      <c r="T277" s="201" t="n"/>
      <c r="U277" s="201" t="n"/>
      <c r="V277" s="201" t="n"/>
      <c r="W277" s="201" t="n"/>
      <c r="X277" s="201" t="n"/>
      <c r="Y277" s="201" t="n"/>
      <c r="Z277" s="202">
        <f>sum(T277:X277)</f>
        <v/>
      </c>
      <c r="AA277" s="203">
        <f>sum(Z277/Y277)*100%</f>
        <v/>
      </c>
    </row>
    <row r="278" ht="15.75" customHeight="1" s="205">
      <c r="A278" s="199" t="n"/>
      <c r="B278" s="204" t="n"/>
      <c r="C278" s="199" t="n"/>
      <c r="D278" s="199" t="n"/>
      <c r="E278" s="199" t="n"/>
      <c r="F278" s="199" t="n"/>
      <c r="G278" s="199" t="n"/>
      <c r="H278" s="199" t="n"/>
      <c r="I278" s="199" t="n"/>
      <c r="J278" s="199" t="n"/>
      <c r="K278" s="199" t="n"/>
      <c r="L278" s="199" t="n"/>
      <c r="M278" s="199" t="n"/>
      <c r="N278" s="199" t="n"/>
      <c r="O278" s="199" t="n"/>
      <c r="P278" s="199" t="n"/>
      <c r="Q278" s="199" t="n"/>
      <c r="R278" s="199" t="n"/>
      <c r="S278" s="199" t="n"/>
      <c r="T278" s="199" t="n"/>
      <c r="U278" s="199" t="n"/>
      <c r="V278" s="199" t="n"/>
      <c r="W278" s="199" t="n"/>
      <c r="X278" s="199" t="n"/>
      <c r="Y278" s="199" t="n"/>
      <c r="Z278" s="202">
        <f>sum(T278:X278)</f>
        <v/>
      </c>
      <c r="AA278" s="203">
        <f>sum(Z278/Y278)*100%</f>
        <v/>
      </c>
    </row>
    <row r="279" ht="15.75" customHeight="1" s="205">
      <c r="A279" s="199" t="n"/>
      <c r="B279" s="200" t="n"/>
      <c r="C279" s="201" t="n"/>
      <c r="D279" s="199" t="n"/>
      <c r="E279" s="199" t="n"/>
      <c r="F279" s="199" t="n"/>
      <c r="G279" s="199" t="n"/>
      <c r="H279" s="199" t="n"/>
      <c r="I279" s="201" t="n"/>
      <c r="J279" s="201" t="n"/>
      <c r="K279" s="201" t="n"/>
      <c r="L279" s="201" t="n"/>
      <c r="M279" s="201" t="n"/>
      <c r="N279" s="201" t="n"/>
      <c r="O279" s="199" t="n"/>
      <c r="P279" s="201" t="n"/>
      <c r="Q279" s="201" t="n"/>
      <c r="R279" s="201" t="n"/>
      <c r="S279" s="201" t="n"/>
      <c r="T279" s="201" t="n"/>
      <c r="U279" s="201" t="n"/>
      <c r="V279" s="201" t="n"/>
      <c r="W279" s="201" t="n"/>
      <c r="X279" s="201" t="n"/>
      <c r="Y279" s="201" t="n"/>
      <c r="Z279" s="202">
        <f>sum(T279:X279)</f>
        <v/>
      </c>
      <c r="AA279" s="203">
        <f>sum(Z279/Y279)*100%</f>
        <v/>
      </c>
    </row>
    <row r="280" ht="15.75" customHeight="1" s="205">
      <c r="A280" s="199" t="n"/>
      <c r="B280" s="204" t="n"/>
      <c r="C280" s="199" t="n"/>
      <c r="D280" s="199" t="n"/>
      <c r="E280" s="199" t="n"/>
      <c r="F280" s="199" t="n"/>
      <c r="G280" s="199" t="n"/>
      <c r="H280" s="199" t="n"/>
      <c r="I280" s="199" t="n"/>
      <c r="J280" s="199" t="n"/>
      <c r="K280" s="199" t="n"/>
      <c r="L280" s="199" t="n"/>
      <c r="M280" s="199" t="n"/>
      <c r="N280" s="199" t="n"/>
      <c r="O280" s="199" t="n"/>
      <c r="P280" s="199" t="n"/>
      <c r="Q280" s="199" t="n"/>
      <c r="R280" s="199" t="n"/>
      <c r="S280" s="199" t="n"/>
      <c r="T280" s="199" t="n"/>
      <c r="U280" s="199" t="n"/>
      <c r="V280" s="199" t="n"/>
      <c r="W280" s="199" t="n"/>
      <c r="X280" s="199" t="n"/>
      <c r="Y280" s="199" t="n"/>
      <c r="Z280" s="202">
        <f>sum(T280:X280)</f>
        <v/>
      </c>
      <c r="AA280" s="203">
        <f>sum(Z280/Y280)*100%</f>
        <v/>
      </c>
    </row>
    <row r="281" ht="15.75" customHeight="1" s="205">
      <c r="A281" s="199" t="n"/>
      <c r="B281" s="200" t="n"/>
      <c r="C281" s="201" t="n"/>
      <c r="D281" s="199" t="n"/>
      <c r="E281" s="199" t="n"/>
      <c r="F281" s="199" t="n"/>
      <c r="G281" s="199" t="n"/>
      <c r="H281" s="199" t="n"/>
      <c r="I281" s="201" t="n"/>
      <c r="J281" s="201" t="n"/>
      <c r="K281" s="201" t="n"/>
      <c r="L281" s="201" t="n"/>
      <c r="M281" s="201" t="n"/>
      <c r="N281" s="201" t="n"/>
      <c r="O281" s="199" t="n"/>
      <c r="P281" s="201" t="n"/>
      <c r="Q281" s="201" t="n"/>
      <c r="R281" s="201" t="n"/>
      <c r="S281" s="201" t="n"/>
      <c r="T281" s="201" t="n"/>
      <c r="U281" s="201" t="n"/>
      <c r="V281" s="201" t="n"/>
      <c r="W281" s="201" t="n"/>
      <c r="X281" s="201" t="n"/>
      <c r="Y281" s="201" t="n"/>
      <c r="Z281" s="202">
        <f>sum(T281:X281)</f>
        <v/>
      </c>
      <c r="AA281" s="203">
        <f>sum(Z281/Y281)*100%</f>
        <v/>
      </c>
    </row>
    <row r="282" ht="15.75" customHeight="1" s="205">
      <c r="A282" s="199" t="n"/>
      <c r="B282" s="204" t="n"/>
      <c r="C282" s="199" t="n"/>
      <c r="D282" s="199" t="n"/>
      <c r="E282" s="199" t="n"/>
      <c r="F282" s="199" t="n"/>
      <c r="G282" s="199" t="n"/>
      <c r="H282" s="199" t="n"/>
      <c r="I282" s="199" t="n"/>
      <c r="J282" s="199" t="n"/>
      <c r="K282" s="199" t="n"/>
      <c r="L282" s="199" t="n"/>
      <c r="M282" s="199" t="n"/>
      <c r="N282" s="199" t="n"/>
      <c r="O282" s="199" t="n"/>
      <c r="P282" s="199" t="n"/>
      <c r="Q282" s="199" t="n"/>
      <c r="R282" s="199" t="n"/>
      <c r="S282" s="199" t="n"/>
      <c r="T282" s="199" t="n"/>
      <c r="U282" s="199" t="n"/>
      <c r="V282" s="199" t="n"/>
      <c r="W282" s="199" t="n"/>
      <c r="X282" s="199" t="n"/>
      <c r="Y282" s="199" t="n"/>
      <c r="Z282" s="202">
        <f>sum(T282:X282)</f>
        <v/>
      </c>
      <c r="AA282" s="203">
        <f>sum(Z282/Y282)*100%</f>
        <v/>
      </c>
    </row>
    <row r="283" ht="15.75" customHeight="1" s="205">
      <c r="A283" s="199" t="n"/>
      <c r="B283" s="200" t="n"/>
      <c r="C283" s="201" t="n"/>
      <c r="D283" s="199" t="n"/>
      <c r="E283" s="199" t="n"/>
      <c r="F283" s="199" t="n"/>
      <c r="G283" s="199" t="n"/>
      <c r="H283" s="199" t="n"/>
      <c r="I283" s="201" t="n"/>
      <c r="J283" s="201" t="n"/>
      <c r="K283" s="201" t="n"/>
      <c r="L283" s="201" t="n"/>
      <c r="M283" s="201" t="n"/>
      <c r="N283" s="201" t="n"/>
      <c r="O283" s="199" t="n"/>
      <c r="P283" s="201" t="n"/>
      <c r="Q283" s="201" t="n"/>
      <c r="R283" s="201" t="n"/>
      <c r="S283" s="201" t="n"/>
      <c r="T283" s="201" t="n"/>
      <c r="U283" s="201" t="n"/>
      <c r="V283" s="201" t="n"/>
      <c r="W283" s="201" t="n"/>
      <c r="X283" s="201" t="n"/>
      <c r="Y283" s="201" t="n"/>
      <c r="Z283" s="202">
        <f>sum(T283:X283)</f>
        <v/>
      </c>
      <c r="AA283" s="203">
        <f>sum(Z283/Y283)*100%</f>
        <v/>
      </c>
    </row>
    <row r="284" ht="15.75" customHeight="1" s="205">
      <c r="A284" s="199" t="n"/>
      <c r="B284" s="204" t="n"/>
      <c r="C284" s="199" t="n"/>
      <c r="D284" s="199" t="n"/>
      <c r="E284" s="199" t="n"/>
      <c r="F284" s="199" t="n"/>
      <c r="G284" s="199" t="n"/>
      <c r="H284" s="199" t="n"/>
      <c r="I284" s="199" t="n"/>
      <c r="J284" s="199" t="n"/>
      <c r="K284" s="199" t="n"/>
      <c r="L284" s="199" t="n"/>
      <c r="M284" s="199" t="n"/>
      <c r="N284" s="199" t="n"/>
      <c r="O284" s="199" t="n"/>
      <c r="P284" s="199" t="n"/>
      <c r="Q284" s="199" t="n"/>
      <c r="R284" s="199" t="n"/>
      <c r="S284" s="199" t="n"/>
      <c r="T284" s="199" t="n"/>
      <c r="U284" s="199" t="n"/>
      <c r="V284" s="199" t="n"/>
      <c r="W284" s="199" t="n"/>
      <c r="X284" s="199" t="n"/>
      <c r="Y284" s="199" t="n"/>
      <c r="Z284" s="202">
        <f>sum(T284:X284)</f>
        <v/>
      </c>
      <c r="AA284" s="203">
        <f>sum(Z284/Y284)*100%</f>
        <v/>
      </c>
    </row>
    <row r="285" ht="15.75" customHeight="1" s="205">
      <c r="A285" s="199" t="n"/>
      <c r="B285" s="200" t="n"/>
      <c r="C285" s="201" t="n"/>
      <c r="D285" s="199" t="n"/>
      <c r="E285" s="199" t="n"/>
      <c r="F285" s="199" t="n"/>
      <c r="G285" s="199" t="n"/>
      <c r="H285" s="199" t="n"/>
      <c r="I285" s="201" t="n"/>
      <c r="J285" s="201" t="n"/>
      <c r="K285" s="201" t="n"/>
      <c r="L285" s="201" t="n"/>
      <c r="M285" s="201" t="n"/>
      <c r="N285" s="201" t="n"/>
      <c r="O285" s="199" t="n"/>
      <c r="P285" s="201" t="n"/>
      <c r="Q285" s="201" t="n"/>
      <c r="R285" s="201" t="n"/>
      <c r="S285" s="201" t="n"/>
      <c r="T285" s="201" t="n"/>
      <c r="U285" s="201" t="n"/>
      <c r="V285" s="201" t="n"/>
      <c r="W285" s="201" t="n"/>
      <c r="X285" s="201" t="n"/>
      <c r="Y285" s="201" t="n"/>
      <c r="Z285" s="202">
        <f>sum(T285:X285)</f>
        <v/>
      </c>
      <c r="AA285" s="203">
        <f>sum(Z285/Y285)*100%</f>
        <v/>
      </c>
    </row>
    <row r="286" ht="15.75" customHeight="1" s="205">
      <c r="A286" s="199" t="n"/>
      <c r="B286" s="204" t="n"/>
      <c r="C286" s="199" t="n"/>
      <c r="D286" s="199" t="n"/>
      <c r="E286" s="199" t="n"/>
      <c r="F286" s="199" t="n"/>
      <c r="G286" s="199" t="n"/>
      <c r="H286" s="199" t="n"/>
      <c r="I286" s="199" t="n"/>
      <c r="J286" s="199" t="n"/>
      <c r="K286" s="199" t="n"/>
      <c r="L286" s="199" t="n"/>
      <c r="M286" s="199" t="n"/>
      <c r="N286" s="199" t="n"/>
      <c r="O286" s="199" t="n"/>
      <c r="P286" s="199" t="n"/>
      <c r="Q286" s="199" t="n"/>
      <c r="R286" s="199" t="n"/>
      <c r="S286" s="199" t="n"/>
      <c r="T286" s="199" t="n"/>
      <c r="U286" s="199" t="n"/>
      <c r="V286" s="199" t="n"/>
      <c r="W286" s="199" t="n"/>
      <c r="X286" s="199" t="n"/>
      <c r="Y286" s="199" t="n"/>
      <c r="Z286" s="202">
        <f>sum(T286:X286)</f>
        <v/>
      </c>
      <c r="AA286" s="203">
        <f>sum(Z286/Y286)*100%</f>
        <v/>
      </c>
    </row>
    <row r="287" ht="15.75" customHeight="1" s="205">
      <c r="A287" s="199" t="n"/>
      <c r="B287" s="200" t="n"/>
      <c r="C287" s="201" t="n"/>
      <c r="D287" s="199" t="n"/>
      <c r="E287" s="199" t="n"/>
      <c r="F287" s="199" t="n"/>
      <c r="G287" s="199" t="n"/>
      <c r="H287" s="199" t="n"/>
      <c r="I287" s="201" t="n"/>
      <c r="J287" s="201" t="n"/>
      <c r="K287" s="201" t="n"/>
      <c r="L287" s="201" t="n"/>
      <c r="M287" s="201" t="n"/>
      <c r="N287" s="201" t="n"/>
      <c r="O287" s="199" t="n"/>
      <c r="P287" s="201" t="n"/>
      <c r="Q287" s="201" t="n"/>
      <c r="R287" s="201" t="n"/>
      <c r="S287" s="201" t="n"/>
      <c r="T287" s="201" t="n"/>
      <c r="U287" s="201" t="n"/>
      <c r="V287" s="201" t="n"/>
      <c r="W287" s="201" t="n"/>
      <c r="X287" s="201" t="n"/>
      <c r="Y287" s="201" t="n"/>
      <c r="Z287" s="202">
        <f>sum(T287:X287)</f>
        <v/>
      </c>
      <c r="AA287" s="203">
        <f>sum(Z287/Y287)*100%</f>
        <v/>
      </c>
    </row>
    <row r="288" ht="15.75" customHeight="1" s="205">
      <c r="A288" s="199" t="n"/>
      <c r="B288" s="204" t="n"/>
      <c r="C288" s="199" t="n"/>
      <c r="D288" s="199" t="n"/>
      <c r="E288" s="199" t="n"/>
      <c r="F288" s="199" t="n"/>
      <c r="G288" s="199" t="n"/>
      <c r="H288" s="199" t="n"/>
      <c r="I288" s="199" t="n"/>
      <c r="J288" s="199" t="n"/>
      <c r="K288" s="199" t="n"/>
      <c r="L288" s="199" t="n"/>
      <c r="M288" s="199" t="n"/>
      <c r="N288" s="199" t="n"/>
      <c r="O288" s="199" t="n"/>
      <c r="P288" s="199" t="n"/>
      <c r="Q288" s="199" t="n"/>
      <c r="R288" s="199" t="n"/>
      <c r="S288" s="199" t="n"/>
      <c r="T288" s="199" t="n"/>
      <c r="U288" s="199" t="n"/>
      <c r="V288" s="199" t="n"/>
      <c r="W288" s="199" t="n"/>
      <c r="X288" s="199" t="n"/>
      <c r="Y288" s="199" t="n"/>
      <c r="Z288" s="202">
        <f>sum(T288:X288)</f>
        <v/>
      </c>
      <c r="AA288" s="203">
        <f>sum(Z288/Y288)*100%</f>
        <v/>
      </c>
    </row>
    <row r="289" ht="15.75" customHeight="1" s="205">
      <c r="A289" s="199" t="n"/>
      <c r="B289" s="200" t="n"/>
      <c r="C289" s="201" t="n"/>
      <c r="D289" s="199" t="n"/>
      <c r="E289" s="199" t="n"/>
      <c r="F289" s="199" t="n"/>
      <c r="G289" s="199" t="n"/>
      <c r="H289" s="199" t="n"/>
      <c r="I289" s="201" t="n"/>
      <c r="J289" s="201" t="n"/>
      <c r="K289" s="201" t="n"/>
      <c r="L289" s="201" t="n"/>
      <c r="M289" s="201" t="n"/>
      <c r="N289" s="201" t="n"/>
      <c r="O289" s="199" t="n"/>
      <c r="P289" s="201" t="n"/>
      <c r="Q289" s="201" t="n"/>
      <c r="R289" s="201" t="n"/>
      <c r="S289" s="201" t="n"/>
      <c r="T289" s="201" t="n"/>
      <c r="U289" s="201" t="n"/>
      <c r="V289" s="201" t="n"/>
      <c r="W289" s="201" t="n"/>
      <c r="X289" s="201" t="n"/>
      <c r="Y289" s="201" t="n"/>
      <c r="Z289" s="202">
        <f>sum(T289:X289)</f>
        <v/>
      </c>
      <c r="AA289" s="203">
        <f>sum(Z289/Y289)*100%</f>
        <v/>
      </c>
    </row>
    <row r="290" ht="15.75" customHeight="1" s="205">
      <c r="A290" s="199" t="n"/>
      <c r="B290" s="204" t="n"/>
      <c r="C290" s="199" t="n"/>
      <c r="D290" s="199" t="n"/>
      <c r="E290" s="199" t="n"/>
      <c r="F290" s="199" t="n"/>
      <c r="G290" s="199" t="n"/>
      <c r="H290" s="199" t="n"/>
      <c r="I290" s="199" t="n"/>
      <c r="J290" s="199" t="n"/>
      <c r="K290" s="199" t="n"/>
      <c r="L290" s="199" t="n"/>
      <c r="M290" s="199" t="n"/>
      <c r="N290" s="199" t="n"/>
      <c r="O290" s="199" t="n"/>
      <c r="P290" s="199" t="n"/>
      <c r="Q290" s="199" t="n"/>
      <c r="R290" s="199" t="n"/>
      <c r="S290" s="199" t="n"/>
      <c r="T290" s="199" t="n"/>
      <c r="U290" s="199" t="n"/>
      <c r="V290" s="199" t="n"/>
      <c r="W290" s="199" t="n"/>
      <c r="X290" s="199" t="n"/>
      <c r="Y290" s="199" t="n"/>
      <c r="Z290" s="202">
        <f>sum(T290:X290)</f>
        <v/>
      </c>
      <c r="AA290" s="203">
        <f>sum(Z290/Y290)*100%</f>
        <v/>
      </c>
    </row>
    <row r="291" ht="15.75" customHeight="1" s="205">
      <c r="A291" s="199" t="n"/>
      <c r="B291" s="200" t="n"/>
      <c r="C291" s="201" t="n"/>
      <c r="D291" s="199" t="n"/>
      <c r="E291" s="199" t="n"/>
      <c r="F291" s="199" t="n"/>
      <c r="G291" s="199" t="n"/>
      <c r="H291" s="199" t="n"/>
      <c r="I291" s="201" t="n"/>
      <c r="J291" s="201" t="n"/>
      <c r="K291" s="201" t="n"/>
      <c r="L291" s="201" t="n"/>
      <c r="M291" s="201" t="n"/>
      <c r="N291" s="201" t="n"/>
      <c r="O291" s="199" t="n"/>
      <c r="P291" s="201" t="n"/>
      <c r="Q291" s="201" t="n"/>
      <c r="R291" s="201" t="n"/>
      <c r="S291" s="201" t="n"/>
      <c r="T291" s="201" t="n"/>
      <c r="U291" s="201" t="n"/>
      <c r="V291" s="201" t="n"/>
      <c r="W291" s="201" t="n"/>
      <c r="X291" s="201" t="n"/>
      <c r="Y291" s="201" t="n"/>
      <c r="Z291" s="202">
        <f>sum(T291:X291)</f>
        <v/>
      </c>
      <c r="AA291" s="203">
        <f>sum(Z291/Y291)*100%</f>
        <v/>
      </c>
    </row>
    <row r="292" ht="15.75" customHeight="1" s="205">
      <c r="A292" s="199" t="n"/>
      <c r="B292" s="204" t="n"/>
      <c r="C292" s="199" t="n"/>
      <c r="D292" s="199" t="n"/>
      <c r="E292" s="199" t="n"/>
      <c r="F292" s="199" t="n"/>
      <c r="G292" s="199" t="n"/>
      <c r="H292" s="199" t="n"/>
      <c r="I292" s="199" t="n"/>
      <c r="J292" s="199" t="n"/>
      <c r="K292" s="199" t="n"/>
      <c r="L292" s="199" t="n"/>
      <c r="M292" s="199" t="n"/>
      <c r="N292" s="199" t="n"/>
      <c r="O292" s="199" t="n"/>
      <c r="P292" s="199" t="n"/>
      <c r="Q292" s="199" t="n"/>
      <c r="R292" s="199" t="n"/>
      <c r="S292" s="199" t="n"/>
      <c r="T292" s="199" t="n"/>
      <c r="U292" s="199" t="n"/>
      <c r="V292" s="199" t="n"/>
      <c r="W292" s="199" t="n"/>
      <c r="X292" s="199" t="n"/>
      <c r="Y292" s="199" t="n"/>
      <c r="Z292" s="202">
        <f>sum(T292:X292)</f>
        <v/>
      </c>
      <c r="AA292" s="203">
        <f>sum(Z292/Y292)*100%</f>
        <v/>
      </c>
    </row>
    <row r="293" ht="15.75" customHeight="1" s="205">
      <c r="A293" s="199" t="n"/>
      <c r="B293" s="200" t="n"/>
      <c r="C293" s="201" t="n"/>
      <c r="D293" s="199" t="n"/>
      <c r="E293" s="199" t="n"/>
      <c r="F293" s="199" t="n"/>
      <c r="G293" s="199" t="n"/>
      <c r="H293" s="199" t="n"/>
      <c r="I293" s="201" t="n"/>
      <c r="J293" s="201" t="n"/>
      <c r="K293" s="201" t="n"/>
      <c r="L293" s="201" t="n"/>
      <c r="M293" s="201" t="n"/>
      <c r="N293" s="201" t="n"/>
      <c r="O293" s="199" t="n"/>
      <c r="P293" s="201" t="n"/>
      <c r="Q293" s="201" t="n"/>
      <c r="R293" s="201" t="n"/>
      <c r="S293" s="201" t="n"/>
      <c r="T293" s="201" t="n"/>
      <c r="U293" s="201" t="n"/>
      <c r="V293" s="201" t="n"/>
      <c r="W293" s="201" t="n"/>
      <c r="X293" s="201" t="n"/>
      <c r="Y293" s="201" t="n"/>
      <c r="Z293" s="202">
        <f>sum(T293:X293)</f>
        <v/>
      </c>
      <c r="AA293" s="203">
        <f>sum(Z293/Y293)*100%</f>
        <v/>
      </c>
    </row>
    <row r="294" ht="15.75" customHeight="1" s="205">
      <c r="A294" s="199" t="n"/>
      <c r="B294" s="204" t="n"/>
      <c r="C294" s="199" t="n"/>
      <c r="D294" s="199" t="n"/>
      <c r="E294" s="199" t="n"/>
      <c r="F294" s="199" t="n"/>
      <c r="G294" s="199" t="n"/>
      <c r="H294" s="199" t="n"/>
      <c r="I294" s="199" t="n"/>
      <c r="J294" s="199" t="n"/>
      <c r="K294" s="199" t="n"/>
      <c r="L294" s="199" t="n"/>
      <c r="M294" s="199" t="n"/>
      <c r="N294" s="199" t="n"/>
      <c r="O294" s="199" t="n"/>
      <c r="P294" s="199" t="n"/>
      <c r="Q294" s="199" t="n"/>
      <c r="R294" s="199" t="n"/>
      <c r="S294" s="199" t="n"/>
      <c r="T294" s="199" t="n"/>
      <c r="U294" s="199" t="n"/>
      <c r="V294" s="199" t="n"/>
      <c r="W294" s="199" t="n"/>
      <c r="X294" s="199" t="n"/>
      <c r="Y294" s="199" t="n"/>
      <c r="Z294" s="202">
        <f>sum(T294:X294)</f>
        <v/>
      </c>
      <c r="AA294" s="203">
        <f>sum(Z294/Y294)*100%</f>
        <v/>
      </c>
    </row>
    <row r="295" ht="15.75" customHeight="1" s="205">
      <c r="A295" s="199" t="n"/>
      <c r="B295" s="200" t="n"/>
      <c r="C295" s="201" t="n"/>
      <c r="D295" s="199" t="n"/>
      <c r="E295" s="199" t="n"/>
      <c r="F295" s="199" t="n"/>
      <c r="G295" s="199" t="n"/>
      <c r="H295" s="199" t="n"/>
      <c r="I295" s="201" t="n"/>
      <c r="J295" s="201" t="n"/>
      <c r="K295" s="201" t="n"/>
      <c r="L295" s="201" t="n"/>
      <c r="M295" s="201" t="n"/>
      <c r="N295" s="201" t="n"/>
      <c r="O295" s="199" t="n"/>
      <c r="P295" s="201" t="n"/>
      <c r="Q295" s="201" t="n"/>
      <c r="R295" s="201" t="n"/>
      <c r="S295" s="201" t="n"/>
      <c r="T295" s="201" t="n"/>
      <c r="U295" s="201" t="n"/>
      <c r="V295" s="201" t="n"/>
      <c r="W295" s="201" t="n"/>
      <c r="X295" s="201" t="n"/>
      <c r="Y295" s="201" t="n"/>
      <c r="Z295" s="202">
        <f>sum(T295:X295)</f>
        <v/>
      </c>
      <c r="AA295" s="203">
        <f>sum(Z295/Y295)*100%</f>
        <v/>
      </c>
    </row>
    <row r="296" ht="15.75" customHeight="1" s="205">
      <c r="A296" s="199" t="n"/>
      <c r="B296" s="204" t="n"/>
      <c r="C296" s="199" t="n"/>
      <c r="D296" s="199" t="n"/>
      <c r="E296" s="199" t="n"/>
      <c r="F296" s="199" t="n"/>
      <c r="G296" s="199" t="n"/>
      <c r="H296" s="199" t="n"/>
      <c r="I296" s="199" t="n"/>
      <c r="J296" s="199" t="n"/>
      <c r="K296" s="199" t="n"/>
      <c r="L296" s="199" t="n"/>
      <c r="M296" s="199" t="n"/>
      <c r="N296" s="199" t="n"/>
      <c r="O296" s="199" t="n"/>
      <c r="P296" s="199" t="n"/>
      <c r="Q296" s="199" t="n"/>
      <c r="R296" s="199" t="n"/>
      <c r="S296" s="199" t="n"/>
      <c r="T296" s="199" t="n"/>
      <c r="U296" s="199" t="n"/>
      <c r="V296" s="199" t="n"/>
      <c r="W296" s="199" t="n"/>
      <c r="X296" s="199" t="n"/>
      <c r="Y296" s="199" t="n"/>
      <c r="Z296" s="202">
        <f>sum(T296:X296)</f>
        <v/>
      </c>
      <c r="AA296" s="203">
        <f>sum(Z296/Y296)*100%</f>
        <v/>
      </c>
    </row>
    <row r="297" ht="15.75" customHeight="1" s="205">
      <c r="A297" s="199" t="n"/>
      <c r="B297" s="200" t="n"/>
      <c r="C297" s="201" t="n"/>
      <c r="D297" s="199" t="n"/>
      <c r="E297" s="199" t="n"/>
      <c r="F297" s="199" t="n"/>
      <c r="G297" s="199" t="n"/>
      <c r="H297" s="199" t="n"/>
      <c r="I297" s="201" t="n"/>
      <c r="J297" s="201" t="n"/>
      <c r="K297" s="201" t="n"/>
      <c r="L297" s="201" t="n"/>
      <c r="M297" s="201" t="n"/>
      <c r="N297" s="201" t="n"/>
      <c r="O297" s="199" t="n"/>
      <c r="P297" s="201" t="n"/>
      <c r="Q297" s="201" t="n"/>
      <c r="R297" s="201" t="n"/>
      <c r="S297" s="201" t="n"/>
      <c r="T297" s="201" t="n"/>
      <c r="U297" s="201" t="n"/>
      <c r="V297" s="201" t="n"/>
      <c r="W297" s="201" t="n"/>
      <c r="X297" s="201" t="n"/>
      <c r="Y297" s="201" t="n"/>
      <c r="Z297" s="202">
        <f>sum(T297:X297)</f>
        <v/>
      </c>
      <c r="AA297" s="203">
        <f>sum(Z297/Y297)*100%</f>
        <v/>
      </c>
    </row>
    <row r="298" ht="15.75" customHeight="1" s="205">
      <c r="A298" s="199" t="n"/>
      <c r="B298" s="204" t="n"/>
      <c r="C298" s="199" t="n"/>
      <c r="D298" s="199" t="n"/>
      <c r="E298" s="199" t="n"/>
      <c r="F298" s="199" t="n"/>
      <c r="G298" s="199" t="n"/>
      <c r="H298" s="199" t="n"/>
      <c r="I298" s="199" t="n"/>
      <c r="J298" s="199" t="n"/>
      <c r="K298" s="199" t="n"/>
      <c r="L298" s="199" t="n"/>
      <c r="M298" s="199" t="n"/>
      <c r="N298" s="199" t="n"/>
      <c r="O298" s="199" t="n"/>
      <c r="P298" s="199" t="n"/>
      <c r="Q298" s="199" t="n"/>
      <c r="R298" s="199" t="n"/>
      <c r="S298" s="199" t="n"/>
      <c r="T298" s="199" t="n"/>
      <c r="U298" s="199" t="n"/>
      <c r="V298" s="199" t="n"/>
      <c r="W298" s="199" t="n"/>
      <c r="X298" s="199" t="n"/>
      <c r="Y298" s="199" t="n"/>
      <c r="Z298" s="202">
        <f>sum(T298:X298)</f>
        <v/>
      </c>
      <c r="AA298" s="203">
        <f>sum(Z298/Y298)*100%</f>
        <v/>
      </c>
    </row>
    <row r="299" ht="15.75" customHeight="1" s="205">
      <c r="A299" s="199" t="n"/>
      <c r="B299" s="200" t="n"/>
      <c r="C299" s="201" t="n"/>
      <c r="D299" s="199" t="n"/>
      <c r="E299" s="199" t="n"/>
      <c r="F299" s="199" t="n"/>
      <c r="G299" s="199" t="n"/>
      <c r="H299" s="199" t="n"/>
      <c r="I299" s="201" t="n"/>
      <c r="J299" s="201" t="n"/>
      <c r="K299" s="201" t="n"/>
      <c r="L299" s="201" t="n"/>
      <c r="M299" s="201" t="n"/>
      <c r="N299" s="201" t="n"/>
      <c r="O299" s="199" t="n"/>
      <c r="P299" s="201" t="n"/>
      <c r="Q299" s="201" t="n"/>
      <c r="R299" s="201" t="n"/>
      <c r="S299" s="201" t="n"/>
      <c r="T299" s="201" t="n"/>
      <c r="U299" s="201" t="n"/>
      <c r="V299" s="201" t="n"/>
      <c r="W299" s="201" t="n"/>
      <c r="X299" s="201" t="n"/>
      <c r="Y299" s="201" t="n"/>
      <c r="Z299" s="202">
        <f>sum(T299:X299)</f>
        <v/>
      </c>
      <c r="AA299" s="203">
        <f>sum(Z299/Y299)*100%</f>
        <v/>
      </c>
    </row>
    <row r="300" ht="15.75" customHeight="1" s="205">
      <c r="A300" s="199" t="n"/>
      <c r="B300" s="204" t="n"/>
      <c r="C300" s="199" t="n"/>
      <c r="D300" s="199" t="n"/>
      <c r="E300" s="199" t="n"/>
      <c r="F300" s="199" t="n"/>
      <c r="G300" s="199" t="n"/>
      <c r="H300" s="199" t="n"/>
      <c r="I300" s="199" t="n"/>
      <c r="J300" s="199" t="n"/>
      <c r="K300" s="199" t="n"/>
      <c r="L300" s="199" t="n"/>
      <c r="M300" s="199" t="n"/>
      <c r="N300" s="199" t="n"/>
      <c r="O300" s="199" t="n"/>
      <c r="P300" s="199" t="n"/>
      <c r="Q300" s="199" t="n"/>
      <c r="R300" s="199" t="n"/>
      <c r="S300" s="199" t="n"/>
      <c r="T300" s="199" t="n"/>
      <c r="U300" s="199" t="n"/>
      <c r="V300" s="199" t="n"/>
      <c r="W300" s="199" t="n"/>
      <c r="X300" s="199" t="n"/>
      <c r="Y300" s="199" t="n"/>
      <c r="Z300" s="202">
        <f>sum(T300:X300)</f>
        <v/>
      </c>
      <c r="AA300" s="203">
        <f>sum(Z300/Y300)*100%</f>
        <v/>
      </c>
    </row>
    <row r="301" ht="15.75" customHeight="1" s="205">
      <c r="A301" s="199" t="n"/>
      <c r="B301" s="200" t="n"/>
      <c r="C301" s="201" t="n"/>
      <c r="D301" s="199" t="n"/>
      <c r="E301" s="199" t="n"/>
      <c r="F301" s="199" t="n"/>
      <c r="G301" s="199" t="n"/>
      <c r="H301" s="199" t="n"/>
      <c r="I301" s="201" t="n"/>
      <c r="J301" s="201" t="n"/>
      <c r="K301" s="201" t="n"/>
      <c r="L301" s="201" t="n"/>
      <c r="M301" s="201" t="n"/>
      <c r="N301" s="201" t="n"/>
      <c r="O301" s="199" t="n"/>
      <c r="P301" s="201" t="n"/>
      <c r="Q301" s="201" t="n"/>
      <c r="R301" s="201" t="n"/>
      <c r="S301" s="201" t="n"/>
      <c r="T301" s="201" t="n"/>
      <c r="U301" s="201" t="n"/>
      <c r="V301" s="201" t="n"/>
      <c r="W301" s="201" t="n"/>
      <c r="X301" s="201" t="n"/>
      <c r="Y301" s="201" t="n"/>
      <c r="Z301" s="202">
        <f>sum(T301:X301)</f>
        <v/>
      </c>
      <c r="AA301" s="203">
        <f>sum(Z301/Y301)*100%</f>
        <v/>
      </c>
    </row>
    <row r="302" ht="15.75" customHeight="1" s="205">
      <c r="A302" s="199" t="n"/>
      <c r="B302" s="204" t="n"/>
      <c r="C302" s="199" t="n"/>
      <c r="D302" s="199" t="n"/>
      <c r="E302" s="199" t="n"/>
      <c r="F302" s="199" t="n"/>
      <c r="G302" s="199" t="n"/>
      <c r="H302" s="199" t="n"/>
      <c r="I302" s="199" t="n"/>
      <c r="J302" s="199" t="n"/>
      <c r="K302" s="199" t="n"/>
      <c r="L302" s="199" t="n"/>
      <c r="M302" s="199" t="n"/>
      <c r="N302" s="199" t="n"/>
      <c r="O302" s="199" t="n"/>
      <c r="P302" s="199" t="n"/>
      <c r="Q302" s="199" t="n"/>
      <c r="R302" s="199" t="n"/>
      <c r="S302" s="199" t="n"/>
      <c r="T302" s="199" t="n"/>
      <c r="U302" s="199" t="n"/>
      <c r="V302" s="199" t="n"/>
      <c r="W302" s="199" t="n"/>
      <c r="X302" s="199" t="n"/>
      <c r="Y302" s="199" t="n"/>
      <c r="Z302" s="202">
        <f>sum(T302:X302)</f>
        <v/>
      </c>
      <c r="AA302" s="203">
        <f>sum(Z302/Y302)*100%</f>
        <v/>
      </c>
    </row>
    <row r="303" ht="15.75" customHeight="1" s="205">
      <c r="A303" s="199" t="n"/>
      <c r="B303" s="200" t="n"/>
      <c r="C303" s="201" t="n"/>
      <c r="D303" s="199" t="n"/>
      <c r="E303" s="199" t="n"/>
      <c r="F303" s="199" t="n"/>
      <c r="G303" s="199" t="n"/>
      <c r="H303" s="199" t="n"/>
      <c r="I303" s="201" t="n"/>
      <c r="J303" s="201" t="n"/>
      <c r="K303" s="201" t="n"/>
      <c r="L303" s="201" t="n"/>
      <c r="M303" s="201" t="n"/>
      <c r="N303" s="201" t="n"/>
      <c r="O303" s="199" t="n"/>
      <c r="P303" s="201" t="n"/>
      <c r="Q303" s="201" t="n"/>
      <c r="R303" s="201" t="n"/>
      <c r="S303" s="201" t="n"/>
      <c r="T303" s="201" t="n"/>
      <c r="U303" s="201" t="n"/>
      <c r="V303" s="201" t="n"/>
      <c r="W303" s="201" t="n"/>
      <c r="X303" s="201" t="n"/>
      <c r="Y303" s="201" t="n"/>
      <c r="Z303" s="202">
        <f>sum(T303:X303)</f>
        <v/>
      </c>
      <c r="AA303" s="203">
        <f>sum(Z303/Y303)*100%</f>
        <v/>
      </c>
    </row>
    <row r="304" ht="15.75" customHeight="1" s="205">
      <c r="A304" s="199" t="n"/>
      <c r="B304" s="204" t="n"/>
      <c r="C304" s="199" t="n"/>
      <c r="D304" s="199" t="n"/>
      <c r="E304" s="199" t="n"/>
      <c r="F304" s="199" t="n"/>
      <c r="G304" s="199" t="n"/>
      <c r="H304" s="199" t="n"/>
      <c r="I304" s="199" t="n"/>
      <c r="J304" s="199" t="n"/>
      <c r="K304" s="199" t="n"/>
      <c r="L304" s="199" t="n"/>
      <c r="M304" s="199" t="n"/>
      <c r="N304" s="199" t="n"/>
      <c r="O304" s="199" t="n"/>
      <c r="P304" s="199" t="n"/>
      <c r="Q304" s="199" t="n"/>
      <c r="R304" s="199" t="n"/>
      <c r="S304" s="199" t="n"/>
      <c r="T304" s="199" t="n"/>
      <c r="U304" s="199" t="n"/>
      <c r="V304" s="199" t="n"/>
      <c r="W304" s="199" t="n"/>
      <c r="X304" s="199" t="n"/>
      <c r="Y304" s="199" t="n"/>
      <c r="Z304" s="202">
        <f>sum(T304:X304)</f>
        <v/>
      </c>
      <c r="AA304" s="203">
        <f>sum(Z304/Y304)*100%</f>
        <v/>
      </c>
    </row>
    <row r="305" ht="15.75" customHeight="1" s="205">
      <c r="A305" s="199" t="n"/>
      <c r="B305" s="200" t="n"/>
      <c r="C305" s="201" t="n"/>
      <c r="D305" s="199" t="n"/>
      <c r="E305" s="199" t="n"/>
      <c r="F305" s="199" t="n"/>
      <c r="G305" s="199" t="n"/>
      <c r="H305" s="199" t="n"/>
      <c r="I305" s="201" t="n"/>
      <c r="J305" s="201" t="n"/>
      <c r="K305" s="201" t="n"/>
      <c r="L305" s="201" t="n"/>
      <c r="M305" s="201" t="n"/>
      <c r="N305" s="201" t="n"/>
      <c r="O305" s="199" t="n"/>
      <c r="P305" s="201" t="n"/>
      <c r="Q305" s="201" t="n"/>
      <c r="R305" s="201" t="n"/>
      <c r="S305" s="201" t="n"/>
      <c r="T305" s="201" t="n"/>
      <c r="U305" s="201" t="n"/>
      <c r="V305" s="201" t="n"/>
      <c r="W305" s="201" t="n"/>
      <c r="X305" s="201" t="n"/>
      <c r="Y305" s="201" t="n"/>
      <c r="Z305" s="202">
        <f>sum(T305:X305)</f>
        <v/>
      </c>
      <c r="AA305" s="203">
        <f>sum(Z305/Y305)*100%</f>
        <v/>
      </c>
    </row>
    <row r="306" ht="15.75" customHeight="1" s="205">
      <c r="A306" s="199" t="n"/>
      <c r="B306" s="204" t="n"/>
      <c r="C306" s="199" t="n"/>
      <c r="D306" s="199" t="n"/>
      <c r="E306" s="199" t="n"/>
      <c r="F306" s="199" t="n"/>
      <c r="G306" s="199" t="n"/>
      <c r="H306" s="199" t="n"/>
      <c r="I306" s="199" t="n"/>
      <c r="J306" s="199" t="n"/>
      <c r="K306" s="199" t="n"/>
      <c r="L306" s="199" t="n"/>
      <c r="M306" s="199" t="n"/>
      <c r="N306" s="199" t="n"/>
      <c r="O306" s="199" t="n"/>
      <c r="P306" s="199" t="n"/>
      <c r="Q306" s="199" t="n"/>
      <c r="R306" s="199" t="n"/>
      <c r="S306" s="199" t="n"/>
      <c r="T306" s="199" t="n"/>
      <c r="U306" s="199" t="n"/>
      <c r="V306" s="199" t="n"/>
      <c r="W306" s="199" t="n"/>
      <c r="X306" s="199" t="n"/>
      <c r="Y306" s="199" t="n"/>
      <c r="Z306" s="202">
        <f>sum(T306:X306)</f>
        <v/>
      </c>
      <c r="AA306" s="203">
        <f>sum(Z306/Y306)*100%</f>
        <v/>
      </c>
    </row>
    <row r="307" ht="15.75" customHeight="1" s="205">
      <c r="A307" s="199" t="n"/>
      <c r="B307" s="200" t="n"/>
      <c r="C307" s="201" t="n"/>
      <c r="D307" s="199" t="n"/>
      <c r="E307" s="199" t="n"/>
      <c r="F307" s="199" t="n"/>
      <c r="G307" s="199" t="n"/>
      <c r="H307" s="199" t="n"/>
      <c r="I307" s="201" t="n"/>
      <c r="J307" s="201" t="n"/>
      <c r="K307" s="201" t="n"/>
      <c r="L307" s="201" t="n"/>
      <c r="M307" s="201" t="n"/>
      <c r="N307" s="201" t="n"/>
      <c r="O307" s="199" t="n"/>
      <c r="P307" s="201" t="n"/>
      <c r="Q307" s="201" t="n"/>
      <c r="R307" s="201" t="n"/>
      <c r="S307" s="201" t="n"/>
      <c r="T307" s="201" t="n"/>
      <c r="U307" s="201" t="n"/>
      <c r="V307" s="201" t="n"/>
      <c r="W307" s="201" t="n"/>
      <c r="X307" s="201" t="n"/>
      <c r="Y307" s="201" t="n"/>
      <c r="Z307" s="202">
        <f>sum(T307:X307)</f>
        <v/>
      </c>
      <c r="AA307" s="203">
        <f>sum(Z307/Y307)*100%</f>
        <v/>
      </c>
    </row>
    <row r="308" ht="15.75" customHeight="1" s="205">
      <c r="A308" s="199" t="n"/>
      <c r="B308" s="204" t="n"/>
      <c r="C308" s="199" t="n"/>
      <c r="D308" s="199" t="n"/>
      <c r="E308" s="199" t="n"/>
      <c r="F308" s="199" t="n"/>
      <c r="G308" s="199" t="n"/>
      <c r="H308" s="199" t="n"/>
      <c r="I308" s="199" t="n"/>
      <c r="J308" s="199" t="n"/>
      <c r="K308" s="199" t="n"/>
      <c r="L308" s="199" t="n"/>
      <c r="M308" s="199" t="n"/>
      <c r="N308" s="199" t="n"/>
      <c r="O308" s="199" t="n"/>
      <c r="P308" s="199" t="n"/>
      <c r="Q308" s="199" t="n"/>
      <c r="R308" s="199" t="n"/>
      <c r="S308" s="199" t="n"/>
      <c r="T308" s="199" t="n"/>
      <c r="U308" s="199" t="n"/>
      <c r="V308" s="199" t="n"/>
      <c r="W308" s="199" t="n"/>
      <c r="X308" s="199" t="n"/>
      <c r="Y308" s="199" t="n"/>
      <c r="Z308" s="202">
        <f>sum(T308:X308)</f>
        <v/>
      </c>
      <c r="AA308" s="203">
        <f>sum(Z308/Y308)*100%</f>
        <v/>
      </c>
    </row>
    <row r="309" ht="15.75" customHeight="1" s="205">
      <c r="A309" s="199" t="n"/>
      <c r="B309" s="200" t="n"/>
      <c r="C309" s="201" t="n"/>
      <c r="D309" s="199" t="n"/>
      <c r="E309" s="199" t="n"/>
      <c r="F309" s="199" t="n"/>
      <c r="G309" s="199" t="n"/>
      <c r="H309" s="199" t="n"/>
      <c r="I309" s="201" t="n"/>
      <c r="J309" s="201" t="n"/>
      <c r="K309" s="201" t="n"/>
      <c r="L309" s="201" t="n"/>
      <c r="M309" s="201" t="n"/>
      <c r="N309" s="201" t="n"/>
      <c r="O309" s="199" t="n"/>
      <c r="P309" s="201" t="n"/>
      <c r="Q309" s="201" t="n"/>
      <c r="R309" s="201" t="n"/>
      <c r="S309" s="201" t="n"/>
      <c r="T309" s="201" t="n"/>
      <c r="U309" s="201" t="n"/>
      <c r="V309" s="201" t="n"/>
      <c r="W309" s="201" t="n"/>
      <c r="X309" s="201" t="n"/>
      <c r="Y309" s="201" t="n"/>
      <c r="Z309" s="202">
        <f>sum(T309:X309)</f>
        <v/>
      </c>
      <c r="AA309" s="203">
        <f>sum(Z309/Y309)*100%</f>
        <v/>
      </c>
    </row>
    <row r="310" ht="15.75" customHeight="1" s="205">
      <c r="A310" s="199" t="n"/>
      <c r="B310" s="204" t="n"/>
      <c r="C310" s="199" t="n"/>
      <c r="D310" s="199" t="n"/>
      <c r="E310" s="199" t="n"/>
      <c r="F310" s="199" t="n"/>
      <c r="G310" s="199" t="n"/>
      <c r="H310" s="199" t="n"/>
      <c r="I310" s="199" t="n"/>
      <c r="J310" s="199" t="n"/>
      <c r="K310" s="199" t="n"/>
      <c r="L310" s="199" t="n"/>
      <c r="M310" s="199" t="n"/>
      <c r="N310" s="199" t="n"/>
      <c r="O310" s="199" t="n"/>
      <c r="P310" s="199" t="n"/>
      <c r="Q310" s="199" t="n"/>
      <c r="R310" s="199" t="n"/>
      <c r="S310" s="199" t="n"/>
      <c r="T310" s="199" t="n"/>
      <c r="U310" s="199" t="n"/>
      <c r="V310" s="199" t="n"/>
      <c r="W310" s="199" t="n"/>
      <c r="X310" s="199" t="n"/>
      <c r="Y310" s="199" t="n"/>
      <c r="Z310" s="202">
        <f>sum(T310:X310)</f>
        <v/>
      </c>
      <c r="AA310" s="203">
        <f>sum(Z310/Y310)*100%</f>
        <v/>
      </c>
    </row>
    <row r="311" ht="15.75" customHeight="1" s="205">
      <c r="A311" s="199" t="n"/>
      <c r="B311" s="200" t="n"/>
      <c r="C311" s="201" t="n"/>
      <c r="D311" s="199" t="n"/>
      <c r="E311" s="199" t="n"/>
      <c r="F311" s="199" t="n"/>
      <c r="G311" s="199" t="n"/>
      <c r="H311" s="199" t="n"/>
      <c r="I311" s="201" t="n"/>
      <c r="J311" s="201" t="n"/>
      <c r="K311" s="201" t="n"/>
      <c r="L311" s="201" t="n"/>
      <c r="M311" s="201" t="n"/>
      <c r="N311" s="201" t="n"/>
      <c r="O311" s="199" t="n"/>
      <c r="P311" s="201" t="n"/>
      <c r="Q311" s="201" t="n"/>
      <c r="R311" s="201" t="n"/>
      <c r="S311" s="201" t="n"/>
      <c r="T311" s="201" t="n"/>
      <c r="U311" s="201" t="n"/>
      <c r="V311" s="201" t="n"/>
      <c r="W311" s="201" t="n"/>
      <c r="X311" s="201" t="n"/>
      <c r="Y311" s="201" t="n"/>
      <c r="Z311" s="202">
        <f>sum(T311:X311)</f>
        <v/>
      </c>
      <c r="AA311" s="203">
        <f>sum(Z311/Y311)*100%</f>
        <v/>
      </c>
    </row>
    <row r="312" ht="15.75" customHeight="1" s="205">
      <c r="A312" s="199" t="n"/>
      <c r="B312" s="204" t="n"/>
      <c r="C312" s="199" t="n"/>
      <c r="D312" s="199" t="n"/>
      <c r="E312" s="199" t="n"/>
      <c r="F312" s="199" t="n"/>
      <c r="G312" s="199" t="n"/>
      <c r="H312" s="199" t="n"/>
      <c r="I312" s="199" t="n"/>
      <c r="J312" s="199" t="n"/>
      <c r="K312" s="199" t="n"/>
      <c r="L312" s="199" t="n"/>
      <c r="M312" s="199" t="n"/>
      <c r="N312" s="199" t="n"/>
      <c r="O312" s="199" t="n"/>
      <c r="P312" s="199" t="n"/>
      <c r="Q312" s="199" t="n"/>
      <c r="R312" s="199" t="n"/>
      <c r="S312" s="199" t="n"/>
      <c r="T312" s="199" t="n"/>
      <c r="U312" s="199" t="n"/>
      <c r="V312" s="199" t="n"/>
      <c r="W312" s="199" t="n"/>
      <c r="X312" s="199" t="n"/>
      <c r="Y312" s="199" t="n"/>
      <c r="Z312" s="202">
        <f>sum(T312:X312)</f>
        <v/>
      </c>
      <c r="AA312" s="203">
        <f>sum(Z312/Y312)*100%</f>
        <v/>
      </c>
    </row>
    <row r="313" ht="15.75" customHeight="1" s="205">
      <c r="A313" s="199" t="n"/>
      <c r="B313" s="200" t="n"/>
      <c r="C313" s="201" t="n"/>
      <c r="D313" s="199" t="n"/>
      <c r="E313" s="199" t="n"/>
      <c r="F313" s="199" t="n"/>
      <c r="G313" s="199" t="n"/>
      <c r="H313" s="199" t="n"/>
      <c r="I313" s="201" t="n"/>
      <c r="J313" s="201" t="n"/>
      <c r="K313" s="201" t="n"/>
      <c r="L313" s="201" t="n"/>
      <c r="M313" s="201" t="n"/>
      <c r="N313" s="201" t="n"/>
      <c r="O313" s="199" t="n"/>
      <c r="P313" s="201" t="n"/>
      <c r="Q313" s="201" t="n"/>
      <c r="R313" s="201" t="n"/>
      <c r="S313" s="201" t="n"/>
      <c r="T313" s="201" t="n"/>
      <c r="U313" s="201" t="n"/>
      <c r="V313" s="201" t="n"/>
      <c r="W313" s="201" t="n"/>
      <c r="X313" s="201" t="n"/>
      <c r="Y313" s="201" t="n"/>
      <c r="Z313" s="202">
        <f>sum(T313:X313)</f>
        <v/>
      </c>
      <c r="AA313" s="203">
        <f>sum(Z313/Y313)*100%</f>
        <v/>
      </c>
    </row>
    <row r="314" ht="15.75" customHeight="1" s="205">
      <c r="A314" s="199" t="n"/>
      <c r="B314" s="204" t="n"/>
      <c r="C314" s="199" t="n"/>
      <c r="D314" s="199" t="n"/>
      <c r="E314" s="199" t="n"/>
      <c r="F314" s="199" t="n"/>
      <c r="G314" s="199" t="n"/>
      <c r="H314" s="199" t="n"/>
      <c r="I314" s="199" t="n"/>
      <c r="J314" s="199" t="n"/>
      <c r="K314" s="199" t="n"/>
      <c r="L314" s="199" t="n"/>
      <c r="M314" s="199" t="n"/>
      <c r="N314" s="199" t="n"/>
      <c r="O314" s="199" t="n"/>
      <c r="P314" s="199" t="n"/>
      <c r="Q314" s="199" t="n"/>
      <c r="R314" s="199" t="n"/>
      <c r="S314" s="199" t="n"/>
      <c r="T314" s="199" t="n"/>
      <c r="U314" s="199" t="n"/>
      <c r="V314" s="199" t="n"/>
      <c r="W314" s="199" t="n"/>
      <c r="X314" s="199" t="n"/>
      <c r="Y314" s="199" t="n"/>
      <c r="Z314" s="202">
        <f>sum(T314:X314)</f>
        <v/>
      </c>
      <c r="AA314" s="203">
        <f>sum(Z314/Y314)*100%</f>
        <v/>
      </c>
    </row>
    <row r="315" ht="15.75" customHeight="1" s="205">
      <c r="A315" s="199" t="n"/>
      <c r="B315" s="200" t="n"/>
      <c r="C315" s="201" t="n"/>
      <c r="D315" s="199" t="n"/>
      <c r="E315" s="199" t="n"/>
      <c r="F315" s="199" t="n"/>
      <c r="G315" s="199" t="n"/>
      <c r="H315" s="199" t="n"/>
      <c r="I315" s="201" t="n"/>
      <c r="J315" s="201" t="n"/>
      <c r="K315" s="201" t="n"/>
      <c r="L315" s="201" t="n"/>
      <c r="M315" s="201" t="n"/>
      <c r="N315" s="201" t="n"/>
      <c r="O315" s="199" t="n"/>
      <c r="P315" s="201" t="n"/>
      <c r="Q315" s="201" t="n"/>
      <c r="R315" s="201" t="n"/>
      <c r="S315" s="201" t="n"/>
      <c r="T315" s="201" t="n"/>
      <c r="U315" s="201" t="n"/>
      <c r="V315" s="201" t="n"/>
      <c r="W315" s="201" t="n"/>
      <c r="X315" s="201" t="n"/>
      <c r="Y315" s="201" t="n"/>
      <c r="Z315" s="202">
        <f>sum(T315:X315)</f>
        <v/>
      </c>
      <c r="AA315" s="203">
        <f>sum(Z315/Y315)*100%</f>
        <v/>
      </c>
    </row>
    <row r="316" ht="15.75" customHeight="1" s="205">
      <c r="A316" s="199" t="n"/>
      <c r="B316" s="204" t="n"/>
      <c r="C316" s="199" t="n"/>
      <c r="D316" s="199" t="n"/>
      <c r="E316" s="199" t="n"/>
      <c r="F316" s="199" t="n"/>
      <c r="G316" s="199" t="n"/>
      <c r="H316" s="199" t="n"/>
      <c r="I316" s="199" t="n"/>
      <c r="J316" s="199" t="n"/>
      <c r="K316" s="199" t="n"/>
      <c r="L316" s="199" t="n"/>
      <c r="M316" s="199" t="n"/>
      <c r="N316" s="199" t="n"/>
      <c r="O316" s="199" t="n"/>
      <c r="P316" s="199" t="n"/>
      <c r="Q316" s="199" t="n"/>
      <c r="R316" s="199" t="n"/>
      <c r="S316" s="199" t="n"/>
      <c r="T316" s="199" t="n"/>
      <c r="U316" s="199" t="n"/>
      <c r="V316" s="199" t="n"/>
      <c r="W316" s="199" t="n"/>
      <c r="X316" s="199" t="n"/>
      <c r="Y316" s="199" t="n"/>
      <c r="Z316" s="202">
        <f>sum(T316:X316)</f>
        <v/>
      </c>
      <c r="AA316" s="203">
        <f>sum(Z316/Y316)*100%</f>
        <v/>
      </c>
    </row>
    <row r="317" ht="15.75" customHeight="1" s="205">
      <c r="A317" s="199" t="n"/>
      <c r="B317" s="200" t="n"/>
      <c r="C317" s="201" t="n"/>
      <c r="D317" s="199" t="n"/>
      <c r="E317" s="199" t="n"/>
      <c r="F317" s="199" t="n"/>
      <c r="G317" s="199" t="n"/>
      <c r="H317" s="199" t="n"/>
      <c r="I317" s="201" t="n"/>
      <c r="J317" s="201" t="n"/>
      <c r="K317" s="201" t="n"/>
      <c r="L317" s="201" t="n"/>
      <c r="M317" s="201" t="n"/>
      <c r="N317" s="201" t="n"/>
      <c r="O317" s="199" t="n"/>
      <c r="P317" s="201" t="n"/>
      <c r="Q317" s="201" t="n"/>
      <c r="R317" s="201" t="n"/>
      <c r="S317" s="201" t="n"/>
      <c r="T317" s="201" t="n"/>
      <c r="U317" s="201" t="n"/>
      <c r="V317" s="201" t="n"/>
      <c r="W317" s="201" t="n"/>
      <c r="X317" s="201" t="n"/>
      <c r="Y317" s="201" t="n"/>
      <c r="Z317" s="202">
        <f>sum(T317:X317)</f>
        <v/>
      </c>
      <c r="AA317" s="203">
        <f>sum(Z317/Y317)*100%</f>
        <v/>
      </c>
    </row>
    <row r="318" ht="15.75" customHeight="1" s="205">
      <c r="A318" s="199" t="n"/>
      <c r="B318" s="204" t="n"/>
      <c r="C318" s="199" t="n"/>
      <c r="D318" s="199" t="n"/>
      <c r="E318" s="199" t="n"/>
      <c r="F318" s="199" t="n"/>
      <c r="G318" s="199" t="n"/>
      <c r="H318" s="199" t="n"/>
      <c r="I318" s="199" t="n"/>
      <c r="J318" s="199" t="n"/>
      <c r="K318" s="199" t="n"/>
      <c r="L318" s="199" t="n"/>
      <c r="M318" s="199" t="n"/>
      <c r="N318" s="199" t="n"/>
      <c r="O318" s="199" t="n"/>
      <c r="P318" s="199" t="n"/>
      <c r="Q318" s="199" t="n"/>
      <c r="R318" s="199" t="n"/>
      <c r="S318" s="199" t="n"/>
      <c r="T318" s="199" t="n"/>
      <c r="U318" s="199" t="n"/>
      <c r="V318" s="199" t="n"/>
      <c r="W318" s="199" t="n"/>
      <c r="X318" s="199" t="n"/>
      <c r="Y318" s="199" t="n"/>
      <c r="Z318" s="202">
        <f>sum(T318:X318)</f>
        <v/>
      </c>
      <c r="AA318" s="203">
        <f>sum(Z318/Y318)*100%</f>
        <v/>
      </c>
    </row>
    <row r="319" ht="15.75" customHeight="1" s="205">
      <c r="A319" s="199" t="n"/>
      <c r="B319" s="200" t="n"/>
      <c r="C319" s="201" t="n"/>
      <c r="D319" s="199" t="n"/>
      <c r="E319" s="199" t="n"/>
      <c r="F319" s="199" t="n"/>
      <c r="G319" s="199" t="n"/>
      <c r="H319" s="199" t="n"/>
      <c r="I319" s="201" t="n"/>
      <c r="J319" s="201" t="n"/>
      <c r="K319" s="201" t="n"/>
      <c r="L319" s="201" t="n"/>
      <c r="M319" s="201" t="n"/>
      <c r="N319" s="201" t="n"/>
      <c r="O319" s="199" t="n"/>
      <c r="P319" s="201" t="n"/>
      <c r="Q319" s="201" t="n"/>
      <c r="R319" s="201" t="n"/>
      <c r="S319" s="201" t="n"/>
      <c r="T319" s="201" t="n"/>
      <c r="U319" s="201" t="n"/>
      <c r="V319" s="201" t="n"/>
      <c r="W319" s="201" t="n"/>
      <c r="X319" s="201" t="n"/>
      <c r="Y319" s="201" t="n"/>
      <c r="Z319" s="202">
        <f>sum(T319:X319)</f>
        <v/>
      </c>
      <c r="AA319" s="203">
        <f>sum(Z319/Y319)*100%</f>
        <v/>
      </c>
    </row>
    <row r="320" ht="15.75" customHeight="1" s="205">
      <c r="A320" s="199" t="n"/>
      <c r="B320" s="204" t="n"/>
      <c r="C320" s="199" t="n"/>
      <c r="D320" s="199" t="n"/>
      <c r="E320" s="199" t="n"/>
      <c r="F320" s="199" t="n"/>
      <c r="G320" s="199" t="n"/>
      <c r="H320" s="199" t="n"/>
      <c r="I320" s="199" t="n"/>
      <c r="J320" s="199" t="n"/>
      <c r="K320" s="199" t="n"/>
      <c r="L320" s="199" t="n"/>
      <c r="M320" s="199" t="n"/>
      <c r="N320" s="199" t="n"/>
      <c r="O320" s="199" t="n"/>
      <c r="P320" s="199" t="n"/>
      <c r="Q320" s="199" t="n"/>
      <c r="R320" s="199" t="n"/>
      <c r="S320" s="199" t="n"/>
      <c r="T320" s="199" t="n"/>
      <c r="U320" s="199" t="n"/>
      <c r="V320" s="199" t="n"/>
      <c r="W320" s="199" t="n"/>
      <c r="X320" s="199" t="n"/>
      <c r="Y320" s="199" t="n"/>
      <c r="Z320" s="202">
        <f>sum(T320:X320)</f>
        <v/>
      </c>
      <c r="AA320" s="203">
        <f>sum(Z320/Y320)*100%</f>
        <v/>
      </c>
    </row>
    <row r="321" ht="15.75" customHeight="1" s="205">
      <c r="A321" s="199" t="n"/>
      <c r="B321" s="200" t="n"/>
      <c r="C321" s="201" t="n"/>
      <c r="D321" s="199" t="n"/>
      <c r="E321" s="199" t="n"/>
      <c r="F321" s="199" t="n"/>
      <c r="G321" s="199" t="n"/>
      <c r="H321" s="199" t="n"/>
      <c r="I321" s="201" t="n"/>
      <c r="J321" s="201" t="n"/>
      <c r="K321" s="201" t="n"/>
      <c r="L321" s="201" t="n"/>
      <c r="M321" s="201" t="n"/>
      <c r="N321" s="201" t="n"/>
      <c r="O321" s="199" t="n"/>
      <c r="P321" s="201" t="n"/>
      <c r="Q321" s="201" t="n"/>
      <c r="R321" s="201" t="n"/>
      <c r="S321" s="201" t="n"/>
      <c r="T321" s="201" t="n"/>
      <c r="U321" s="201" t="n"/>
      <c r="V321" s="201" t="n"/>
      <c r="W321" s="201" t="n"/>
      <c r="X321" s="201" t="n"/>
      <c r="Y321" s="201" t="n"/>
      <c r="Z321" s="202">
        <f>sum(T321:X321)</f>
        <v/>
      </c>
      <c r="AA321" s="203">
        <f>sum(Z321/Y321)*100%</f>
        <v/>
      </c>
    </row>
    <row r="322" ht="15.75" customHeight="1" s="205">
      <c r="A322" s="199" t="n"/>
      <c r="B322" s="204" t="n"/>
      <c r="C322" s="199" t="n"/>
      <c r="D322" s="199" t="n"/>
      <c r="E322" s="199" t="n"/>
      <c r="F322" s="199" t="n"/>
      <c r="G322" s="199" t="n"/>
      <c r="H322" s="199" t="n"/>
      <c r="I322" s="199" t="n"/>
      <c r="J322" s="199" t="n"/>
      <c r="K322" s="199" t="n"/>
      <c r="L322" s="199" t="n"/>
      <c r="M322" s="199" t="n"/>
      <c r="N322" s="199" t="n"/>
      <c r="O322" s="199" t="n"/>
      <c r="P322" s="199" t="n"/>
      <c r="Q322" s="199" t="n"/>
      <c r="R322" s="199" t="n"/>
      <c r="S322" s="199" t="n"/>
      <c r="T322" s="199" t="n"/>
      <c r="U322" s="199" t="n"/>
      <c r="V322" s="199" t="n"/>
      <c r="W322" s="199" t="n"/>
      <c r="X322" s="199" t="n"/>
      <c r="Y322" s="199" t="n"/>
      <c r="Z322" s="202">
        <f>sum(T322:X322)</f>
        <v/>
      </c>
      <c r="AA322" s="203">
        <f>sum(Z322/Y322)*100%</f>
        <v/>
      </c>
    </row>
    <row r="323" ht="15.75" customHeight="1" s="205">
      <c r="A323" s="199" t="n"/>
      <c r="B323" s="200" t="n"/>
      <c r="C323" s="201" t="n"/>
      <c r="D323" s="199" t="n"/>
      <c r="E323" s="199" t="n"/>
      <c r="F323" s="199" t="n"/>
      <c r="G323" s="199" t="n"/>
      <c r="H323" s="199" t="n"/>
      <c r="I323" s="201" t="n"/>
      <c r="J323" s="201" t="n"/>
      <c r="K323" s="201" t="n"/>
      <c r="L323" s="201" t="n"/>
      <c r="M323" s="201" t="n"/>
      <c r="N323" s="201" t="n"/>
      <c r="O323" s="199" t="n"/>
      <c r="P323" s="201" t="n"/>
      <c r="Q323" s="201" t="n"/>
      <c r="R323" s="201" t="n"/>
      <c r="S323" s="201" t="n"/>
      <c r="T323" s="201" t="n"/>
      <c r="U323" s="201" t="n"/>
      <c r="V323" s="201" t="n"/>
      <c r="W323" s="201" t="n"/>
      <c r="X323" s="201" t="n"/>
      <c r="Y323" s="201" t="n"/>
      <c r="Z323" s="202">
        <f>sum(T323:X323)</f>
        <v/>
      </c>
      <c r="AA323" s="203">
        <f>sum(Z323/Y323)*100%</f>
        <v/>
      </c>
    </row>
    <row r="324" ht="15.75" customHeight="1" s="205">
      <c r="A324" s="199" t="n"/>
      <c r="B324" s="204" t="n"/>
      <c r="C324" s="199" t="n"/>
      <c r="D324" s="199" t="n"/>
      <c r="E324" s="199" t="n"/>
      <c r="F324" s="199" t="n"/>
      <c r="G324" s="199" t="n"/>
      <c r="H324" s="199" t="n"/>
      <c r="I324" s="199" t="n"/>
      <c r="J324" s="199" t="n"/>
      <c r="K324" s="199" t="n"/>
      <c r="L324" s="199" t="n"/>
      <c r="M324" s="199" t="n"/>
      <c r="N324" s="199" t="n"/>
      <c r="O324" s="199" t="n"/>
      <c r="P324" s="199" t="n"/>
      <c r="Q324" s="199" t="n"/>
      <c r="R324" s="199" t="n"/>
      <c r="S324" s="199" t="n"/>
      <c r="T324" s="199" t="n"/>
      <c r="U324" s="199" t="n"/>
      <c r="V324" s="199" t="n"/>
      <c r="W324" s="199" t="n"/>
      <c r="X324" s="199" t="n"/>
      <c r="Y324" s="199" t="n"/>
      <c r="Z324" s="202">
        <f>sum(T324:X324)</f>
        <v/>
      </c>
      <c r="AA324" s="203">
        <f>sum(Z324/Y324)*100%</f>
        <v/>
      </c>
    </row>
    <row r="325" ht="15.75" customHeight="1" s="205">
      <c r="A325" s="199" t="n"/>
      <c r="B325" s="200" t="n"/>
      <c r="C325" s="201" t="n"/>
      <c r="D325" s="199" t="n"/>
      <c r="E325" s="199" t="n"/>
      <c r="F325" s="199" t="n"/>
      <c r="G325" s="199" t="n"/>
      <c r="H325" s="199" t="n"/>
      <c r="I325" s="201" t="n"/>
      <c r="J325" s="201" t="n"/>
      <c r="K325" s="201" t="n"/>
      <c r="L325" s="201" t="n"/>
      <c r="M325" s="201" t="n"/>
      <c r="N325" s="201" t="n"/>
      <c r="O325" s="199" t="n"/>
      <c r="P325" s="201" t="n"/>
      <c r="Q325" s="201" t="n"/>
      <c r="R325" s="201" t="n"/>
      <c r="S325" s="201" t="n"/>
      <c r="T325" s="201" t="n"/>
      <c r="U325" s="201" t="n"/>
      <c r="V325" s="201" t="n"/>
      <c r="W325" s="201" t="n"/>
      <c r="X325" s="201" t="n"/>
      <c r="Y325" s="201" t="n"/>
      <c r="Z325" s="202">
        <f>sum(T325:X325)</f>
        <v/>
      </c>
      <c r="AA325" s="203">
        <f>sum(Z325/Y325)*100%</f>
        <v/>
      </c>
    </row>
    <row r="326" ht="15.75" customHeight="1" s="205">
      <c r="A326" s="199" t="n"/>
      <c r="B326" s="204" t="n"/>
      <c r="C326" s="199" t="n"/>
      <c r="D326" s="199" t="n"/>
      <c r="E326" s="199" t="n"/>
      <c r="F326" s="199" t="n"/>
      <c r="G326" s="199" t="n"/>
      <c r="H326" s="199" t="n"/>
      <c r="I326" s="199" t="n"/>
      <c r="J326" s="199" t="n"/>
      <c r="K326" s="199" t="n"/>
      <c r="L326" s="199" t="n"/>
      <c r="M326" s="199" t="n"/>
      <c r="N326" s="199" t="n"/>
      <c r="O326" s="199" t="n"/>
      <c r="P326" s="199" t="n"/>
      <c r="Q326" s="199" t="n"/>
      <c r="R326" s="199" t="n"/>
      <c r="S326" s="199" t="n"/>
      <c r="T326" s="199" t="n"/>
      <c r="U326" s="199" t="n"/>
      <c r="V326" s="199" t="n"/>
      <c r="W326" s="199" t="n"/>
      <c r="X326" s="199" t="n"/>
      <c r="Y326" s="199" t="n"/>
      <c r="Z326" s="202">
        <f>sum(T326:X326)</f>
        <v/>
      </c>
      <c r="AA326" s="203">
        <f>sum(Z326/Y326)*100%</f>
        <v/>
      </c>
    </row>
    <row r="327" ht="15.75" customHeight="1" s="205">
      <c r="A327" s="199" t="n"/>
      <c r="B327" s="200" t="n"/>
      <c r="C327" s="201" t="n"/>
      <c r="D327" s="199" t="n"/>
      <c r="E327" s="199" t="n"/>
      <c r="F327" s="199" t="n"/>
      <c r="G327" s="199" t="n"/>
      <c r="H327" s="199" t="n"/>
      <c r="I327" s="201" t="n"/>
      <c r="J327" s="201" t="n"/>
      <c r="K327" s="201" t="n"/>
      <c r="L327" s="201" t="n"/>
      <c r="M327" s="201" t="n"/>
      <c r="N327" s="201" t="n"/>
      <c r="O327" s="199" t="n"/>
      <c r="P327" s="201" t="n"/>
      <c r="Q327" s="201" t="n"/>
      <c r="R327" s="201" t="n"/>
      <c r="S327" s="201" t="n"/>
      <c r="T327" s="201" t="n"/>
      <c r="U327" s="201" t="n"/>
      <c r="V327" s="201" t="n"/>
      <c r="W327" s="201" t="n"/>
      <c r="X327" s="201" t="n"/>
      <c r="Y327" s="201" t="n"/>
      <c r="Z327" s="202">
        <f>sum(T327:X327)</f>
        <v/>
      </c>
      <c r="AA327" s="203">
        <f>sum(Z327/Y327)*100%</f>
        <v/>
      </c>
    </row>
    <row r="328" ht="15.75" customHeight="1" s="205">
      <c r="A328" s="199" t="n"/>
      <c r="B328" s="204" t="n"/>
      <c r="C328" s="199" t="n"/>
      <c r="D328" s="199" t="n"/>
      <c r="E328" s="199" t="n"/>
      <c r="F328" s="199" t="n"/>
      <c r="G328" s="199" t="n"/>
      <c r="H328" s="199" t="n"/>
      <c r="I328" s="199" t="n"/>
      <c r="J328" s="199" t="n"/>
      <c r="K328" s="199" t="n"/>
      <c r="L328" s="199" t="n"/>
      <c r="M328" s="199" t="n"/>
      <c r="N328" s="199" t="n"/>
      <c r="O328" s="199" t="n"/>
      <c r="P328" s="199" t="n"/>
      <c r="Q328" s="199" t="n"/>
      <c r="R328" s="199" t="n"/>
      <c r="S328" s="199" t="n"/>
      <c r="T328" s="199" t="n"/>
      <c r="U328" s="199" t="n"/>
      <c r="V328" s="199" t="n"/>
      <c r="W328" s="199" t="n"/>
      <c r="X328" s="199" t="n"/>
      <c r="Y328" s="199" t="n"/>
      <c r="Z328" s="202">
        <f>sum(T328:X328)</f>
        <v/>
      </c>
      <c r="AA328" s="203">
        <f>sum(Z328/Y328)*100%</f>
        <v/>
      </c>
    </row>
    <row r="329" ht="15.75" customHeight="1" s="205">
      <c r="A329" s="199" t="n"/>
      <c r="B329" s="200" t="n"/>
      <c r="C329" s="201" t="n"/>
      <c r="D329" s="199" t="n"/>
      <c r="E329" s="199" t="n"/>
      <c r="F329" s="199" t="n"/>
      <c r="G329" s="199" t="n"/>
      <c r="H329" s="199" t="n"/>
      <c r="I329" s="201" t="n"/>
      <c r="J329" s="201" t="n"/>
      <c r="K329" s="201" t="n"/>
      <c r="L329" s="201" t="n"/>
      <c r="M329" s="201" t="n"/>
      <c r="N329" s="201" t="n"/>
      <c r="O329" s="199" t="n"/>
      <c r="P329" s="201" t="n"/>
      <c r="Q329" s="201" t="n"/>
      <c r="R329" s="201" t="n"/>
      <c r="S329" s="201" t="n"/>
      <c r="T329" s="201" t="n"/>
      <c r="U329" s="201" t="n"/>
      <c r="V329" s="201" t="n"/>
      <c r="W329" s="201" t="n"/>
      <c r="X329" s="201" t="n"/>
      <c r="Y329" s="201" t="n"/>
      <c r="Z329" s="202">
        <f>sum(T329:X329)</f>
        <v/>
      </c>
      <c r="AA329" s="203">
        <f>sum(Z329/Y329)*100%</f>
        <v/>
      </c>
    </row>
    <row r="330" ht="15.75" customHeight="1" s="205">
      <c r="A330" s="199" t="n"/>
      <c r="B330" s="204" t="n"/>
      <c r="C330" s="199" t="n"/>
      <c r="D330" s="199" t="n"/>
      <c r="E330" s="199" t="n"/>
      <c r="F330" s="199" t="n"/>
      <c r="G330" s="199" t="n"/>
      <c r="H330" s="199" t="n"/>
      <c r="I330" s="199" t="n"/>
      <c r="J330" s="199" t="n"/>
      <c r="K330" s="199" t="n"/>
      <c r="L330" s="199" t="n"/>
      <c r="M330" s="199" t="n"/>
      <c r="N330" s="199" t="n"/>
      <c r="O330" s="199" t="n"/>
      <c r="P330" s="199" t="n"/>
      <c r="Q330" s="199" t="n"/>
      <c r="R330" s="199" t="n"/>
      <c r="S330" s="199" t="n"/>
      <c r="T330" s="199" t="n"/>
      <c r="U330" s="199" t="n"/>
      <c r="V330" s="199" t="n"/>
      <c r="W330" s="199" t="n"/>
      <c r="X330" s="199" t="n"/>
      <c r="Y330" s="199" t="n"/>
      <c r="Z330" s="202">
        <f>sum(T330:X330)</f>
        <v/>
      </c>
      <c r="AA330" s="203">
        <f>sum(Z330/Y330)*100%</f>
        <v/>
      </c>
    </row>
    <row r="331" ht="15.75" customHeight="1" s="205">
      <c r="A331" s="199" t="n"/>
      <c r="B331" s="200" t="n"/>
      <c r="C331" s="201" t="n"/>
      <c r="D331" s="199" t="n"/>
      <c r="E331" s="199" t="n"/>
      <c r="F331" s="199" t="n"/>
      <c r="G331" s="199" t="n"/>
      <c r="H331" s="199" t="n"/>
      <c r="I331" s="201" t="n"/>
      <c r="J331" s="201" t="n"/>
      <c r="K331" s="201" t="n"/>
      <c r="L331" s="201" t="n"/>
      <c r="M331" s="201" t="n"/>
      <c r="N331" s="201" t="n"/>
      <c r="O331" s="199" t="n"/>
      <c r="P331" s="201" t="n"/>
      <c r="Q331" s="201" t="n"/>
      <c r="R331" s="201" t="n"/>
      <c r="S331" s="201" t="n"/>
      <c r="T331" s="201" t="n"/>
      <c r="U331" s="201" t="n"/>
      <c r="V331" s="201" t="n"/>
      <c r="W331" s="201" t="n"/>
      <c r="X331" s="201" t="n"/>
      <c r="Y331" s="201" t="n"/>
      <c r="Z331" s="202">
        <f>sum(T331:X331)</f>
        <v/>
      </c>
      <c r="AA331" s="203">
        <f>sum(Z331/Y331)*100%</f>
        <v/>
      </c>
    </row>
    <row r="332" ht="15.75" customHeight="1" s="205">
      <c r="A332" s="199" t="n"/>
      <c r="B332" s="204" t="n"/>
      <c r="C332" s="199" t="n"/>
      <c r="D332" s="199" t="n"/>
      <c r="E332" s="199" t="n"/>
      <c r="F332" s="199" t="n"/>
      <c r="G332" s="199" t="n"/>
      <c r="H332" s="199" t="n"/>
      <c r="I332" s="199" t="n"/>
      <c r="J332" s="199" t="n"/>
      <c r="K332" s="199" t="n"/>
      <c r="L332" s="199" t="n"/>
      <c r="M332" s="199" t="n"/>
      <c r="N332" s="199" t="n"/>
      <c r="O332" s="199" t="n"/>
      <c r="P332" s="199" t="n"/>
      <c r="Q332" s="199" t="n"/>
      <c r="R332" s="199" t="n"/>
      <c r="S332" s="199" t="n"/>
      <c r="T332" s="199" t="n"/>
      <c r="U332" s="199" t="n"/>
      <c r="V332" s="199" t="n"/>
      <c r="W332" s="199" t="n"/>
      <c r="X332" s="199" t="n"/>
      <c r="Y332" s="199" t="n"/>
      <c r="Z332" s="202">
        <f>sum(T332:X332)</f>
        <v/>
      </c>
      <c r="AA332" s="203">
        <f>sum(Z332/Y332)*100%</f>
        <v/>
      </c>
    </row>
    <row r="333" ht="15.75" customHeight="1" s="205">
      <c r="A333" s="199" t="n"/>
      <c r="B333" s="200" t="n"/>
      <c r="C333" s="201" t="n"/>
      <c r="D333" s="199" t="n"/>
      <c r="E333" s="199" t="n"/>
      <c r="F333" s="199" t="n"/>
      <c r="G333" s="199" t="n"/>
      <c r="H333" s="199" t="n"/>
      <c r="I333" s="201" t="n"/>
      <c r="J333" s="201" t="n"/>
      <c r="K333" s="201" t="n"/>
      <c r="L333" s="201" t="n"/>
      <c r="M333" s="201" t="n"/>
      <c r="N333" s="201" t="n"/>
      <c r="O333" s="199" t="n"/>
      <c r="P333" s="201" t="n"/>
      <c r="Q333" s="201" t="n"/>
      <c r="R333" s="201" t="n"/>
      <c r="S333" s="201" t="n"/>
      <c r="T333" s="201" t="n"/>
      <c r="U333" s="201" t="n"/>
      <c r="V333" s="201" t="n"/>
      <c r="W333" s="201" t="n"/>
      <c r="X333" s="201" t="n"/>
      <c r="Y333" s="201" t="n"/>
      <c r="Z333" s="202">
        <f>sum(T333:X333)</f>
        <v/>
      </c>
      <c r="AA333" s="203">
        <f>sum(Z333/Y333)*100%</f>
        <v/>
      </c>
    </row>
    <row r="334" ht="15.75" customHeight="1" s="205">
      <c r="A334" s="199" t="n"/>
      <c r="B334" s="204" t="n"/>
      <c r="C334" s="199" t="n"/>
      <c r="D334" s="199" t="n"/>
      <c r="E334" s="199" t="n"/>
      <c r="F334" s="199" t="n"/>
      <c r="G334" s="199" t="n"/>
      <c r="H334" s="199" t="n"/>
      <c r="I334" s="199" t="n"/>
      <c r="J334" s="199" t="n"/>
      <c r="K334" s="199" t="n"/>
      <c r="L334" s="199" t="n"/>
      <c r="M334" s="199" t="n"/>
      <c r="N334" s="199" t="n"/>
      <c r="O334" s="199" t="n"/>
      <c r="P334" s="199" t="n"/>
      <c r="Q334" s="199" t="n"/>
      <c r="R334" s="199" t="n"/>
      <c r="S334" s="199" t="n"/>
      <c r="T334" s="199" t="n"/>
      <c r="U334" s="199" t="n"/>
      <c r="V334" s="199" t="n"/>
      <c r="W334" s="199" t="n"/>
      <c r="X334" s="199" t="n"/>
      <c r="Y334" s="199" t="n"/>
      <c r="Z334" s="202">
        <f>sum(T334:X334)</f>
        <v/>
      </c>
      <c r="AA334" s="203">
        <f>sum(Z334/Y334)*100%</f>
        <v/>
      </c>
    </row>
    <row r="335" ht="15.75" customHeight="1" s="205">
      <c r="A335" s="199" t="n"/>
      <c r="B335" s="200" t="n"/>
      <c r="C335" s="201" t="n"/>
      <c r="D335" s="199" t="n"/>
      <c r="E335" s="199" t="n"/>
      <c r="F335" s="199" t="n"/>
      <c r="G335" s="199" t="n"/>
      <c r="H335" s="199" t="n"/>
      <c r="I335" s="201" t="n"/>
      <c r="J335" s="201" t="n"/>
      <c r="K335" s="201" t="n"/>
      <c r="L335" s="201" t="n"/>
      <c r="M335" s="201" t="n"/>
      <c r="N335" s="201" t="n"/>
      <c r="O335" s="199" t="n"/>
      <c r="P335" s="201" t="n"/>
      <c r="Q335" s="201" t="n"/>
      <c r="R335" s="201" t="n"/>
      <c r="S335" s="201" t="n"/>
      <c r="T335" s="201" t="n"/>
      <c r="U335" s="201" t="n"/>
      <c r="V335" s="201" t="n"/>
      <c r="W335" s="201" t="n"/>
      <c r="X335" s="201" t="n"/>
      <c r="Y335" s="201" t="n"/>
      <c r="Z335" s="202">
        <f>sum(T335:X335)</f>
        <v/>
      </c>
      <c r="AA335" s="203">
        <f>sum(Z335/Y335)*100%</f>
        <v/>
      </c>
    </row>
    <row r="336" ht="15.75" customHeight="1" s="205">
      <c r="A336" s="199" t="n"/>
      <c r="B336" s="204" t="n"/>
      <c r="C336" s="199" t="n"/>
      <c r="D336" s="199" t="n"/>
      <c r="E336" s="199" t="n"/>
      <c r="F336" s="199" t="n"/>
      <c r="G336" s="199" t="n"/>
      <c r="H336" s="199" t="n"/>
      <c r="I336" s="199" t="n"/>
      <c r="J336" s="199" t="n"/>
      <c r="K336" s="199" t="n"/>
      <c r="L336" s="199" t="n"/>
      <c r="M336" s="199" t="n"/>
      <c r="N336" s="199" t="n"/>
      <c r="O336" s="199" t="n"/>
      <c r="P336" s="199" t="n"/>
      <c r="Q336" s="199" t="n"/>
      <c r="R336" s="199" t="n"/>
      <c r="S336" s="199" t="n"/>
      <c r="T336" s="199" t="n"/>
      <c r="U336" s="199" t="n"/>
      <c r="V336" s="199" t="n"/>
      <c r="W336" s="199" t="n"/>
      <c r="X336" s="199" t="n"/>
      <c r="Y336" s="199" t="n"/>
      <c r="Z336" s="202">
        <f>sum(T336:X336)</f>
        <v/>
      </c>
      <c r="AA336" s="203">
        <f>sum(Z336/Y336)*100%</f>
        <v/>
      </c>
    </row>
    <row r="337" ht="15.75" customHeight="1" s="205">
      <c r="A337" s="199" t="n"/>
      <c r="B337" s="200" t="n"/>
      <c r="C337" s="201" t="n"/>
      <c r="D337" s="199" t="n"/>
      <c r="E337" s="199" t="n"/>
      <c r="F337" s="199" t="n"/>
      <c r="G337" s="199" t="n"/>
      <c r="H337" s="199" t="n"/>
      <c r="I337" s="201" t="n"/>
      <c r="J337" s="201" t="n"/>
      <c r="K337" s="201" t="n"/>
      <c r="L337" s="201" t="n"/>
      <c r="M337" s="201" t="n"/>
      <c r="N337" s="201" t="n"/>
      <c r="O337" s="199" t="n"/>
      <c r="P337" s="201" t="n"/>
      <c r="Q337" s="201" t="n"/>
      <c r="R337" s="201" t="n"/>
      <c r="S337" s="201" t="n"/>
      <c r="T337" s="201" t="n"/>
      <c r="U337" s="201" t="n"/>
      <c r="V337" s="201" t="n"/>
      <c r="W337" s="201" t="n"/>
      <c r="X337" s="201" t="n"/>
      <c r="Y337" s="201" t="n"/>
      <c r="Z337" s="202">
        <f>sum(T337:X337)</f>
        <v/>
      </c>
      <c r="AA337" s="203">
        <f>sum(Z337/Y337)*100%</f>
        <v/>
      </c>
    </row>
    <row r="338" ht="15.75" customHeight="1" s="205">
      <c r="A338" s="199" t="n"/>
      <c r="B338" s="204" t="n"/>
      <c r="C338" s="199" t="n"/>
      <c r="D338" s="199" t="n"/>
      <c r="E338" s="199" t="n"/>
      <c r="F338" s="199" t="n"/>
      <c r="G338" s="199" t="n"/>
      <c r="H338" s="199" t="n"/>
      <c r="I338" s="199" t="n"/>
      <c r="J338" s="199" t="n"/>
      <c r="K338" s="199" t="n"/>
      <c r="L338" s="199" t="n"/>
      <c r="M338" s="199" t="n"/>
      <c r="N338" s="199" t="n"/>
      <c r="O338" s="199" t="n"/>
      <c r="P338" s="199" t="n"/>
      <c r="Q338" s="199" t="n"/>
      <c r="R338" s="199" t="n"/>
      <c r="S338" s="199" t="n"/>
      <c r="T338" s="199" t="n"/>
      <c r="U338" s="199" t="n"/>
      <c r="V338" s="199" t="n"/>
      <c r="W338" s="199" t="n"/>
      <c r="X338" s="199" t="n"/>
      <c r="Y338" s="199" t="n"/>
      <c r="Z338" s="202">
        <f>sum(T338:X338)</f>
        <v/>
      </c>
      <c r="AA338" s="203">
        <f>sum(Z338/Y338)*100%</f>
        <v/>
      </c>
    </row>
    <row r="339" ht="15.75" customHeight="1" s="205">
      <c r="A339" s="199" t="n"/>
      <c r="B339" s="200" t="n"/>
      <c r="C339" s="201" t="n"/>
      <c r="D339" s="199" t="n"/>
      <c r="E339" s="199" t="n"/>
      <c r="F339" s="199" t="n"/>
      <c r="G339" s="199" t="n"/>
      <c r="H339" s="199" t="n"/>
      <c r="I339" s="201" t="n"/>
      <c r="J339" s="201" t="n"/>
      <c r="K339" s="201" t="n"/>
      <c r="L339" s="201" t="n"/>
      <c r="M339" s="201" t="n"/>
      <c r="N339" s="201" t="n"/>
      <c r="O339" s="199" t="n"/>
      <c r="P339" s="201" t="n"/>
      <c r="Q339" s="201" t="n"/>
      <c r="R339" s="201" t="n"/>
      <c r="S339" s="201" t="n"/>
      <c r="T339" s="201" t="n"/>
      <c r="U339" s="201" t="n"/>
      <c r="V339" s="201" t="n"/>
      <c r="W339" s="201" t="n"/>
      <c r="X339" s="201" t="n"/>
      <c r="Y339" s="201" t="n"/>
      <c r="Z339" s="202">
        <f>sum(T339:X339)</f>
        <v/>
      </c>
      <c r="AA339" s="203">
        <f>sum(Z339/Y339)*100%</f>
        <v/>
      </c>
    </row>
    <row r="340" ht="15.75" customHeight="1" s="205">
      <c r="A340" s="199" t="n"/>
      <c r="B340" s="204" t="n"/>
      <c r="C340" s="199" t="n"/>
      <c r="D340" s="199" t="n"/>
      <c r="E340" s="199" t="n"/>
      <c r="F340" s="199" t="n"/>
      <c r="G340" s="199" t="n"/>
      <c r="H340" s="199" t="n"/>
      <c r="I340" s="199" t="n"/>
      <c r="J340" s="199" t="n"/>
      <c r="K340" s="199" t="n"/>
      <c r="L340" s="199" t="n"/>
      <c r="M340" s="199" t="n"/>
      <c r="N340" s="199" t="n"/>
      <c r="O340" s="199" t="n"/>
      <c r="P340" s="199" t="n"/>
      <c r="Q340" s="199" t="n"/>
      <c r="R340" s="199" t="n"/>
      <c r="S340" s="199" t="n"/>
      <c r="T340" s="199" t="n"/>
      <c r="U340" s="199" t="n"/>
      <c r="V340" s="199" t="n"/>
      <c r="W340" s="199" t="n"/>
      <c r="X340" s="199" t="n"/>
      <c r="Y340" s="199" t="n"/>
      <c r="Z340" s="202">
        <f>sum(T340:X340)</f>
        <v/>
      </c>
      <c r="AA340" s="203">
        <f>sum(Z340/Y340)*100%</f>
        <v/>
      </c>
    </row>
    <row r="341" ht="15.75" customHeight="1" s="205">
      <c r="A341" s="199" t="n"/>
      <c r="B341" s="200" t="n"/>
      <c r="C341" s="201" t="n"/>
      <c r="D341" s="199" t="n"/>
      <c r="E341" s="199" t="n"/>
      <c r="F341" s="199" t="n"/>
      <c r="G341" s="199" t="n"/>
      <c r="H341" s="199" t="n"/>
      <c r="I341" s="201" t="n"/>
      <c r="J341" s="201" t="n"/>
      <c r="K341" s="201" t="n"/>
      <c r="L341" s="201" t="n"/>
      <c r="M341" s="201" t="n"/>
      <c r="N341" s="201" t="n"/>
      <c r="O341" s="199" t="n"/>
      <c r="P341" s="201" t="n"/>
      <c r="Q341" s="201" t="n"/>
      <c r="R341" s="201" t="n"/>
      <c r="S341" s="201" t="n"/>
      <c r="T341" s="201" t="n"/>
      <c r="U341" s="201" t="n"/>
      <c r="V341" s="201" t="n"/>
      <c r="W341" s="201" t="n"/>
      <c r="X341" s="201" t="n"/>
      <c r="Y341" s="201" t="n"/>
      <c r="Z341" s="202">
        <f>sum(T341:X341)</f>
        <v/>
      </c>
      <c r="AA341" s="203">
        <f>sum(Z341/Y341)*100%</f>
        <v/>
      </c>
    </row>
    <row r="342" ht="15.75" customHeight="1" s="205">
      <c r="A342" s="199" t="n"/>
      <c r="B342" s="204" t="n"/>
      <c r="C342" s="199" t="n"/>
      <c r="D342" s="199" t="n"/>
      <c r="E342" s="199" t="n"/>
      <c r="F342" s="199" t="n"/>
      <c r="G342" s="199" t="n"/>
      <c r="H342" s="199" t="n"/>
      <c r="I342" s="199" t="n"/>
      <c r="J342" s="199" t="n"/>
      <c r="K342" s="199" t="n"/>
      <c r="L342" s="199" t="n"/>
      <c r="M342" s="199" t="n"/>
      <c r="N342" s="199" t="n"/>
      <c r="O342" s="199" t="n"/>
      <c r="P342" s="199" t="n"/>
      <c r="Q342" s="199" t="n"/>
      <c r="R342" s="199" t="n"/>
      <c r="S342" s="199" t="n"/>
      <c r="T342" s="199" t="n"/>
      <c r="U342" s="199" t="n"/>
      <c r="V342" s="199" t="n"/>
      <c r="W342" s="199" t="n"/>
      <c r="X342" s="199" t="n"/>
      <c r="Y342" s="199" t="n"/>
      <c r="Z342" s="202">
        <f>sum(T342:X342)</f>
        <v/>
      </c>
      <c r="AA342" s="203">
        <f>sum(Z342/Y342)*100%</f>
        <v/>
      </c>
    </row>
    <row r="343" ht="15.75" customHeight="1" s="205">
      <c r="A343" s="199" t="n"/>
      <c r="B343" s="200" t="n"/>
      <c r="C343" s="201" t="n"/>
      <c r="D343" s="199" t="n"/>
      <c r="E343" s="199" t="n"/>
      <c r="F343" s="199" t="n"/>
      <c r="G343" s="199" t="n"/>
      <c r="H343" s="199" t="n"/>
      <c r="I343" s="201" t="n"/>
      <c r="J343" s="201" t="n"/>
      <c r="K343" s="201" t="n"/>
      <c r="L343" s="201" t="n"/>
      <c r="M343" s="201" t="n"/>
      <c r="N343" s="201" t="n"/>
      <c r="O343" s="199" t="n"/>
      <c r="P343" s="201" t="n"/>
      <c r="Q343" s="201" t="n"/>
      <c r="R343" s="201" t="n"/>
      <c r="S343" s="201" t="n"/>
      <c r="T343" s="201" t="n"/>
      <c r="U343" s="201" t="n"/>
      <c r="V343" s="201" t="n"/>
      <c r="W343" s="201" t="n"/>
      <c r="X343" s="201" t="n"/>
      <c r="Y343" s="201" t="n"/>
      <c r="Z343" s="202">
        <f>sum(T343:X343)</f>
        <v/>
      </c>
      <c r="AA343" s="203">
        <f>sum(Z343/Y343)*100%</f>
        <v/>
      </c>
    </row>
    <row r="344" ht="15.75" customHeight="1" s="205">
      <c r="A344" s="199" t="n"/>
      <c r="B344" s="204" t="n"/>
      <c r="C344" s="199" t="n"/>
      <c r="D344" s="199" t="n"/>
      <c r="E344" s="199" t="n"/>
      <c r="F344" s="199" t="n"/>
      <c r="G344" s="199" t="n"/>
      <c r="H344" s="199" t="n"/>
      <c r="I344" s="199" t="n"/>
      <c r="J344" s="199" t="n"/>
      <c r="K344" s="199" t="n"/>
      <c r="L344" s="199" t="n"/>
      <c r="M344" s="199" t="n"/>
      <c r="N344" s="199" t="n"/>
      <c r="O344" s="199" t="n"/>
      <c r="P344" s="199" t="n"/>
      <c r="Q344" s="199" t="n"/>
      <c r="R344" s="199" t="n"/>
      <c r="S344" s="199" t="n"/>
      <c r="T344" s="199" t="n"/>
      <c r="U344" s="199" t="n"/>
      <c r="V344" s="199" t="n"/>
      <c r="W344" s="199" t="n"/>
      <c r="X344" s="199" t="n"/>
      <c r="Y344" s="199" t="n"/>
      <c r="Z344" s="202">
        <f>sum(T344:X344)</f>
        <v/>
      </c>
      <c r="AA344" s="203">
        <f>sum(Z344/Y344)*100%</f>
        <v/>
      </c>
    </row>
    <row r="345" ht="15.75" customHeight="1" s="205">
      <c r="A345" s="199" t="n"/>
      <c r="B345" s="200" t="n"/>
      <c r="C345" s="201" t="n"/>
      <c r="D345" s="199" t="n"/>
      <c r="E345" s="199" t="n"/>
      <c r="F345" s="199" t="n"/>
      <c r="G345" s="199" t="n"/>
      <c r="H345" s="199" t="n"/>
      <c r="I345" s="201" t="n"/>
      <c r="J345" s="201" t="n"/>
      <c r="K345" s="201" t="n"/>
      <c r="L345" s="201" t="n"/>
      <c r="M345" s="201" t="n"/>
      <c r="N345" s="201" t="n"/>
      <c r="O345" s="199" t="n"/>
      <c r="P345" s="201" t="n"/>
      <c r="Q345" s="201" t="n"/>
      <c r="R345" s="201" t="n"/>
      <c r="S345" s="201" t="n"/>
      <c r="T345" s="201" t="n"/>
      <c r="U345" s="201" t="n"/>
      <c r="V345" s="201" t="n"/>
      <c r="W345" s="201" t="n"/>
      <c r="X345" s="201" t="n"/>
      <c r="Y345" s="201" t="n"/>
      <c r="Z345" s="202">
        <f>sum(T345:X345)</f>
        <v/>
      </c>
      <c r="AA345" s="203">
        <f>sum(Z345/Y345)*100%</f>
        <v/>
      </c>
    </row>
    <row r="346" ht="15.75" customHeight="1" s="205">
      <c r="A346" s="199" t="n"/>
      <c r="B346" s="204" t="n"/>
      <c r="C346" s="199" t="n"/>
      <c r="D346" s="199" t="n"/>
      <c r="E346" s="199" t="n"/>
      <c r="F346" s="199" t="n"/>
      <c r="G346" s="199" t="n"/>
      <c r="H346" s="199" t="n"/>
      <c r="I346" s="199" t="n"/>
      <c r="J346" s="199" t="n"/>
      <c r="K346" s="199" t="n"/>
      <c r="L346" s="199" t="n"/>
      <c r="M346" s="199" t="n"/>
      <c r="N346" s="199" t="n"/>
      <c r="O346" s="199" t="n"/>
      <c r="P346" s="199" t="n"/>
      <c r="Q346" s="199" t="n"/>
      <c r="R346" s="199" t="n"/>
      <c r="S346" s="199" t="n"/>
      <c r="T346" s="199" t="n"/>
      <c r="U346" s="199" t="n"/>
      <c r="V346" s="199" t="n"/>
      <c r="W346" s="199" t="n"/>
      <c r="X346" s="199" t="n"/>
      <c r="Y346" s="199" t="n"/>
      <c r="Z346" s="202">
        <f>sum(T346:X346)</f>
        <v/>
      </c>
      <c r="AA346" s="203">
        <f>sum(Z346/Y346)*100%</f>
        <v/>
      </c>
    </row>
    <row r="347" ht="15.75" customHeight="1" s="205">
      <c r="A347" s="199" t="n"/>
      <c r="B347" s="200" t="n"/>
      <c r="C347" s="201" t="n"/>
      <c r="D347" s="199" t="n"/>
      <c r="E347" s="199" t="n"/>
      <c r="F347" s="199" t="n"/>
      <c r="G347" s="199" t="n"/>
      <c r="H347" s="199" t="n"/>
      <c r="I347" s="201" t="n"/>
      <c r="J347" s="201" t="n"/>
      <c r="K347" s="201" t="n"/>
      <c r="L347" s="201" t="n"/>
      <c r="M347" s="201" t="n"/>
      <c r="N347" s="201" t="n"/>
      <c r="O347" s="199" t="n"/>
      <c r="P347" s="201" t="n"/>
      <c r="Q347" s="201" t="n"/>
      <c r="R347" s="201" t="n"/>
      <c r="S347" s="201" t="n"/>
      <c r="T347" s="201" t="n"/>
      <c r="U347" s="201" t="n"/>
      <c r="V347" s="201" t="n"/>
      <c r="W347" s="201" t="n"/>
      <c r="X347" s="201" t="n"/>
      <c r="Y347" s="201" t="n"/>
      <c r="Z347" s="202">
        <f>sum(T347:X347)</f>
        <v/>
      </c>
      <c r="AA347" s="203">
        <f>sum(Z347/Y347)*100%</f>
        <v/>
      </c>
    </row>
    <row r="348" ht="15.75" customHeight="1" s="205">
      <c r="A348" s="199" t="n"/>
      <c r="B348" s="204" t="n"/>
      <c r="C348" s="199" t="n"/>
      <c r="D348" s="199" t="n"/>
      <c r="E348" s="199" t="n"/>
      <c r="F348" s="199" t="n"/>
      <c r="G348" s="199" t="n"/>
      <c r="H348" s="199" t="n"/>
      <c r="I348" s="199" t="n"/>
      <c r="J348" s="199" t="n"/>
      <c r="K348" s="199" t="n"/>
      <c r="L348" s="199" t="n"/>
      <c r="M348" s="199" t="n"/>
      <c r="N348" s="199" t="n"/>
      <c r="O348" s="199" t="n"/>
      <c r="P348" s="199" t="n"/>
      <c r="Q348" s="199" t="n"/>
      <c r="R348" s="199" t="n"/>
      <c r="S348" s="199" t="n"/>
      <c r="T348" s="199" t="n"/>
      <c r="U348" s="199" t="n"/>
      <c r="V348" s="199" t="n"/>
      <c r="W348" s="199" t="n"/>
      <c r="X348" s="199" t="n"/>
      <c r="Y348" s="199" t="n"/>
      <c r="Z348" s="202">
        <f>sum(T348:X348)</f>
        <v/>
      </c>
      <c r="AA348" s="203">
        <f>sum(Z348/Y348)*100%</f>
        <v/>
      </c>
    </row>
    <row r="349" ht="15.75" customHeight="1" s="205">
      <c r="A349" s="199" t="n"/>
      <c r="B349" s="200" t="n"/>
      <c r="C349" s="201" t="n"/>
      <c r="D349" s="199" t="n"/>
      <c r="E349" s="199" t="n"/>
      <c r="F349" s="199" t="n"/>
      <c r="G349" s="199" t="n"/>
      <c r="H349" s="199" t="n"/>
      <c r="I349" s="201" t="n"/>
      <c r="J349" s="201" t="n"/>
      <c r="K349" s="201" t="n"/>
      <c r="L349" s="201" t="n"/>
      <c r="M349" s="201" t="n"/>
      <c r="N349" s="201" t="n"/>
      <c r="O349" s="199" t="n"/>
      <c r="P349" s="201" t="n"/>
      <c r="Q349" s="201" t="n"/>
      <c r="R349" s="201" t="n"/>
      <c r="S349" s="201" t="n"/>
      <c r="T349" s="201" t="n"/>
      <c r="U349" s="201" t="n"/>
      <c r="V349" s="201" t="n"/>
      <c r="W349" s="201" t="n"/>
      <c r="X349" s="201" t="n"/>
      <c r="Y349" s="201" t="n"/>
      <c r="Z349" s="202">
        <f>sum(T349:X349)</f>
        <v/>
      </c>
      <c r="AA349" s="203">
        <f>sum(Z349/Y349)*100%</f>
        <v/>
      </c>
    </row>
    <row r="350" ht="15.75" customHeight="1" s="205">
      <c r="A350" s="199" t="n"/>
      <c r="B350" s="204" t="n"/>
      <c r="C350" s="199" t="n"/>
      <c r="D350" s="199" t="n"/>
      <c r="E350" s="199" t="n"/>
      <c r="F350" s="199" t="n"/>
      <c r="G350" s="199" t="n"/>
      <c r="H350" s="199" t="n"/>
      <c r="I350" s="199" t="n"/>
      <c r="J350" s="199" t="n"/>
      <c r="K350" s="199" t="n"/>
      <c r="L350" s="199" t="n"/>
      <c r="M350" s="199" t="n"/>
      <c r="N350" s="199" t="n"/>
      <c r="O350" s="199" t="n"/>
      <c r="P350" s="199" t="n"/>
      <c r="Q350" s="199" t="n"/>
      <c r="R350" s="199" t="n"/>
      <c r="S350" s="199" t="n"/>
      <c r="T350" s="199" t="n"/>
      <c r="U350" s="199" t="n"/>
      <c r="V350" s="199" t="n"/>
      <c r="W350" s="199" t="n"/>
      <c r="X350" s="199" t="n"/>
      <c r="Y350" s="199" t="n"/>
      <c r="Z350" s="202">
        <f>sum(T350:X350)</f>
        <v/>
      </c>
      <c r="AA350" s="203">
        <f>sum(Z350/Y350)*100%</f>
        <v/>
      </c>
    </row>
    <row r="351" ht="15.75" customHeight="1" s="205">
      <c r="A351" s="199" t="n"/>
      <c r="B351" s="200" t="n"/>
      <c r="C351" s="201" t="n"/>
      <c r="D351" s="199" t="n"/>
      <c r="E351" s="199" t="n"/>
      <c r="F351" s="199" t="n"/>
      <c r="G351" s="199" t="n"/>
      <c r="H351" s="199" t="n"/>
      <c r="I351" s="201" t="n"/>
      <c r="J351" s="201" t="n"/>
      <c r="K351" s="201" t="n"/>
      <c r="L351" s="201" t="n"/>
      <c r="M351" s="201" t="n"/>
      <c r="N351" s="201" t="n"/>
      <c r="O351" s="199" t="n"/>
      <c r="P351" s="201" t="n"/>
      <c r="Q351" s="201" t="n"/>
      <c r="R351" s="201" t="n"/>
      <c r="S351" s="201" t="n"/>
      <c r="T351" s="201" t="n"/>
      <c r="U351" s="201" t="n"/>
      <c r="V351" s="201" t="n"/>
      <c r="W351" s="201" t="n"/>
      <c r="X351" s="201" t="n"/>
      <c r="Y351" s="201" t="n"/>
      <c r="Z351" s="202">
        <f>sum(T351:X351)</f>
        <v/>
      </c>
      <c r="AA351" s="203">
        <f>sum(Z351/Y351)*100%</f>
        <v/>
      </c>
    </row>
    <row r="352" ht="15.75" customHeight="1" s="205">
      <c r="A352" s="199" t="n"/>
      <c r="B352" s="204" t="n"/>
      <c r="C352" s="199" t="n"/>
      <c r="D352" s="199" t="n"/>
      <c r="E352" s="199" t="n"/>
      <c r="F352" s="199" t="n"/>
      <c r="G352" s="199" t="n"/>
      <c r="H352" s="199" t="n"/>
      <c r="I352" s="199" t="n"/>
      <c r="J352" s="199" t="n"/>
      <c r="K352" s="199" t="n"/>
      <c r="L352" s="199" t="n"/>
      <c r="M352" s="199" t="n"/>
      <c r="N352" s="199" t="n"/>
      <c r="O352" s="199" t="n"/>
      <c r="P352" s="199" t="n"/>
      <c r="Q352" s="199" t="n"/>
      <c r="R352" s="199" t="n"/>
      <c r="S352" s="199" t="n"/>
      <c r="T352" s="199" t="n"/>
      <c r="U352" s="199" t="n"/>
      <c r="V352" s="199" t="n"/>
      <c r="W352" s="199" t="n"/>
      <c r="X352" s="199" t="n"/>
      <c r="Y352" s="199" t="n"/>
      <c r="Z352" s="202">
        <f>sum(T352:X352)</f>
        <v/>
      </c>
      <c r="AA352" s="203">
        <f>sum(Z352/Y352)*100%</f>
        <v/>
      </c>
    </row>
    <row r="353" ht="15.75" customHeight="1" s="205">
      <c r="A353" s="199" t="n"/>
      <c r="B353" s="200" t="n"/>
      <c r="C353" s="201" t="n"/>
      <c r="D353" s="199" t="n"/>
      <c r="E353" s="199" t="n"/>
      <c r="F353" s="199" t="n"/>
      <c r="G353" s="199" t="n"/>
      <c r="H353" s="199" t="n"/>
      <c r="I353" s="201" t="n"/>
      <c r="J353" s="201" t="n"/>
      <c r="K353" s="201" t="n"/>
      <c r="L353" s="201" t="n"/>
      <c r="M353" s="201" t="n"/>
      <c r="N353" s="201" t="n"/>
      <c r="O353" s="199" t="n"/>
      <c r="P353" s="201" t="n"/>
      <c r="Q353" s="201" t="n"/>
      <c r="R353" s="201" t="n"/>
      <c r="S353" s="201" t="n"/>
      <c r="T353" s="201" t="n"/>
      <c r="U353" s="201" t="n"/>
      <c r="V353" s="201" t="n"/>
      <c r="W353" s="201" t="n"/>
      <c r="X353" s="201" t="n"/>
      <c r="Y353" s="201" t="n"/>
      <c r="Z353" s="202">
        <f>sum(T353:X353)</f>
        <v/>
      </c>
      <c r="AA353" s="203">
        <f>sum(Z353/Y353)*100%</f>
        <v/>
      </c>
    </row>
    <row r="354" ht="15.75" customHeight="1" s="205">
      <c r="A354" s="199" t="n"/>
      <c r="B354" s="204" t="n"/>
      <c r="C354" s="199" t="n"/>
      <c r="D354" s="199" t="n"/>
      <c r="E354" s="199" t="n"/>
      <c r="F354" s="199" t="n"/>
      <c r="G354" s="199" t="n"/>
      <c r="H354" s="199" t="n"/>
      <c r="I354" s="199" t="n"/>
      <c r="J354" s="199" t="n"/>
      <c r="K354" s="199" t="n"/>
      <c r="L354" s="199" t="n"/>
      <c r="M354" s="199" t="n"/>
      <c r="N354" s="199" t="n"/>
      <c r="O354" s="199" t="n"/>
      <c r="P354" s="199" t="n"/>
      <c r="Q354" s="199" t="n"/>
      <c r="R354" s="199" t="n"/>
      <c r="S354" s="199" t="n"/>
      <c r="T354" s="199" t="n"/>
      <c r="U354" s="199" t="n"/>
      <c r="V354" s="199" t="n"/>
      <c r="W354" s="199" t="n"/>
      <c r="X354" s="199" t="n"/>
      <c r="Y354" s="199" t="n"/>
      <c r="Z354" s="202">
        <f>sum(T354:X354)</f>
        <v/>
      </c>
      <c r="AA354" s="203">
        <f>sum(Z354/Y354)*100%</f>
        <v/>
      </c>
    </row>
    <row r="355" ht="15.75" customHeight="1" s="205">
      <c r="A355" s="199" t="n"/>
      <c r="B355" s="200" t="n"/>
      <c r="C355" s="201" t="n"/>
      <c r="D355" s="199" t="n"/>
      <c r="E355" s="199" t="n"/>
      <c r="F355" s="199" t="n"/>
      <c r="G355" s="199" t="n"/>
      <c r="H355" s="199" t="n"/>
      <c r="I355" s="201" t="n"/>
      <c r="J355" s="201" t="n"/>
      <c r="K355" s="201" t="n"/>
      <c r="L355" s="201" t="n"/>
      <c r="M355" s="201" t="n"/>
      <c r="N355" s="201" t="n"/>
      <c r="O355" s="199" t="n"/>
      <c r="P355" s="201" t="n"/>
      <c r="Q355" s="201" t="n"/>
      <c r="R355" s="201" t="n"/>
      <c r="S355" s="201" t="n"/>
      <c r="T355" s="201" t="n"/>
      <c r="U355" s="201" t="n"/>
      <c r="V355" s="201" t="n"/>
      <c r="W355" s="201" t="n"/>
      <c r="X355" s="201" t="n"/>
      <c r="Y355" s="201" t="n"/>
      <c r="Z355" s="202">
        <f>sum(T355:X355)</f>
        <v/>
      </c>
      <c r="AA355" s="203">
        <f>sum(Z355/Y355)*100%</f>
        <v/>
      </c>
    </row>
    <row r="356" ht="15.75" customHeight="1" s="205">
      <c r="A356" s="199" t="n"/>
      <c r="B356" s="204" t="n"/>
      <c r="C356" s="199" t="n"/>
      <c r="D356" s="199" t="n"/>
      <c r="E356" s="199" t="n"/>
      <c r="F356" s="199" t="n"/>
      <c r="G356" s="199" t="n"/>
      <c r="H356" s="199" t="n"/>
      <c r="I356" s="199" t="n"/>
      <c r="J356" s="199" t="n"/>
      <c r="K356" s="199" t="n"/>
      <c r="L356" s="199" t="n"/>
      <c r="M356" s="199" t="n"/>
      <c r="N356" s="199" t="n"/>
      <c r="O356" s="199" t="n"/>
      <c r="P356" s="199" t="n"/>
      <c r="Q356" s="199" t="n"/>
      <c r="R356" s="199" t="n"/>
      <c r="S356" s="199" t="n"/>
      <c r="T356" s="199" t="n"/>
      <c r="U356" s="199" t="n"/>
      <c r="V356" s="199" t="n"/>
      <c r="W356" s="199" t="n"/>
      <c r="X356" s="199" t="n"/>
      <c r="Y356" s="199" t="n"/>
      <c r="Z356" s="202">
        <f>sum(T356:X356)</f>
        <v/>
      </c>
      <c r="AA356" s="203">
        <f>sum(Z356/Y356)*100%</f>
        <v/>
      </c>
    </row>
    <row r="357" ht="15.75" customHeight="1" s="205">
      <c r="A357" s="199" t="n"/>
      <c r="B357" s="200" t="n"/>
      <c r="C357" s="201" t="n"/>
      <c r="D357" s="199" t="n"/>
      <c r="E357" s="199" t="n"/>
      <c r="F357" s="199" t="n"/>
      <c r="G357" s="199" t="n"/>
      <c r="H357" s="199" t="n"/>
      <c r="I357" s="201" t="n"/>
      <c r="J357" s="201" t="n"/>
      <c r="K357" s="201" t="n"/>
      <c r="L357" s="201" t="n"/>
      <c r="M357" s="201" t="n"/>
      <c r="N357" s="201" t="n"/>
      <c r="O357" s="199" t="n"/>
      <c r="P357" s="201" t="n"/>
      <c r="Q357" s="201" t="n"/>
      <c r="R357" s="201" t="n"/>
      <c r="S357" s="201" t="n"/>
      <c r="T357" s="201" t="n"/>
      <c r="U357" s="201" t="n"/>
      <c r="V357" s="201" t="n"/>
      <c r="W357" s="201" t="n"/>
      <c r="X357" s="201" t="n"/>
      <c r="Y357" s="201" t="n"/>
      <c r="Z357" s="202">
        <f>sum(T357:X357)</f>
        <v/>
      </c>
      <c r="AA357" s="203">
        <f>sum(Z357/Y357)*100%</f>
        <v/>
      </c>
    </row>
    <row r="358" ht="15.75" customHeight="1" s="205">
      <c r="A358" s="199" t="n"/>
      <c r="B358" s="204" t="n"/>
      <c r="C358" s="199" t="n"/>
      <c r="D358" s="199" t="n"/>
      <c r="E358" s="199" t="n"/>
      <c r="F358" s="199" t="n"/>
      <c r="G358" s="199" t="n"/>
      <c r="H358" s="199" t="n"/>
      <c r="I358" s="199" t="n"/>
      <c r="J358" s="199" t="n"/>
      <c r="K358" s="199" t="n"/>
      <c r="L358" s="199" t="n"/>
      <c r="M358" s="199" t="n"/>
      <c r="N358" s="199" t="n"/>
      <c r="O358" s="199" t="n"/>
      <c r="P358" s="199" t="n"/>
      <c r="Q358" s="199" t="n"/>
      <c r="R358" s="199" t="n"/>
      <c r="S358" s="199" t="n"/>
      <c r="T358" s="199" t="n"/>
      <c r="U358" s="199" t="n"/>
      <c r="V358" s="199" t="n"/>
      <c r="W358" s="199" t="n"/>
      <c r="X358" s="199" t="n"/>
      <c r="Y358" s="199" t="n"/>
      <c r="Z358" s="202">
        <f>sum(T358:X358)</f>
        <v/>
      </c>
      <c r="AA358" s="203">
        <f>sum(Z358/Y358)*100%</f>
        <v/>
      </c>
    </row>
    <row r="359" ht="15.75" customHeight="1" s="205">
      <c r="A359" s="199" t="n"/>
      <c r="B359" s="200" t="n"/>
      <c r="C359" s="201" t="n"/>
      <c r="D359" s="199" t="n"/>
      <c r="E359" s="199" t="n"/>
      <c r="F359" s="199" t="n"/>
      <c r="G359" s="199" t="n"/>
      <c r="H359" s="199" t="n"/>
      <c r="I359" s="201" t="n"/>
      <c r="J359" s="201" t="n"/>
      <c r="K359" s="201" t="n"/>
      <c r="L359" s="201" t="n"/>
      <c r="M359" s="201" t="n"/>
      <c r="N359" s="201" t="n"/>
      <c r="O359" s="199" t="n"/>
      <c r="P359" s="201" t="n"/>
      <c r="Q359" s="201" t="n"/>
      <c r="R359" s="201" t="n"/>
      <c r="S359" s="201" t="n"/>
      <c r="T359" s="201" t="n"/>
      <c r="U359" s="201" t="n"/>
      <c r="V359" s="201" t="n"/>
      <c r="W359" s="201" t="n"/>
      <c r="X359" s="201" t="n"/>
      <c r="Y359" s="201" t="n"/>
      <c r="Z359" s="202">
        <f>sum(T359:X359)</f>
        <v/>
      </c>
      <c r="AA359" s="203">
        <f>sum(Z359/Y359)*100%</f>
        <v/>
      </c>
    </row>
    <row r="360" ht="15.75" customHeight="1" s="205">
      <c r="A360" s="199" t="n"/>
      <c r="B360" s="204" t="n"/>
      <c r="C360" s="199" t="n"/>
      <c r="D360" s="199" t="n"/>
      <c r="E360" s="199" t="n"/>
      <c r="F360" s="199" t="n"/>
      <c r="G360" s="199" t="n"/>
      <c r="H360" s="199" t="n"/>
      <c r="I360" s="199" t="n"/>
      <c r="J360" s="199" t="n"/>
      <c r="K360" s="199" t="n"/>
      <c r="L360" s="199" t="n"/>
      <c r="M360" s="199" t="n"/>
      <c r="N360" s="199" t="n"/>
      <c r="O360" s="199" t="n"/>
      <c r="P360" s="199" t="n"/>
      <c r="Q360" s="199" t="n"/>
      <c r="R360" s="199" t="n"/>
      <c r="S360" s="199" t="n"/>
      <c r="T360" s="199" t="n"/>
      <c r="U360" s="199" t="n"/>
      <c r="V360" s="199" t="n"/>
      <c r="W360" s="199" t="n"/>
      <c r="X360" s="199" t="n"/>
      <c r="Y360" s="199" t="n"/>
      <c r="Z360" s="202">
        <f>sum(T360:X360)</f>
        <v/>
      </c>
      <c r="AA360" s="203">
        <f>sum(Z360/Y360)*100%</f>
        <v/>
      </c>
    </row>
    <row r="361" ht="15.75" customHeight="1" s="205">
      <c r="A361" s="199" t="n"/>
      <c r="B361" s="200" t="n"/>
      <c r="C361" s="201" t="n"/>
      <c r="D361" s="199" t="n"/>
      <c r="E361" s="199" t="n"/>
      <c r="F361" s="199" t="n"/>
      <c r="G361" s="199" t="n"/>
      <c r="H361" s="199" t="n"/>
      <c r="I361" s="201" t="n"/>
      <c r="J361" s="201" t="n"/>
      <c r="K361" s="201" t="n"/>
      <c r="L361" s="201" t="n"/>
      <c r="M361" s="201" t="n"/>
      <c r="N361" s="201" t="n"/>
      <c r="O361" s="199" t="n"/>
      <c r="P361" s="201" t="n"/>
      <c r="Q361" s="201" t="n"/>
      <c r="R361" s="201" t="n"/>
      <c r="S361" s="201" t="n"/>
      <c r="T361" s="201" t="n"/>
      <c r="U361" s="201" t="n"/>
      <c r="V361" s="201" t="n"/>
      <c r="W361" s="201" t="n"/>
      <c r="X361" s="201" t="n"/>
      <c r="Y361" s="201" t="n"/>
      <c r="Z361" s="202">
        <f>sum(T361:X361)</f>
        <v/>
      </c>
      <c r="AA361" s="203">
        <f>sum(Z361/Y361)*100%</f>
        <v/>
      </c>
    </row>
    <row r="362" ht="15.75" customHeight="1" s="205">
      <c r="A362" s="199" t="n"/>
      <c r="B362" s="204" t="n"/>
      <c r="C362" s="199" t="n"/>
      <c r="D362" s="199" t="n"/>
      <c r="E362" s="199" t="n"/>
      <c r="F362" s="199" t="n"/>
      <c r="G362" s="199" t="n"/>
      <c r="H362" s="199" t="n"/>
      <c r="I362" s="199" t="n"/>
      <c r="J362" s="199" t="n"/>
      <c r="K362" s="199" t="n"/>
      <c r="L362" s="199" t="n"/>
      <c r="M362" s="199" t="n"/>
      <c r="N362" s="199" t="n"/>
      <c r="O362" s="199" t="n"/>
      <c r="P362" s="199" t="n"/>
      <c r="Q362" s="199" t="n"/>
      <c r="R362" s="199" t="n"/>
      <c r="S362" s="199" t="n"/>
      <c r="T362" s="199" t="n"/>
      <c r="U362" s="199" t="n"/>
      <c r="V362" s="199" t="n"/>
      <c r="W362" s="199" t="n"/>
      <c r="X362" s="199" t="n"/>
      <c r="Y362" s="199" t="n"/>
      <c r="Z362" s="202">
        <f>sum(T362:X362)</f>
        <v/>
      </c>
      <c r="AA362" s="203">
        <f>sum(Z362/Y362)*100%</f>
        <v/>
      </c>
    </row>
    <row r="363" ht="15.75" customHeight="1" s="205">
      <c r="A363" s="199" t="n"/>
      <c r="B363" s="200" t="n"/>
      <c r="C363" s="201" t="n"/>
      <c r="D363" s="199" t="n"/>
      <c r="E363" s="199" t="n"/>
      <c r="F363" s="199" t="n"/>
      <c r="G363" s="199" t="n"/>
      <c r="H363" s="199" t="n"/>
      <c r="I363" s="201" t="n"/>
      <c r="J363" s="201" t="n"/>
      <c r="K363" s="201" t="n"/>
      <c r="L363" s="201" t="n"/>
      <c r="M363" s="201" t="n"/>
      <c r="N363" s="201" t="n"/>
      <c r="O363" s="199" t="n"/>
      <c r="P363" s="201" t="n"/>
      <c r="Q363" s="201" t="n"/>
      <c r="R363" s="201" t="n"/>
      <c r="S363" s="201" t="n"/>
      <c r="T363" s="201" t="n"/>
      <c r="U363" s="201" t="n"/>
      <c r="V363" s="201" t="n"/>
      <c r="W363" s="201" t="n"/>
      <c r="X363" s="201" t="n"/>
      <c r="Y363" s="201" t="n"/>
      <c r="Z363" s="202">
        <f>sum(T363:X363)</f>
        <v/>
      </c>
      <c r="AA363" s="203">
        <f>sum(Z363/Y363)*100%</f>
        <v/>
      </c>
    </row>
    <row r="364" ht="15.75" customHeight="1" s="205">
      <c r="A364" s="199" t="n"/>
      <c r="B364" s="204" t="n"/>
      <c r="C364" s="199" t="n"/>
      <c r="D364" s="199" t="n"/>
      <c r="E364" s="199" t="n"/>
      <c r="F364" s="199" t="n"/>
      <c r="G364" s="199" t="n"/>
      <c r="H364" s="199" t="n"/>
      <c r="I364" s="199" t="n"/>
      <c r="J364" s="199" t="n"/>
      <c r="K364" s="199" t="n"/>
      <c r="L364" s="199" t="n"/>
      <c r="M364" s="199" t="n"/>
      <c r="N364" s="199" t="n"/>
      <c r="O364" s="199" t="n"/>
      <c r="P364" s="199" t="n"/>
      <c r="Q364" s="199" t="n"/>
      <c r="R364" s="199" t="n"/>
      <c r="S364" s="199" t="n"/>
      <c r="T364" s="199" t="n"/>
      <c r="U364" s="199" t="n"/>
      <c r="V364" s="199" t="n"/>
      <c r="W364" s="199" t="n"/>
      <c r="X364" s="199" t="n"/>
      <c r="Y364" s="199" t="n"/>
      <c r="Z364" s="202">
        <f>sum(T364:X364)</f>
        <v/>
      </c>
      <c r="AA364" s="203">
        <f>sum(Z364/Y364)*100%</f>
        <v/>
      </c>
    </row>
    <row r="365" ht="15.75" customHeight="1" s="205">
      <c r="A365" s="199" t="n"/>
      <c r="B365" s="200" t="n"/>
      <c r="C365" s="201" t="n"/>
      <c r="D365" s="199" t="n"/>
      <c r="E365" s="199" t="n"/>
      <c r="F365" s="199" t="n"/>
      <c r="G365" s="199" t="n"/>
      <c r="H365" s="199" t="n"/>
      <c r="I365" s="201" t="n"/>
      <c r="J365" s="201" t="n"/>
      <c r="K365" s="201" t="n"/>
      <c r="L365" s="201" t="n"/>
      <c r="M365" s="201" t="n"/>
      <c r="N365" s="201" t="n"/>
      <c r="O365" s="199" t="n"/>
      <c r="P365" s="201" t="n"/>
      <c r="Q365" s="201" t="n"/>
      <c r="R365" s="201" t="n"/>
      <c r="S365" s="201" t="n"/>
      <c r="T365" s="201" t="n"/>
      <c r="U365" s="201" t="n"/>
      <c r="V365" s="201" t="n"/>
      <c r="W365" s="201" t="n"/>
      <c r="X365" s="201" t="n"/>
      <c r="Y365" s="201" t="n"/>
      <c r="Z365" s="202">
        <f>sum(T365:X365)</f>
        <v/>
      </c>
      <c r="AA365" s="203">
        <f>sum(Z365/Y365)*100%</f>
        <v/>
      </c>
    </row>
    <row r="366" ht="15.75" customHeight="1" s="205">
      <c r="A366" s="199" t="n"/>
      <c r="B366" s="204" t="n"/>
      <c r="C366" s="199" t="n"/>
      <c r="D366" s="199" t="n"/>
      <c r="E366" s="199" t="n"/>
      <c r="F366" s="199" t="n"/>
      <c r="G366" s="199" t="n"/>
      <c r="H366" s="199" t="n"/>
      <c r="I366" s="199" t="n"/>
      <c r="J366" s="199" t="n"/>
      <c r="K366" s="199" t="n"/>
      <c r="L366" s="199" t="n"/>
      <c r="M366" s="199" t="n"/>
      <c r="N366" s="199" t="n"/>
      <c r="O366" s="199" t="n"/>
      <c r="P366" s="199" t="n"/>
      <c r="Q366" s="199" t="n"/>
      <c r="R366" s="199" t="n"/>
      <c r="S366" s="199" t="n"/>
      <c r="T366" s="199" t="n"/>
      <c r="U366" s="199" t="n"/>
      <c r="V366" s="199" t="n"/>
      <c r="W366" s="199" t="n"/>
      <c r="X366" s="199" t="n"/>
      <c r="Y366" s="199" t="n"/>
      <c r="Z366" s="202">
        <f>sum(T366:X366)</f>
        <v/>
      </c>
      <c r="AA366" s="203">
        <f>sum(Z366/Y366)*100%</f>
        <v/>
      </c>
    </row>
    <row r="367" ht="15.75" customHeight="1" s="205">
      <c r="A367" s="199" t="n"/>
      <c r="B367" s="200" t="n"/>
      <c r="C367" s="201" t="n"/>
      <c r="D367" s="199" t="n"/>
      <c r="E367" s="199" t="n"/>
      <c r="F367" s="199" t="n"/>
      <c r="G367" s="199" t="n"/>
      <c r="H367" s="199" t="n"/>
      <c r="I367" s="201" t="n"/>
      <c r="J367" s="201" t="n"/>
      <c r="K367" s="201" t="n"/>
      <c r="L367" s="201" t="n"/>
      <c r="M367" s="201" t="n"/>
      <c r="N367" s="201" t="n"/>
      <c r="O367" s="199" t="n"/>
      <c r="P367" s="201" t="n"/>
      <c r="Q367" s="201" t="n"/>
      <c r="R367" s="201" t="n"/>
      <c r="S367" s="201" t="n"/>
      <c r="T367" s="201" t="n"/>
      <c r="U367" s="201" t="n"/>
      <c r="V367" s="201" t="n"/>
      <c r="W367" s="201" t="n"/>
      <c r="X367" s="201" t="n"/>
      <c r="Y367" s="201" t="n"/>
      <c r="Z367" s="202">
        <f>sum(T367:X367)</f>
        <v/>
      </c>
      <c r="AA367" s="203">
        <f>sum(Z367/Y367)*100%</f>
        <v/>
      </c>
    </row>
    <row r="368" ht="15.75" customHeight="1" s="205">
      <c r="A368" s="199" t="n"/>
      <c r="B368" s="204" t="n"/>
      <c r="C368" s="199" t="n"/>
      <c r="D368" s="199" t="n"/>
      <c r="E368" s="199" t="n"/>
      <c r="F368" s="199" t="n"/>
      <c r="G368" s="199" t="n"/>
      <c r="H368" s="199" t="n"/>
      <c r="I368" s="199" t="n"/>
      <c r="J368" s="199" t="n"/>
      <c r="K368" s="199" t="n"/>
      <c r="L368" s="199" t="n"/>
      <c r="M368" s="199" t="n"/>
      <c r="N368" s="199" t="n"/>
      <c r="O368" s="199" t="n"/>
      <c r="P368" s="199" t="n"/>
      <c r="Q368" s="199" t="n"/>
      <c r="R368" s="199" t="n"/>
      <c r="S368" s="199" t="n"/>
      <c r="T368" s="199" t="n"/>
      <c r="U368" s="199" t="n"/>
      <c r="V368" s="199" t="n"/>
      <c r="W368" s="199" t="n"/>
      <c r="X368" s="199" t="n"/>
      <c r="Y368" s="199" t="n"/>
      <c r="Z368" s="202">
        <f>sum(T368:X368)</f>
        <v/>
      </c>
      <c r="AA368" s="203">
        <f>sum(Z368/Y368)*100%</f>
        <v/>
      </c>
    </row>
    <row r="369" ht="15.75" customHeight="1" s="205">
      <c r="A369" s="199" t="n"/>
      <c r="B369" s="200" t="n"/>
      <c r="C369" s="201" t="n"/>
      <c r="D369" s="199" t="n"/>
      <c r="E369" s="199" t="n"/>
      <c r="F369" s="199" t="n"/>
      <c r="G369" s="199" t="n"/>
      <c r="H369" s="199" t="n"/>
      <c r="I369" s="201" t="n"/>
      <c r="J369" s="201" t="n"/>
      <c r="K369" s="201" t="n"/>
      <c r="L369" s="201" t="n"/>
      <c r="M369" s="201" t="n"/>
      <c r="N369" s="201" t="n"/>
      <c r="O369" s="199" t="n"/>
      <c r="P369" s="201" t="n"/>
      <c r="Q369" s="201" t="n"/>
      <c r="R369" s="201" t="n"/>
      <c r="S369" s="201" t="n"/>
      <c r="T369" s="201" t="n"/>
      <c r="U369" s="201" t="n"/>
      <c r="V369" s="201" t="n"/>
      <c r="W369" s="201" t="n"/>
      <c r="X369" s="201" t="n"/>
      <c r="Y369" s="201" t="n"/>
      <c r="Z369" s="202">
        <f>sum(T369:X369)</f>
        <v/>
      </c>
      <c r="AA369" s="203">
        <f>sum(Z369/Y369)*100%</f>
        <v/>
      </c>
    </row>
    <row r="370" ht="15.75" customHeight="1" s="205">
      <c r="A370" s="199" t="n"/>
      <c r="B370" s="204" t="n"/>
      <c r="C370" s="199" t="n"/>
      <c r="D370" s="199" t="n"/>
      <c r="E370" s="199" t="n"/>
      <c r="F370" s="199" t="n"/>
      <c r="G370" s="199" t="n"/>
      <c r="H370" s="199" t="n"/>
      <c r="I370" s="199" t="n"/>
      <c r="J370" s="199" t="n"/>
      <c r="K370" s="199" t="n"/>
      <c r="L370" s="199" t="n"/>
      <c r="M370" s="199" t="n"/>
      <c r="N370" s="199" t="n"/>
      <c r="O370" s="199" t="n"/>
      <c r="P370" s="199" t="n"/>
      <c r="Q370" s="199" t="n"/>
      <c r="R370" s="199" t="n"/>
      <c r="S370" s="199" t="n"/>
      <c r="T370" s="199" t="n"/>
      <c r="U370" s="199" t="n"/>
      <c r="V370" s="199" t="n"/>
      <c r="W370" s="199" t="n"/>
      <c r="X370" s="199" t="n"/>
      <c r="Y370" s="199" t="n"/>
      <c r="Z370" s="202">
        <f>sum(T370:X370)</f>
        <v/>
      </c>
      <c r="AA370" s="203">
        <f>sum(Z370/Y370)*100%</f>
        <v/>
      </c>
    </row>
    <row r="371" ht="15.75" customHeight="1" s="205">
      <c r="A371" s="199" t="n"/>
      <c r="B371" s="200" t="n"/>
      <c r="C371" s="201" t="n"/>
      <c r="D371" s="199" t="n"/>
      <c r="E371" s="199" t="n"/>
      <c r="F371" s="199" t="n"/>
      <c r="G371" s="199" t="n"/>
      <c r="H371" s="199" t="n"/>
      <c r="I371" s="201" t="n"/>
      <c r="J371" s="201" t="n"/>
      <c r="K371" s="201" t="n"/>
      <c r="L371" s="201" t="n"/>
      <c r="M371" s="201" t="n"/>
      <c r="N371" s="201" t="n"/>
      <c r="O371" s="199" t="n"/>
      <c r="P371" s="201" t="n"/>
      <c r="Q371" s="201" t="n"/>
      <c r="R371" s="201" t="n"/>
      <c r="S371" s="201" t="n"/>
      <c r="T371" s="201" t="n"/>
      <c r="U371" s="201" t="n"/>
      <c r="V371" s="201" t="n"/>
      <c r="W371" s="201" t="n"/>
      <c r="X371" s="201" t="n"/>
      <c r="Y371" s="201" t="n"/>
      <c r="Z371" s="202">
        <f>sum(T371:X371)</f>
        <v/>
      </c>
      <c r="AA371" s="203">
        <f>sum(Z371/Y371)*100%</f>
        <v/>
      </c>
    </row>
    <row r="372" ht="15.75" customHeight="1" s="205">
      <c r="A372" s="199" t="n"/>
      <c r="B372" s="204" t="n"/>
      <c r="C372" s="199" t="n"/>
      <c r="D372" s="199" t="n"/>
      <c r="E372" s="199" t="n"/>
      <c r="F372" s="199" t="n"/>
      <c r="G372" s="199" t="n"/>
      <c r="H372" s="199" t="n"/>
      <c r="I372" s="199" t="n"/>
      <c r="J372" s="199" t="n"/>
      <c r="K372" s="199" t="n"/>
      <c r="L372" s="199" t="n"/>
      <c r="M372" s="199" t="n"/>
      <c r="N372" s="199" t="n"/>
      <c r="O372" s="199" t="n"/>
      <c r="P372" s="199" t="n"/>
      <c r="Q372" s="199" t="n"/>
      <c r="R372" s="199" t="n"/>
      <c r="S372" s="199" t="n"/>
      <c r="T372" s="199" t="n"/>
      <c r="U372" s="199" t="n"/>
      <c r="V372" s="199" t="n"/>
      <c r="W372" s="199" t="n"/>
      <c r="X372" s="199" t="n"/>
      <c r="Y372" s="199" t="n"/>
      <c r="Z372" s="202">
        <f>sum(T372:X372)</f>
        <v/>
      </c>
      <c r="AA372" s="203">
        <f>sum(Z372/Y372)*100%</f>
        <v/>
      </c>
    </row>
    <row r="373" ht="15.75" customHeight="1" s="205">
      <c r="A373" s="199" t="n"/>
      <c r="B373" s="200" t="n"/>
      <c r="C373" s="201" t="n"/>
      <c r="D373" s="199" t="n"/>
      <c r="E373" s="199" t="n"/>
      <c r="F373" s="199" t="n"/>
      <c r="G373" s="199" t="n"/>
      <c r="H373" s="199" t="n"/>
      <c r="I373" s="201" t="n"/>
      <c r="J373" s="201" t="n"/>
      <c r="K373" s="201" t="n"/>
      <c r="L373" s="201" t="n"/>
      <c r="M373" s="201" t="n"/>
      <c r="N373" s="201" t="n"/>
      <c r="O373" s="199" t="n"/>
      <c r="P373" s="201" t="n"/>
      <c r="Q373" s="201" t="n"/>
      <c r="R373" s="201" t="n"/>
      <c r="S373" s="201" t="n"/>
      <c r="T373" s="201" t="n"/>
      <c r="U373" s="201" t="n"/>
      <c r="V373" s="201" t="n"/>
      <c r="W373" s="201" t="n"/>
      <c r="X373" s="201" t="n"/>
      <c r="Y373" s="201" t="n"/>
      <c r="Z373" s="202">
        <f>sum(T373:X373)</f>
        <v/>
      </c>
      <c r="AA373" s="203">
        <f>sum(Z373/Y373)*100%</f>
        <v/>
      </c>
    </row>
    <row r="374" ht="15.75" customHeight="1" s="205">
      <c r="A374" s="199" t="n"/>
      <c r="B374" s="204" t="n"/>
      <c r="C374" s="199" t="n"/>
      <c r="D374" s="199" t="n"/>
      <c r="E374" s="199" t="n"/>
      <c r="F374" s="199" t="n"/>
      <c r="G374" s="199" t="n"/>
      <c r="H374" s="199" t="n"/>
      <c r="I374" s="199" t="n"/>
      <c r="J374" s="199" t="n"/>
      <c r="K374" s="199" t="n"/>
      <c r="L374" s="199" t="n"/>
      <c r="M374" s="199" t="n"/>
      <c r="N374" s="199" t="n"/>
      <c r="O374" s="199" t="n"/>
      <c r="P374" s="199" t="n"/>
      <c r="Q374" s="199" t="n"/>
      <c r="R374" s="199" t="n"/>
      <c r="S374" s="199" t="n"/>
      <c r="T374" s="199" t="n"/>
      <c r="U374" s="199" t="n"/>
      <c r="V374" s="199" t="n"/>
      <c r="W374" s="199" t="n"/>
      <c r="X374" s="199" t="n"/>
      <c r="Y374" s="199" t="n"/>
      <c r="Z374" s="202">
        <f>sum(T374:X374)</f>
        <v/>
      </c>
      <c r="AA374" s="203">
        <f>sum(Z374/Y374)*100%</f>
        <v/>
      </c>
    </row>
    <row r="375" ht="15.75" customHeight="1" s="205">
      <c r="A375" s="199" t="n"/>
      <c r="B375" s="200" t="n"/>
      <c r="C375" s="201" t="n"/>
      <c r="D375" s="199" t="n"/>
      <c r="E375" s="199" t="n"/>
      <c r="F375" s="199" t="n"/>
      <c r="G375" s="199" t="n"/>
      <c r="H375" s="199" t="n"/>
      <c r="I375" s="201" t="n"/>
      <c r="J375" s="201" t="n"/>
      <c r="K375" s="201" t="n"/>
      <c r="L375" s="201" t="n"/>
      <c r="M375" s="201" t="n"/>
      <c r="N375" s="201" t="n"/>
      <c r="O375" s="199" t="n"/>
      <c r="P375" s="201" t="n"/>
      <c r="Q375" s="201" t="n"/>
      <c r="R375" s="201" t="n"/>
      <c r="S375" s="201" t="n"/>
      <c r="T375" s="201" t="n"/>
      <c r="U375" s="201" t="n"/>
      <c r="V375" s="201" t="n"/>
      <c r="W375" s="201" t="n"/>
      <c r="X375" s="201" t="n"/>
      <c r="Y375" s="201" t="n"/>
      <c r="Z375" s="202">
        <f>sum(T375:X375)</f>
        <v/>
      </c>
      <c r="AA375" s="203">
        <f>sum(Z375/Y375)*100%</f>
        <v/>
      </c>
    </row>
    <row r="376" ht="15.75" customHeight="1" s="205">
      <c r="A376" s="199" t="n"/>
      <c r="B376" s="204" t="n"/>
      <c r="C376" s="199" t="n"/>
      <c r="D376" s="199" t="n"/>
      <c r="E376" s="199" t="n"/>
      <c r="F376" s="199" t="n"/>
      <c r="G376" s="199" t="n"/>
      <c r="H376" s="199" t="n"/>
      <c r="I376" s="199" t="n"/>
      <c r="J376" s="199" t="n"/>
      <c r="K376" s="199" t="n"/>
      <c r="L376" s="199" t="n"/>
      <c r="M376" s="199" t="n"/>
      <c r="N376" s="199" t="n"/>
      <c r="O376" s="199" t="n"/>
      <c r="P376" s="199" t="n"/>
      <c r="Q376" s="199" t="n"/>
      <c r="R376" s="199" t="n"/>
      <c r="S376" s="199" t="n"/>
      <c r="T376" s="199" t="n"/>
      <c r="U376" s="199" t="n"/>
      <c r="V376" s="199" t="n"/>
      <c r="W376" s="199" t="n"/>
      <c r="X376" s="199" t="n"/>
      <c r="Y376" s="199" t="n"/>
      <c r="Z376" s="202">
        <f>sum(T376:X376)</f>
        <v/>
      </c>
      <c r="AA376" s="203">
        <f>sum(Z376/Y376)*100%</f>
        <v/>
      </c>
    </row>
    <row r="377" ht="15.75" customHeight="1" s="205">
      <c r="A377" s="199" t="n"/>
      <c r="B377" s="200" t="n"/>
      <c r="C377" s="201" t="n"/>
      <c r="D377" s="199" t="n"/>
      <c r="E377" s="199" t="n"/>
      <c r="F377" s="199" t="n"/>
      <c r="G377" s="199" t="n"/>
      <c r="H377" s="199" t="n"/>
      <c r="I377" s="201" t="n"/>
      <c r="J377" s="201" t="n"/>
      <c r="K377" s="201" t="n"/>
      <c r="L377" s="201" t="n"/>
      <c r="M377" s="201" t="n"/>
      <c r="N377" s="201" t="n"/>
      <c r="O377" s="199" t="n"/>
      <c r="P377" s="201" t="n"/>
      <c r="Q377" s="201" t="n"/>
      <c r="R377" s="201" t="n"/>
      <c r="S377" s="201" t="n"/>
      <c r="T377" s="201" t="n"/>
      <c r="U377" s="201" t="n"/>
      <c r="V377" s="201" t="n"/>
      <c r="W377" s="201" t="n"/>
      <c r="X377" s="201" t="n"/>
      <c r="Y377" s="201" t="n"/>
      <c r="Z377" s="202">
        <f>sum(T377:X377)</f>
        <v/>
      </c>
      <c r="AA377" s="203">
        <f>sum(Z377/Y377)*100%</f>
        <v/>
      </c>
    </row>
    <row r="378" ht="15.75" customHeight="1" s="205">
      <c r="A378" s="199" t="n"/>
      <c r="B378" s="204" t="n"/>
      <c r="C378" s="199" t="n"/>
      <c r="D378" s="199" t="n"/>
      <c r="E378" s="199" t="n"/>
      <c r="F378" s="199" t="n"/>
      <c r="G378" s="199" t="n"/>
      <c r="H378" s="199" t="n"/>
      <c r="I378" s="199" t="n"/>
      <c r="J378" s="199" t="n"/>
      <c r="K378" s="199" t="n"/>
      <c r="L378" s="199" t="n"/>
      <c r="M378" s="199" t="n"/>
      <c r="N378" s="199" t="n"/>
      <c r="O378" s="199" t="n"/>
      <c r="P378" s="199" t="n"/>
      <c r="Q378" s="199" t="n"/>
      <c r="R378" s="199" t="n"/>
      <c r="S378" s="199" t="n"/>
      <c r="T378" s="199" t="n"/>
      <c r="U378" s="199" t="n"/>
      <c r="V378" s="199" t="n"/>
      <c r="W378" s="199" t="n"/>
      <c r="X378" s="199" t="n"/>
      <c r="Y378" s="199" t="n"/>
      <c r="Z378" s="202">
        <f>sum(T378:X378)</f>
        <v/>
      </c>
      <c r="AA378" s="203">
        <f>sum(Z378/Y378)*100%</f>
        <v/>
      </c>
    </row>
    <row r="379" ht="15.75" customHeight="1" s="205">
      <c r="A379" s="199" t="n"/>
      <c r="B379" s="200" t="n"/>
      <c r="C379" s="201" t="n"/>
      <c r="D379" s="199" t="n"/>
      <c r="E379" s="199" t="n"/>
      <c r="F379" s="199" t="n"/>
      <c r="G379" s="199" t="n"/>
      <c r="H379" s="199" t="n"/>
      <c r="I379" s="201" t="n"/>
      <c r="J379" s="201" t="n"/>
      <c r="K379" s="201" t="n"/>
      <c r="L379" s="201" t="n"/>
      <c r="M379" s="201" t="n"/>
      <c r="N379" s="201" t="n"/>
      <c r="O379" s="199" t="n"/>
      <c r="P379" s="201" t="n"/>
      <c r="Q379" s="201" t="n"/>
      <c r="R379" s="201" t="n"/>
      <c r="S379" s="201" t="n"/>
      <c r="T379" s="201" t="n"/>
      <c r="U379" s="201" t="n"/>
      <c r="V379" s="201" t="n"/>
      <c r="W379" s="201" t="n"/>
      <c r="X379" s="201" t="n"/>
      <c r="Y379" s="201" t="n"/>
      <c r="Z379" s="202">
        <f>sum(T379:X379)</f>
        <v/>
      </c>
      <c r="AA379" s="203">
        <f>sum(Z379/Y379)*100%</f>
        <v/>
      </c>
    </row>
    <row r="380" ht="15.75" customHeight="1" s="205">
      <c r="A380" s="199" t="n"/>
      <c r="B380" s="204" t="n"/>
      <c r="C380" s="199" t="n"/>
      <c r="D380" s="199" t="n"/>
      <c r="E380" s="199" t="n"/>
      <c r="F380" s="199" t="n"/>
      <c r="G380" s="199" t="n"/>
      <c r="H380" s="199" t="n"/>
      <c r="I380" s="199" t="n"/>
      <c r="J380" s="199" t="n"/>
      <c r="K380" s="199" t="n"/>
      <c r="L380" s="199" t="n"/>
      <c r="M380" s="199" t="n"/>
      <c r="N380" s="199" t="n"/>
      <c r="O380" s="199" t="n"/>
      <c r="P380" s="199" t="n"/>
      <c r="Q380" s="199" t="n"/>
      <c r="R380" s="199" t="n"/>
      <c r="S380" s="199" t="n"/>
      <c r="T380" s="199" t="n"/>
      <c r="U380" s="199" t="n"/>
      <c r="V380" s="199" t="n"/>
      <c r="W380" s="199" t="n"/>
      <c r="X380" s="199" t="n"/>
      <c r="Y380" s="199" t="n"/>
      <c r="Z380" s="202">
        <f>sum(T380:X380)</f>
        <v/>
      </c>
      <c r="AA380" s="203">
        <f>sum(Z380/Y380)*100%</f>
        <v/>
      </c>
    </row>
    <row r="381" ht="15.75" customHeight="1" s="205">
      <c r="A381" s="199" t="n"/>
      <c r="B381" s="200" t="n"/>
      <c r="C381" s="201" t="n"/>
      <c r="D381" s="199" t="n"/>
      <c r="E381" s="199" t="n"/>
      <c r="F381" s="199" t="n"/>
      <c r="G381" s="199" t="n"/>
      <c r="H381" s="199" t="n"/>
      <c r="I381" s="201" t="n"/>
      <c r="J381" s="201" t="n"/>
      <c r="K381" s="201" t="n"/>
      <c r="L381" s="201" t="n"/>
      <c r="M381" s="201" t="n"/>
      <c r="N381" s="201" t="n"/>
      <c r="O381" s="199" t="n"/>
      <c r="P381" s="201" t="n"/>
      <c r="Q381" s="201" t="n"/>
      <c r="R381" s="201" t="n"/>
      <c r="S381" s="201" t="n"/>
      <c r="T381" s="201" t="n"/>
      <c r="U381" s="201" t="n"/>
      <c r="V381" s="201" t="n"/>
      <c r="W381" s="201" t="n"/>
      <c r="X381" s="201" t="n"/>
      <c r="Y381" s="201" t="n"/>
      <c r="Z381" s="202">
        <f>sum(T381:X381)</f>
        <v/>
      </c>
      <c r="AA381" s="203">
        <f>sum(Z381/Y381)*100%</f>
        <v/>
      </c>
    </row>
    <row r="382" ht="15.75" customHeight="1" s="205">
      <c r="A382" s="199" t="n"/>
      <c r="B382" s="204" t="n"/>
      <c r="C382" s="199" t="n"/>
      <c r="D382" s="199" t="n"/>
      <c r="E382" s="199" t="n"/>
      <c r="F382" s="199" t="n"/>
      <c r="G382" s="199" t="n"/>
      <c r="H382" s="199" t="n"/>
      <c r="I382" s="199" t="n"/>
      <c r="J382" s="199" t="n"/>
      <c r="K382" s="199" t="n"/>
      <c r="L382" s="199" t="n"/>
      <c r="M382" s="199" t="n"/>
      <c r="N382" s="199" t="n"/>
      <c r="O382" s="199" t="n"/>
      <c r="P382" s="199" t="n"/>
      <c r="Q382" s="199" t="n"/>
      <c r="R382" s="199" t="n"/>
      <c r="S382" s="199" t="n"/>
      <c r="T382" s="199" t="n"/>
      <c r="U382" s="199" t="n"/>
      <c r="V382" s="199" t="n"/>
      <c r="W382" s="199" t="n"/>
      <c r="X382" s="199" t="n"/>
      <c r="Y382" s="199" t="n"/>
      <c r="Z382" s="202">
        <f>sum(T382:X382)</f>
        <v/>
      </c>
      <c r="AA382" s="203">
        <f>sum(Z382/Y382)*100%</f>
        <v/>
      </c>
    </row>
    <row r="383" ht="15.75" customHeight="1" s="205">
      <c r="A383" s="199" t="n"/>
      <c r="B383" s="200" t="n"/>
      <c r="C383" s="201" t="n"/>
      <c r="D383" s="199" t="n"/>
      <c r="E383" s="199" t="n"/>
      <c r="F383" s="199" t="n"/>
      <c r="G383" s="199" t="n"/>
      <c r="H383" s="199" t="n"/>
      <c r="I383" s="201" t="n"/>
      <c r="J383" s="201" t="n"/>
      <c r="K383" s="201" t="n"/>
      <c r="L383" s="201" t="n"/>
      <c r="M383" s="201" t="n"/>
      <c r="N383" s="201" t="n"/>
      <c r="O383" s="199" t="n"/>
      <c r="P383" s="201" t="n"/>
      <c r="Q383" s="201" t="n"/>
      <c r="R383" s="201" t="n"/>
      <c r="S383" s="201" t="n"/>
      <c r="T383" s="201" t="n"/>
      <c r="U383" s="201" t="n"/>
      <c r="V383" s="201" t="n"/>
      <c r="W383" s="201" t="n"/>
      <c r="X383" s="201" t="n"/>
      <c r="Y383" s="201" t="n"/>
      <c r="Z383" s="202">
        <f>sum(T383:X383)</f>
        <v/>
      </c>
      <c r="AA383" s="203">
        <f>sum(Z383/Y383)*100%</f>
        <v/>
      </c>
    </row>
    <row r="384" ht="15.75" customHeight="1" s="205">
      <c r="A384" s="199" t="n"/>
      <c r="B384" s="204" t="n"/>
      <c r="C384" s="199" t="n"/>
      <c r="D384" s="199" t="n"/>
      <c r="E384" s="199" t="n"/>
      <c r="F384" s="199" t="n"/>
      <c r="G384" s="199" t="n"/>
      <c r="H384" s="199" t="n"/>
      <c r="I384" s="199" t="n"/>
      <c r="J384" s="199" t="n"/>
      <c r="K384" s="199" t="n"/>
      <c r="L384" s="199" t="n"/>
      <c r="M384" s="199" t="n"/>
      <c r="N384" s="199" t="n"/>
      <c r="O384" s="199" t="n"/>
      <c r="P384" s="199" t="n"/>
      <c r="Q384" s="199" t="n"/>
      <c r="R384" s="199" t="n"/>
      <c r="S384" s="199" t="n"/>
      <c r="T384" s="199" t="n"/>
      <c r="U384" s="199" t="n"/>
      <c r="V384" s="199" t="n"/>
      <c r="W384" s="199" t="n"/>
      <c r="X384" s="199" t="n"/>
      <c r="Y384" s="199" t="n"/>
      <c r="Z384" s="202">
        <f>sum(T384:X384)</f>
        <v/>
      </c>
      <c r="AA384" s="203">
        <f>sum(Z384/Y384)*100%</f>
        <v/>
      </c>
    </row>
    <row r="385" ht="15.75" customHeight="1" s="205">
      <c r="A385" s="199" t="n"/>
      <c r="B385" s="200" t="n"/>
      <c r="C385" s="201" t="n"/>
      <c r="D385" s="199" t="n"/>
      <c r="E385" s="199" t="n"/>
      <c r="F385" s="199" t="n"/>
      <c r="G385" s="199" t="n"/>
      <c r="H385" s="199" t="n"/>
      <c r="I385" s="201" t="n"/>
      <c r="J385" s="201" t="n"/>
      <c r="K385" s="201" t="n"/>
      <c r="L385" s="201" t="n"/>
      <c r="M385" s="201" t="n"/>
      <c r="N385" s="201" t="n"/>
      <c r="O385" s="199" t="n"/>
      <c r="P385" s="201" t="n"/>
      <c r="Q385" s="201" t="n"/>
      <c r="R385" s="201" t="n"/>
      <c r="S385" s="201" t="n"/>
      <c r="T385" s="201" t="n"/>
      <c r="U385" s="201" t="n"/>
      <c r="V385" s="201" t="n"/>
      <c r="W385" s="201" t="n"/>
      <c r="X385" s="201" t="n"/>
      <c r="Y385" s="201" t="n"/>
      <c r="Z385" s="202">
        <f>sum(T385:X385)</f>
        <v/>
      </c>
      <c r="AA385" s="203">
        <f>sum(Z385/Y385)*100%</f>
        <v/>
      </c>
    </row>
    <row r="386" ht="15.75" customHeight="1" s="205">
      <c r="A386" s="199" t="n"/>
      <c r="B386" s="204" t="n"/>
      <c r="C386" s="199" t="n"/>
      <c r="D386" s="199" t="n"/>
      <c r="E386" s="199" t="n"/>
      <c r="F386" s="199" t="n"/>
      <c r="G386" s="199" t="n"/>
      <c r="H386" s="199" t="n"/>
      <c r="I386" s="199" t="n"/>
      <c r="J386" s="199" t="n"/>
      <c r="K386" s="199" t="n"/>
      <c r="L386" s="199" t="n"/>
      <c r="M386" s="199" t="n"/>
      <c r="N386" s="199" t="n"/>
      <c r="O386" s="199" t="n"/>
      <c r="P386" s="199" t="n"/>
      <c r="Q386" s="199" t="n"/>
      <c r="R386" s="199" t="n"/>
      <c r="S386" s="199" t="n"/>
      <c r="T386" s="199" t="n"/>
      <c r="U386" s="199" t="n"/>
      <c r="V386" s="199" t="n"/>
      <c r="W386" s="199" t="n"/>
      <c r="X386" s="199" t="n"/>
      <c r="Y386" s="199" t="n"/>
      <c r="Z386" s="202">
        <f>sum(T386:X386)</f>
        <v/>
      </c>
      <c r="AA386" s="203">
        <f>sum(Z386/Y386)*100%</f>
        <v/>
      </c>
    </row>
    <row r="387" ht="15.75" customHeight="1" s="205">
      <c r="A387" s="199" t="n"/>
      <c r="B387" s="200" t="n"/>
      <c r="C387" s="201" t="n"/>
      <c r="D387" s="199" t="n"/>
      <c r="E387" s="199" t="n"/>
      <c r="F387" s="199" t="n"/>
      <c r="G387" s="199" t="n"/>
      <c r="H387" s="199" t="n"/>
      <c r="I387" s="201" t="n"/>
      <c r="J387" s="201" t="n"/>
      <c r="K387" s="201" t="n"/>
      <c r="L387" s="201" t="n"/>
      <c r="M387" s="201" t="n"/>
      <c r="N387" s="201" t="n"/>
      <c r="O387" s="199" t="n"/>
      <c r="P387" s="201" t="n"/>
      <c r="Q387" s="201" t="n"/>
      <c r="R387" s="201" t="n"/>
      <c r="S387" s="201" t="n"/>
      <c r="T387" s="201" t="n"/>
      <c r="U387" s="201" t="n"/>
      <c r="V387" s="201" t="n"/>
      <c r="W387" s="201" t="n"/>
      <c r="X387" s="201" t="n"/>
      <c r="Y387" s="201" t="n"/>
      <c r="Z387" s="202">
        <f>sum(T387:X387)</f>
        <v/>
      </c>
      <c r="AA387" s="203">
        <f>sum(Z387/Y387)*100%</f>
        <v/>
      </c>
    </row>
    <row r="388" ht="15.75" customHeight="1" s="205">
      <c r="A388" s="199" t="n"/>
      <c r="B388" s="204" t="n"/>
      <c r="C388" s="199" t="n"/>
      <c r="D388" s="199" t="n"/>
      <c r="E388" s="199" t="n"/>
      <c r="F388" s="199" t="n"/>
      <c r="G388" s="199" t="n"/>
      <c r="H388" s="199" t="n"/>
      <c r="I388" s="199" t="n"/>
      <c r="J388" s="199" t="n"/>
      <c r="K388" s="199" t="n"/>
      <c r="L388" s="199" t="n"/>
      <c r="M388" s="199" t="n"/>
      <c r="N388" s="199" t="n"/>
      <c r="O388" s="199" t="n"/>
      <c r="P388" s="199" t="n"/>
      <c r="Q388" s="199" t="n"/>
      <c r="R388" s="199" t="n"/>
      <c r="S388" s="199" t="n"/>
      <c r="T388" s="199" t="n"/>
      <c r="U388" s="199" t="n"/>
      <c r="V388" s="199" t="n"/>
      <c r="W388" s="199" t="n"/>
      <c r="X388" s="199" t="n"/>
      <c r="Y388" s="199" t="n"/>
      <c r="Z388" s="202">
        <f>sum(T388:X388)</f>
        <v/>
      </c>
      <c r="AA388" s="203">
        <f>sum(Z388/Y388)*100%</f>
        <v/>
      </c>
    </row>
    <row r="389" ht="15.75" customHeight="1" s="205">
      <c r="A389" s="199" t="n"/>
      <c r="B389" s="200" t="n"/>
      <c r="C389" s="201" t="n"/>
      <c r="D389" s="199" t="n"/>
      <c r="E389" s="199" t="n"/>
      <c r="F389" s="199" t="n"/>
      <c r="G389" s="199" t="n"/>
      <c r="H389" s="199" t="n"/>
      <c r="I389" s="201" t="n"/>
      <c r="J389" s="201" t="n"/>
      <c r="K389" s="201" t="n"/>
      <c r="L389" s="201" t="n"/>
      <c r="M389" s="201" t="n"/>
      <c r="N389" s="201" t="n"/>
      <c r="O389" s="199" t="n"/>
      <c r="P389" s="201" t="n"/>
      <c r="Q389" s="201" t="n"/>
      <c r="R389" s="201" t="n"/>
      <c r="S389" s="201" t="n"/>
      <c r="T389" s="201" t="n"/>
      <c r="U389" s="201" t="n"/>
      <c r="V389" s="201" t="n"/>
      <c r="W389" s="201" t="n"/>
      <c r="X389" s="201" t="n"/>
      <c r="Y389" s="201" t="n"/>
      <c r="Z389" s="202">
        <f>sum(T389:X389)</f>
        <v/>
      </c>
      <c r="AA389" s="203">
        <f>sum(Z389/Y389)*100%</f>
        <v/>
      </c>
    </row>
    <row r="390" ht="15.75" customHeight="1" s="205">
      <c r="A390" s="199" t="n"/>
      <c r="B390" s="204" t="n"/>
      <c r="C390" s="199" t="n"/>
      <c r="D390" s="199" t="n"/>
      <c r="E390" s="199" t="n"/>
      <c r="F390" s="199" t="n"/>
      <c r="G390" s="199" t="n"/>
      <c r="H390" s="199" t="n"/>
      <c r="I390" s="199" t="n"/>
      <c r="J390" s="199" t="n"/>
      <c r="K390" s="199" t="n"/>
      <c r="L390" s="199" t="n"/>
      <c r="M390" s="199" t="n"/>
      <c r="N390" s="199" t="n"/>
      <c r="O390" s="199" t="n"/>
      <c r="P390" s="199" t="n"/>
      <c r="Q390" s="199" t="n"/>
      <c r="R390" s="199" t="n"/>
      <c r="S390" s="199" t="n"/>
      <c r="T390" s="199" t="n"/>
      <c r="U390" s="199" t="n"/>
      <c r="V390" s="199" t="n"/>
      <c r="W390" s="199" t="n"/>
      <c r="X390" s="199" t="n"/>
      <c r="Y390" s="199" t="n"/>
      <c r="Z390" s="202">
        <f>sum(T390:X390)</f>
        <v/>
      </c>
      <c r="AA390" s="203">
        <f>sum(Z390/Y390)*100%</f>
        <v/>
      </c>
    </row>
    <row r="391" ht="15.75" customHeight="1" s="205">
      <c r="A391" s="199" t="n"/>
      <c r="B391" s="200" t="n"/>
      <c r="C391" s="201" t="n"/>
      <c r="D391" s="199" t="n"/>
      <c r="E391" s="199" t="n"/>
      <c r="F391" s="199" t="n"/>
      <c r="G391" s="199" t="n"/>
      <c r="H391" s="199" t="n"/>
      <c r="I391" s="201" t="n"/>
      <c r="J391" s="201" t="n"/>
      <c r="K391" s="201" t="n"/>
      <c r="L391" s="201" t="n"/>
      <c r="M391" s="201" t="n"/>
      <c r="N391" s="201" t="n"/>
      <c r="O391" s="199" t="n"/>
      <c r="P391" s="201" t="n"/>
      <c r="Q391" s="201" t="n"/>
      <c r="R391" s="201" t="n"/>
      <c r="S391" s="201" t="n"/>
      <c r="T391" s="201" t="n"/>
      <c r="U391" s="201" t="n"/>
      <c r="V391" s="201" t="n"/>
      <c r="W391" s="201" t="n"/>
      <c r="X391" s="201" t="n"/>
      <c r="Y391" s="201" t="n"/>
      <c r="Z391" s="202">
        <f>sum(T391:X391)</f>
        <v/>
      </c>
      <c r="AA391" s="203">
        <f>sum(Z391/Y391)*100%</f>
        <v/>
      </c>
    </row>
    <row r="392" ht="15.75" customHeight="1" s="205">
      <c r="A392" s="199" t="n"/>
      <c r="B392" s="204" t="n"/>
      <c r="C392" s="199" t="n"/>
      <c r="D392" s="199" t="n"/>
      <c r="E392" s="199" t="n"/>
      <c r="F392" s="199" t="n"/>
      <c r="G392" s="199" t="n"/>
      <c r="H392" s="199" t="n"/>
      <c r="I392" s="199" t="n"/>
      <c r="J392" s="199" t="n"/>
      <c r="K392" s="199" t="n"/>
      <c r="L392" s="199" t="n"/>
      <c r="M392" s="199" t="n"/>
      <c r="N392" s="199" t="n"/>
      <c r="O392" s="199" t="n"/>
      <c r="P392" s="199" t="n"/>
      <c r="Q392" s="199" t="n"/>
      <c r="R392" s="199" t="n"/>
      <c r="S392" s="199" t="n"/>
      <c r="T392" s="199" t="n"/>
      <c r="U392" s="199" t="n"/>
      <c r="V392" s="199" t="n"/>
      <c r="W392" s="199" t="n"/>
      <c r="X392" s="199" t="n"/>
      <c r="Y392" s="199" t="n"/>
      <c r="Z392" s="202">
        <f>sum(T392:X392)</f>
        <v/>
      </c>
      <c r="AA392" s="203">
        <f>sum(Z392/Y392)*100%</f>
        <v/>
      </c>
    </row>
    <row r="393" ht="15.75" customHeight="1" s="205">
      <c r="A393" s="199" t="n"/>
      <c r="B393" s="200" t="n"/>
      <c r="C393" s="201" t="n"/>
      <c r="D393" s="199" t="n"/>
      <c r="E393" s="199" t="n"/>
      <c r="F393" s="199" t="n"/>
      <c r="G393" s="199" t="n"/>
      <c r="H393" s="199" t="n"/>
      <c r="I393" s="201" t="n"/>
      <c r="J393" s="201" t="n"/>
      <c r="K393" s="201" t="n"/>
      <c r="L393" s="201" t="n"/>
      <c r="M393" s="201" t="n"/>
      <c r="N393" s="201" t="n"/>
      <c r="O393" s="199" t="n"/>
      <c r="P393" s="201" t="n"/>
      <c r="Q393" s="201" t="n"/>
      <c r="R393" s="201" t="n"/>
      <c r="S393" s="201" t="n"/>
      <c r="T393" s="201" t="n"/>
      <c r="U393" s="201" t="n"/>
      <c r="V393" s="201" t="n"/>
      <c r="W393" s="201" t="n"/>
      <c r="X393" s="201" t="n"/>
      <c r="Y393" s="201" t="n"/>
      <c r="Z393" s="202">
        <f>sum(T393:X393)</f>
        <v/>
      </c>
      <c r="AA393" s="203">
        <f>sum(Z393/Y393)*100%</f>
        <v/>
      </c>
    </row>
    <row r="394" ht="15.75" customHeight="1" s="205">
      <c r="A394" s="199" t="n"/>
      <c r="B394" s="204" t="n"/>
      <c r="C394" s="199" t="n"/>
      <c r="D394" s="199" t="n"/>
      <c r="E394" s="199" t="n"/>
      <c r="F394" s="199" t="n"/>
      <c r="G394" s="199" t="n"/>
      <c r="H394" s="199" t="n"/>
      <c r="I394" s="199" t="n"/>
      <c r="J394" s="199" t="n"/>
      <c r="K394" s="199" t="n"/>
      <c r="L394" s="199" t="n"/>
      <c r="M394" s="199" t="n"/>
      <c r="N394" s="199" t="n"/>
      <c r="O394" s="199" t="n"/>
      <c r="P394" s="199" t="n"/>
      <c r="Q394" s="199" t="n"/>
      <c r="R394" s="199" t="n"/>
      <c r="S394" s="199" t="n"/>
      <c r="T394" s="199" t="n"/>
      <c r="U394" s="199" t="n"/>
      <c r="V394" s="199" t="n"/>
      <c r="W394" s="199" t="n"/>
      <c r="X394" s="199" t="n"/>
      <c r="Y394" s="199" t="n"/>
      <c r="Z394" s="202">
        <f>sum(T394:X394)</f>
        <v/>
      </c>
      <c r="AA394" s="203">
        <f>sum(Z394/Y394)*100%</f>
        <v/>
      </c>
    </row>
    <row r="395" ht="15.75" customHeight="1" s="205">
      <c r="A395" s="199" t="n"/>
      <c r="B395" s="200" t="n"/>
      <c r="C395" s="201" t="n"/>
      <c r="D395" s="199" t="n"/>
      <c r="E395" s="199" t="n"/>
      <c r="F395" s="199" t="n"/>
      <c r="G395" s="199" t="n"/>
      <c r="H395" s="199" t="n"/>
      <c r="I395" s="201" t="n"/>
      <c r="J395" s="201" t="n"/>
      <c r="K395" s="201" t="n"/>
      <c r="L395" s="201" t="n"/>
      <c r="M395" s="201" t="n"/>
      <c r="N395" s="201" t="n"/>
      <c r="O395" s="199" t="n"/>
      <c r="P395" s="201" t="n"/>
      <c r="Q395" s="201" t="n"/>
      <c r="R395" s="201" t="n"/>
      <c r="S395" s="201" t="n"/>
      <c r="T395" s="201" t="n"/>
      <c r="U395" s="201" t="n"/>
      <c r="V395" s="201" t="n"/>
      <c r="W395" s="201" t="n"/>
      <c r="X395" s="201" t="n"/>
      <c r="Y395" s="201" t="n"/>
      <c r="Z395" s="202">
        <f>sum(T395:X395)</f>
        <v/>
      </c>
      <c r="AA395" s="203">
        <f>sum(Z395/Y395)*100%</f>
        <v/>
      </c>
    </row>
    <row r="396" ht="15.75" customHeight="1" s="205">
      <c r="A396" s="199" t="n"/>
      <c r="B396" s="204" t="n"/>
      <c r="C396" s="199" t="n"/>
      <c r="D396" s="199" t="n"/>
      <c r="E396" s="199" t="n"/>
      <c r="F396" s="199" t="n"/>
      <c r="G396" s="199" t="n"/>
      <c r="H396" s="199" t="n"/>
      <c r="I396" s="199" t="n"/>
      <c r="J396" s="199" t="n"/>
      <c r="K396" s="199" t="n"/>
      <c r="L396" s="199" t="n"/>
      <c r="M396" s="199" t="n"/>
      <c r="N396" s="199" t="n"/>
      <c r="O396" s="199" t="n"/>
      <c r="P396" s="199" t="n"/>
      <c r="Q396" s="199" t="n"/>
      <c r="R396" s="199" t="n"/>
      <c r="S396" s="199" t="n"/>
      <c r="T396" s="199" t="n"/>
      <c r="U396" s="199" t="n"/>
      <c r="V396" s="199" t="n"/>
      <c r="W396" s="199" t="n"/>
      <c r="X396" s="199" t="n"/>
      <c r="Y396" s="199" t="n"/>
      <c r="Z396" s="202">
        <f>sum(T396:X396)</f>
        <v/>
      </c>
      <c r="AA396" s="203">
        <f>sum(Z396/Y396)*100%</f>
        <v/>
      </c>
    </row>
    <row r="397" ht="15.75" customHeight="1" s="205">
      <c r="A397" s="199" t="n"/>
      <c r="B397" s="200" t="n"/>
      <c r="C397" s="201" t="n"/>
      <c r="D397" s="199" t="n"/>
      <c r="E397" s="199" t="n"/>
      <c r="F397" s="199" t="n"/>
      <c r="G397" s="199" t="n"/>
      <c r="H397" s="199" t="n"/>
      <c r="I397" s="201" t="n"/>
      <c r="J397" s="201" t="n"/>
      <c r="K397" s="201" t="n"/>
      <c r="L397" s="201" t="n"/>
      <c r="M397" s="201" t="n"/>
      <c r="N397" s="201" t="n"/>
      <c r="O397" s="199" t="n"/>
      <c r="P397" s="201" t="n"/>
      <c r="Q397" s="201" t="n"/>
      <c r="R397" s="201" t="n"/>
      <c r="S397" s="201" t="n"/>
      <c r="T397" s="201" t="n"/>
      <c r="U397" s="201" t="n"/>
      <c r="V397" s="201" t="n"/>
      <c r="W397" s="201" t="n"/>
      <c r="X397" s="201" t="n"/>
      <c r="Y397" s="201" t="n"/>
      <c r="Z397" s="202">
        <f>sum(T397:X397)</f>
        <v/>
      </c>
      <c r="AA397" s="203">
        <f>sum(Z397/Y397)*100%</f>
        <v/>
      </c>
    </row>
    <row r="398" ht="15.75" customHeight="1" s="205">
      <c r="A398" s="199" t="n"/>
      <c r="B398" s="204" t="n"/>
      <c r="C398" s="199" t="n"/>
      <c r="D398" s="199" t="n"/>
      <c r="E398" s="199" t="n"/>
      <c r="F398" s="199" t="n"/>
      <c r="G398" s="199" t="n"/>
      <c r="H398" s="199" t="n"/>
      <c r="I398" s="199" t="n"/>
      <c r="J398" s="199" t="n"/>
      <c r="K398" s="199" t="n"/>
      <c r="L398" s="199" t="n"/>
      <c r="M398" s="199" t="n"/>
      <c r="N398" s="199" t="n"/>
      <c r="O398" s="199" t="n"/>
      <c r="P398" s="199" t="n"/>
      <c r="Q398" s="199" t="n"/>
      <c r="R398" s="199" t="n"/>
      <c r="S398" s="199" t="n"/>
      <c r="T398" s="199" t="n"/>
      <c r="U398" s="199" t="n"/>
      <c r="V398" s="199" t="n"/>
      <c r="W398" s="199" t="n"/>
      <c r="X398" s="199" t="n"/>
      <c r="Y398" s="199" t="n"/>
      <c r="Z398" s="202">
        <f>sum(T398:X398)</f>
        <v/>
      </c>
      <c r="AA398" s="203">
        <f>sum(Z398/Y398)*100%</f>
        <v/>
      </c>
    </row>
    <row r="399" ht="15.75" customHeight="1" s="205">
      <c r="A399" s="199" t="n"/>
      <c r="B399" s="200" t="n"/>
      <c r="C399" s="201" t="n"/>
      <c r="D399" s="199" t="n"/>
      <c r="E399" s="199" t="n"/>
      <c r="F399" s="199" t="n"/>
      <c r="G399" s="199" t="n"/>
      <c r="H399" s="199" t="n"/>
      <c r="I399" s="201" t="n"/>
      <c r="J399" s="201" t="n"/>
      <c r="K399" s="201" t="n"/>
      <c r="L399" s="201" t="n"/>
      <c r="M399" s="201" t="n"/>
      <c r="N399" s="201" t="n"/>
      <c r="O399" s="199" t="n"/>
      <c r="P399" s="201" t="n"/>
      <c r="Q399" s="201" t="n"/>
      <c r="R399" s="201" t="n"/>
      <c r="S399" s="201" t="n"/>
      <c r="T399" s="201" t="n"/>
      <c r="U399" s="201" t="n"/>
      <c r="V399" s="201" t="n"/>
      <c r="W399" s="201" t="n"/>
      <c r="X399" s="201" t="n"/>
      <c r="Y399" s="201" t="n"/>
      <c r="Z399" s="202">
        <f>sum(T399:X399)</f>
        <v/>
      </c>
      <c r="AA399" s="203">
        <f>sum(Z399/Y399)*100%</f>
        <v/>
      </c>
    </row>
    <row r="400" ht="15.75" customHeight="1" s="205">
      <c r="A400" s="199" t="n"/>
      <c r="B400" s="204" t="n"/>
      <c r="C400" s="199" t="n"/>
      <c r="D400" s="199" t="n"/>
      <c r="E400" s="199" t="n"/>
      <c r="F400" s="199" t="n"/>
      <c r="G400" s="199" t="n"/>
      <c r="H400" s="199" t="n"/>
      <c r="I400" s="199" t="n"/>
      <c r="J400" s="199" t="n"/>
      <c r="K400" s="199" t="n"/>
      <c r="L400" s="199" t="n"/>
      <c r="M400" s="199" t="n"/>
      <c r="N400" s="199" t="n"/>
      <c r="O400" s="199" t="n"/>
      <c r="P400" s="199" t="n"/>
      <c r="Q400" s="199" t="n"/>
      <c r="R400" s="199" t="n"/>
      <c r="S400" s="199" t="n"/>
      <c r="T400" s="199" t="n"/>
      <c r="U400" s="199" t="n"/>
      <c r="V400" s="199" t="n"/>
      <c r="W400" s="199" t="n"/>
      <c r="X400" s="199" t="n"/>
      <c r="Y400" s="199" t="n"/>
      <c r="Z400" s="202">
        <f>sum(T400:X400)</f>
        <v/>
      </c>
      <c r="AA400" s="203">
        <f>sum(Z400/Y400)*100%</f>
        <v/>
      </c>
    </row>
    <row r="401" ht="15.75" customHeight="1" s="205">
      <c r="A401" s="199" t="n"/>
      <c r="B401" s="200" t="n"/>
      <c r="C401" s="201" t="n"/>
      <c r="D401" s="199" t="n"/>
      <c r="E401" s="199" t="n"/>
      <c r="F401" s="199" t="n"/>
      <c r="G401" s="199" t="n"/>
      <c r="H401" s="199" t="n"/>
      <c r="I401" s="201" t="n"/>
      <c r="J401" s="201" t="n"/>
      <c r="K401" s="201" t="n"/>
      <c r="L401" s="201" t="n"/>
      <c r="M401" s="201" t="n"/>
      <c r="N401" s="201" t="n"/>
      <c r="O401" s="199" t="n"/>
      <c r="P401" s="201" t="n"/>
      <c r="Q401" s="201" t="n"/>
      <c r="R401" s="201" t="n"/>
      <c r="S401" s="201" t="n"/>
      <c r="T401" s="201" t="n"/>
      <c r="U401" s="201" t="n"/>
      <c r="V401" s="201" t="n"/>
      <c r="W401" s="201" t="n"/>
      <c r="X401" s="201" t="n"/>
      <c r="Y401" s="201" t="n"/>
      <c r="Z401" s="202">
        <f>sum(T401:X401)</f>
        <v/>
      </c>
      <c r="AA401" s="203">
        <f>sum(Z401/Y401)*100%</f>
        <v/>
      </c>
    </row>
    <row r="402" ht="15.75" customHeight="1" s="205">
      <c r="A402" s="199" t="n"/>
      <c r="B402" s="204" t="n"/>
      <c r="C402" s="199" t="n"/>
      <c r="D402" s="199" t="n"/>
      <c r="E402" s="199" t="n"/>
      <c r="F402" s="199" t="n"/>
      <c r="G402" s="199" t="n"/>
      <c r="H402" s="199" t="n"/>
      <c r="I402" s="199" t="n"/>
      <c r="J402" s="199" t="n"/>
      <c r="K402" s="199" t="n"/>
      <c r="L402" s="199" t="n"/>
      <c r="M402" s="199" t="n"/>
      <c r="N402" s="199" t="n"/>
      <c r="O402" s="199" t="n"/>
      <c r="P402" s="199" t="n"/>
      <c r="Q402" s="199" t="n"/>
      <c r="R402" s="199" t="n"/>
      <c r="S402" s="199" t="n"/>
      <c r="T402" s="199" t="n"/>
      <c r="U402" s="199" t="n"/>
      <c r="V402" s="199" t="n"/>
      <c r="W402" s="199" t="n"/>
      <c r="X402" s="199" t="n"/>
      <c r="Y402" s="199" t="n"/>
      <c r="Z402" s="202">
        <f>sum(T402:X402)</f>
        <v/>
      </c>
      <c r="AA402" s="203">
        <f>sum(Z402/Y402)*100%</f>
        <v/>
      </c>
    </row>
    <row r="403" ht="15.75" customHeight="1" s="205">
      <c r="A403" s="199" t="n"/>
      <c r="B403" s="200" t="n"/>
      <c r="C403" s="201" t="n"/>
      <c r="D403" s="199" t="n"/>
      <c r="E403" s="199" t="n"/>
      <c r="F403" s="199" t="n"/>
      <c r="G403" s="199" t="n"/>
      <c r="H403" s="199" t="n"/>
      <c r="I403" s="201" t="n"/>
      <c r="J403" s="201" t="n"/>
      <c r="K403" s="201" t="n"/>
      <c r="L403" s="201" t="n"/>
      <c r="M403" s="201" t="n"/>
      <c r="N403" s="201" t="n"/>
      <c r="O403" s="199" t="n"/>
      <c r="P403" s="201" t="n"/>
      <c r="Q403" s="201" t="n"/>
      <c r="R403" s="201" t="n"/>
      <c r="S403" s="201" t="n"/>
      <c r="T403" s="201" t="n"/>
      <c r="U403" s="201" t="n"/>
      <c r="V403" s="201" t="n"/>
      <c r="W403" s="201" t="n"/>
      <c r="X403" s="201" t="n"/>
      <c r="Y403" s="201" t="n"/>
      <c r="Z403" s="202">
        <f>sum(T403:X403)</f>
        <v/>
      </c>
      <c r="AA403" s="203">
        <f>sum(Z403/Y403)*100%</f>
        <v/>
      </c>
    </row>
    <row r="404" ht="15.75" customHeight="1" s="205">
      <c r="A404" s="199" t="n"/>
      <c r="B404" s="204" t="n"/>
      <c r="C404" s="199" t="n"/>
      <c r="D404" s="199" t="n"/>
      <c r="E404" s="199" t="n"/>
      <c r="F404" s="199" t="n"/>
      <c r="G404" s="199" t="n"/>
      <c r="H404" s="199" t="n"/>
      <c r="I404" s="199" t="n"/>
      <c r="J404" s="199" t="n"/>
      <c r="K404" s="199" t="n"/>
      <c r="L404" s="199" t="n"/>
      <c r="M404" s="199" t="n"/>
      <c r="N404" s="199" t="n"/>
      <c r="O404" s="199" t="n"/>
      <c r="P404" s="199" t="n"/>
      <c r="Q404" s="199" t="n"/>
      <c r="R404" s="199" t="n"/>
      <c r="S404" s="199" t="n"/>
      <c r="T404" s="199" t="n"/>
      <c r="U404" s="199" t="n"/>
      <c r="V404" s="199" t="n"/>
      <c r="W404" s="199" t="n"/>
      <c r="X404" s="199" t="n"/>
      <c r="Y404" s="199" t="n"/>
      <c r="Z404" s="202">
        <f>sum(T404:X404)</f>
        <v/>
      </c>
      <c r="AA404" s="203">
        <f>sum(Z404/Y404)*100%</f>
        <v/>
      </c>
    </row>
    <row r="405" ht="15.75" customHeight="1" s="205">
      <c r="A405" s="199" t="n"/>
      <c r="B405" s="200" t="n"/>
      <c r="C405" s="201" t="n"/>
      <c r="D405" s="199" t="n"/>
      <c r="E405" s="199" t="n"/>
      <c r="F405" s="199" t="n"/>
      <c r="G405" s="199" t="n"/>
      <c r="H405" s="199" t="n"/>
      <c r="I405" s="201" t="n"/>
      <c r="J405" s="201" t="n"/>
      <c r="K405" s="201" t="n"/>
      <c r="L405" s="201" t="n"/>
      <c r="M405" s="201" t="n"/>
      <c r="N405" s="201" t="n"/>
      <c r="O405" s="199" t="n"/>
      <c r="P405" s="201" t="n"/>
      <c r="Q405" s="201" t="n"/>
      <c r="R405" s="201" t="n"/>
      <c r="S405" s="201" t="n"/>
      <c r="T405" s="201" t="n"/>
      <c r="U405" s="201" t="n"/>
      <c r="V405" s="201" t="n"/>
      <c r="W405" s="201" t="n"/>
      <c r="X405" s="201" t="n"/>
      <c r="Y405" s="201" t="n"/>
      <c r="Z405" s="202">
        <f>sum(T405:X405)</f>
        <v/>
      </c>
      <c r="AA405" s="203">
        <f>sum(Z405/Y405)*100%</f>
        <v/>
      </c>
    </row>
    <row r="406" ht="15.75" customHeight="1" s="205">
      <c r="A406" s="199" t="n"/>
      <c r="B406" s="204" t="n"/>
      <c r="C406" s="199" t="n"/>
      <c r="D406" s="199" t="n"/>
      <c r="E406" s="199" t="n"/>
      <c r="F406" s="199" t="n"/>
      <c r="G406" s="199" t="n"/>
      <c r="H406" s="199" t="n"/>
      <c r="I406" s="199" t="n"/>
      <c r="J406" s="199" t="n"/>
      <c r="K406" s="199" t="n"/>
      <c r="L406" s="199" t="n"/>
      <c r="M406" s="199" t="n"/>
      <c r="N406" s="199" t="n"/>
      <c r="O406" s="199" t="n"/>
      <c r="P406" s="199" t="n"/>
      <c r="Q406" s="199" t="n"/>
      <c r="R406" s="199" t="n"/>
      <c r="S406" s="199" t="n"/>
      <c r="T406" s="199" t="n"/>
      <c r="U406" s="199" t="n"/>
      <c r="V406" s="199" t="n"/>
      <c r="W406" s="199" t="n"/>
      <c r="X406" s="199" t="n"/>
      <c r="Y406" s="199" t="n"/>
      <c r="Z406" s="202">
        <f>sum(T406:X406)</f>
        <v/>
      </c>
      <c r="AA406" s="203">
        <f>sum(Z406/Y406)*100%</f>
        <v/>
      </c>
    </row>
    <row r="407" ht="15.75" customHeight="1" s="205">
      <c r="A407" s="199" t="n"/>
      <c r="B407" s="200" t="n"/>
      <c r="C407" s="201" t="n"/>
      <c r="D407" s="199" t="n"/>
      <c r="E407" s="199" t="n"/>
      <c r="F407" s="199" t="n"/>
      <c r="G407" s="199" t="n"/>
      <c r="H407" s="199" t="n"/>
      <c r="I407" s="201" t="n"/>
      <c r="J407" s="201" t="n"/>
      <c r="K407" s="201" t="n"/>
      <c r="L407" s="201" t="n"/>
      <c r="M407" s="201" t="n"/>
      <c r="N407" s="201" t="n"/>
      <c r="O407" s="199" t="n"/>
      <c r="P407" s="201" t="n"/>
      <c r="Q407" s="201" t="n"/>
      <c r="R407" s="201" t="n"/>
      <c r="S407" s="201" t="n"/>
      <c r="T407" s="201" t="n"/>
      <c r="U407" s="201" t="n"/>
      <c r="V407" s="201" t="n"/>
      <c r="W407" s="201" t="n"/>
      <c r="X407" s="201" t="n"/>
      <c r="Y407" s="201" t="n"/>
      <c r="Z407" s="202">
        <f>sum(T407:X407)</f>
        <v/>
      </c>
      <c r="AA407" s="203">
        <f>sum(Z407/Y407)*100%</f>
        <v/>
      </c>
    </row>
    <row r="408" ht="15.75" customHeight="1" s="205">
      <c r="A408" s="199" t="n"/>
      <c r="B408" s="204" t="n"/>
      <c r="C408" s="199" t="n"/>
      <c r="D408" s="199" t="n"/>
      <c r="E408" s="199" t="n"/>
      <c r="F408" s="199" t="n"/>
      <c r="G408" s="199" t="n"/>
      <c r="H408" s="199" t="n"/>
      <c r="I408" s="199" t="n"/>
      <c r="J408" s="199" t="n"/>
      <c r="K408" s="199" t="n"/>
      <c r="L408" s="199" t="n"/>
      <c r="M408" s="199" t="n"/>
      <c r="N408" s="199" t="n"/>
      <c r="O408" s="199" t="n"/>
      <c r="P408" s="199" t="n"/>
      <c r="Q408" s="199" t="n"/>
      <c r="R408" s="199" t="n"/>
      <c r="S408" s="199" t="n"/>
      <c r="T408" s="199" t="n"/>
      <c r="U408" s="199" t="n"/>
      <c r="V408" s="199" t="n"/>
      <c r="W408" s="199" t="n"/>
      <c r="X408" s="199" t="n"/>
      <c r="Y408" s="199" t="n"/>
      <c r="Z408" s="202">
        <f>sum(T408:X408)</f>
        <v/>
      </c>
      <c r="AA408" s="203">
        <f>sum(Z408/Y408)*100%</f>
        <v/>
      </c>
    </row>
    <row r="409" ht="15.75" customHeight="1" s="205">
      <c r="A409" s="199" t="n"/>
      <c r="B409" s="200" t="n"/>
      <c r="C409" s="201" t="n"/>
      <c r="D409" s="199" t="n"/>
      <c r="E409" s="199" t="n"/>
      <c r="F409" s="199" t="n"/>
      <c r="G409" s="199" t="n"/>
      <c r="H409" s="199" t="n"/>
      <c r="I409" s="201" t="n"/>
      <c r="J409" s="201" t="n"/>
      <c r="K409" s="201" t="n"/>
      <c r="L409" s="201" t="n"/>
      <c r="M409" s="201" t="n"/>
      <c r="N409" s="201" t="n"/>
      <c r="O409" s="199" t="n"/>
      <c r="P409" s="201" t="n"/>
      <c r="Q409" s="201" t="n"/>
      <c r="R409" s="201" t="n"/>
      <c r="S409" s="201" t="n"/>
      <c r="T409" s="201" t="n"/>
      <c r="U409" s="201" t="n"/>
      <c r="V409" s="201" t="n"/>
      <c r="W409" s="201" t="n"/>
      <c r="X409" s="201" t="n"/>
      <c r="Y409" s="201" t="n"/>
      <c r="Z409" s="202">
        <f>sum(T409:X409)</f>
        <v/>
      </c>
      <c r="AA409" s="203">
        <f>sum(Z409/Y409)*100%</f>
        <v/>
      </c>
    </row>
    <row r="410" ht="15.75" customHeight="1" s="205">
      <c r="A410" s="199" t="n"/>
      <c r="B410" s="204" t="n"/>
      <c r="C410" s="199" t="n"/>
      <c r="D410" s="199" t="n"/>
      <c r="E410" s="199" t="n"/>
      <c r="F410" s="199" t="n"/>
      <c r="G410" s="199" t="n"/>
      <c r="H410" s="199" t="n"/>
      <c r="I410" s="199" t="n"/>
      <c r="J410" s="199" t="n"/>
      <c r="K410" s="199" t="n"/>
      <c r="L410" s="199" t="n"/>
      <c r="M410" s="199" t="n"/>
      <c r="N410" s="199" t="n"/>
      <c r="O410" s="199" t="n"/>
      <c r="P410" s="199" t="n"/>
      <c r="Q410" s="199" t="n"/>
      <c r="R410" s="199" t="n"/>
      <c r="S410" s="199" t="n"/>
      <c r="T410" s="199" t="n"/>
      <c r="U410" s="199" t="n"/>
      <c r="V410" s="199" t="n"/>
      <c r="W410" s="199" t="n"/>
      <c r="X410" s="199" t="n"/>
      <c r="Y410" s="199" t="n"/>
      <c r="Z410" s="202">
        <f>sum(T410:X410)</f>
        <v/>
      </c>
      <c r="AA410" s="203">
        <f>sum(Z410/Y410)*100%</f>
        <v/>
      </c>
    </row>
    <row r="411" ht="15.75" customHeight="1" s="205">
      <c r="A411" s="199" t="n"/>
      <c r="B411" s="200" t="n"/>
      <c r="C411" s="201" t="n"/>
      <c r="D411" s="199" t="n"/>
      <c r="E411" s="199" t="n"/>
      <c r="F411" s="199" t="n"/>
      <c r="G411" s="199" t="n"/>
      <c r="H411" s="199" t="n"/>
      <c r="I411" s="201" t="n"/>
      <c r="J411" s="201" t="n"/>
      <c r="K411" s="201" t="n"/>
      <c r="L411" s="201" t="n"/>
      <c r="M411" s="201" t="n"/>
      <c r="N411" s="201" t="n"/>
      <c r="O411" s="199" t="n"/>
      <c r="P411" s="201" t="n"/>
      <c r="Q411" s="201" t="n"/>
      <c r="R411" s="201" t="n"/>
      <c r="S411" s="201" t="n"/>
      <c r="T411" s="201" t="n"/>
      <c r="U411" s="201" t="n"/>
      <c r="V411" s="201" t="n"/>
      <c r="W411" s="201" t="n"/>
      <c r="X411" s="201" t="n"/>
      <c r="Y411" s="201" t="n"/>
      <c r="Z411" s="202">
        <f>sum(T411:X411)</f>
        <v/>
      </c>
      <c r="AA411" s="203">
        <f>sum(Z411/Y411)*100%</f>
        <v/>
      </c>
    </row>
    <row r="412" ht="15.75" customHeight="1" s="205">
      <c r="A412" s="199" t="n"/>
      <c r="B412" s="204" t="n"/>
      <c r="C412" s="199" t="n"/>
      <c r="D412" s="199" t="n"/>
      <c r="E412" s="199" t="n"/>
      <c r="F412" s="199" t="n"/>
      <c r="G412" s="199" t="n"/>
      <c r="H412" s="199" t="n"/>
      <c r="I412" s="199" t="n"/>
      <c r="J412" s="199" t="n"/>
      <c r="K412" s="199" t="n"/>
      <c r="L412" s="199" t="n"/>
      <c r="M412" s="199" t="n"/>
      <c r="N412" s="199" t="n"/>
      <c r="O412" s="199" t="n"/>
      <c r="P412" s="199" t="n"/>
      <c r="Q412" s="199" t="n"/>
      <c r="R412" s="199" t="n"/>
      <c r="S412" s="199" t="n"/>
      <c r="T412" s="199" t="n"/>
      <c r="U412" s="199" t="n"/>
      <c r="V412" s="199" t="n"/>
      <c r="W412" s="199" t="n"/>
      <c r="X412" s="199" t="n"/>
      <c r="Y412" s="199" t="n"/>
      <c r="Z412" s="202">
        <f>sum(T412:X412)</f>
        <v/>
      </c>
      <c r="AA412" s="203">
        <f>sum(Z412/Y412)*100%</f>
        <v/>
      </c>
    </row>
    <row r="413" ht="15.75" customHeight="1" s="205">
      <c r="A413" s="199" t="n"/>
      <c r="B413" s="200" t="n"/>
      <c r="C413" s="201" t="n"/>
      <c r="D413" s="199" t="n"/>
      <c r="E413" s="199" t="n"/>
      <c r="F413" s="199" t="n"/>
      <c r="G413" s="199" t="n"/>
      <c r="H413" s="199" t="n"/>
      <c r="I413" s="201" t="n"/>
      <c r="J413" s="201" t="n"/>
      <c r="K413" s="201" t="n"/>
      <c r="L413" s="201" t="n"/>
      <c r="M413" s="201" t="n"/>
      <c r="N413" s="201" t="n"/>
      <c r="O413" s="199" t="n"/>
      <c r="P413" s="201" t="n"/>
      <c r="Q413" s="201" t="n"/>
      <c r="R413" s="201" t="n"/>
      <c r="S413" s="201" t="n"/>
      <c r="T413" s="201" t="n"/>
      <c r="U413" s="201" t="n"/>
      <c r="V413" s="201" t="n"/>
      <c r="W413" s="201" t="n"/>
      <c r="X413" s="201" t="n"/>
      <c r="Y413" s="201" t="n"/>
      <c r="Z413" s="202">
        <f>sum(T413:X413)</f>
        <v/>
      </c>
      <c r="AA413" s="203">
        <f>sum(Z413/Y413)*100%</f>
        <v/>
      </c>
    </row>
    <row r="414" ht="15.75" customHeight="1" s="205">
      <c r="A414" s="199" t="n"/>
      <c r="B414" s="204" t="n"/>
      <c r="C414" s="199" t="n"/>
      <c r="D414" s="199" t="n"/>
      <c r="E414" s="199" t="n"/>
      <c r="F414" s="199" t="n"/>
      <c r="G414" s="199" t="n"/>
      <c r="H414" s="199" t="n"/>
      <c r="I414" s="199" t="n"/>
      <c r="J414" s="199" t="n"/>
      <c r="K414" s="199" t="n"/>
      <c r="L414" s="199" t="n"/>
      <c r="M414" s="199" t="n"/>
      <c r="N414" s="199" t="n"/>
      <c r="O414" s="199" t="n"/>
      <c r="P414" s="199" t="n"/>
      <c r="Q414" s="199" t="n"/>
      <c r="R414" s="199" t="n"/>
      <c r="S414" s="199" t="n"/>
      <c r="T414" s="199" t="n"/>
      <c r="U414" s="199" t="n"/>
      <c r="V414" s="199" t="n"/>
      <c r="W414" s="199" t="n"/>
      <c r="X414" s="199" t="n"/>
      <c r="Y414" s="199" t="n"/>
      <c r="Z414" s="202">
        <f>sum(T414:X414)</f>
        <v/>
      </c>
      <c r="AA414" s="203">
        <f>sum(Z414/Y414)*100%</f>
        <v/>
      </c>
    </row>
    <row r="415" ht="15.75" customHeight="1" s="205">
      <c r="A415" s="199" t="n"/>
      <c r="B415" s="200" t="n"/>
      <c r="C415" s="201" t="n"/>
      <c r="D415" s="199" t="n"/>
      <c r="E415" s="199" t="n"/>
      <c r="F415" s="199" t="n"/>
      <c r="G415" s="199" t="n"/>
      <c r="H415" s="199" t="n"/>
      <c r="I415" s="201" t="n"/>
      <c r="J415" s="201" t="n"/>
      <c r="K415" s="201" t="n"/>
      <c r="L415" s="201" t="n"/>
      <c r="M415" s="201" t="n"/>
      <c r="N415" s="201" t="n"/>
      <c r="O415" s="199" t="n"/>
      <c r="P415" s="201" t="n"/>
      <c r="Q415" s="201" t="n"/>
      <c r="R415" s="201" t="n"/>
      <c r="S415" s="201" t="n"/>
      <c r="T415" s="201" t="n"/>
      <c r="U415" s="201" t="n"/>
      <c r="V415" s="201" t="n"/>
      <c r="W415" s="201" t="n"/>
      <c r="X415" s="201" t="n"/>
      <c r="Y415" s="201" t="n"/>
      <c r="Z415" s="202">
        <f>sum(T415:X415)</f>
        <v/>
      </c>
      <c r="AA415" s="203">
        <f>sum(Z415/Y415)*100%</f>
        <v/>
      </c>
    </row>
    <row r="416" ht="15.75" customHeight="1" s="205">
      <c r="A416" s="199" t="n"/>
      <c r="B416" s="204" t="n"/>
      <c r="C416" s="199" t="n"/>
      <c r="D416" s="199" t="n"/>
      <c r="E416" s="199" t="n"/>
      <c r="F416" s="199" t="n"/>
      <c r="G416" s="199" t="n"/>
      <c r="H416" s="199" t="n"/>
      <c r="I416" s="199" t="n"/>
      <c r="J416" s="199" t="n"/>
      <c r="K416" s="199" t="n"/>
      <c r="L416" s="199" t="n"/>
      <c r="M416" s="199" t="n"/>
      <c r="N416" s="199" t="n"/>
      <c r="O416" s="199" t="n"/>
      <c r="P416" s="199" t="n"/>
      <c r="Q416" s="199" t="n"/>
      <c r="R416" s="199" t="n"/>
      <c r="S416" s="199" t="n"/>
      <c r="T416" s="199" t="n"/>
      <c r="U416" s="199" t="n"/>
      <c r="V416" s="199" t="n"/>
      <c r="W416" s="199" t="n"/>
      <c r="X416" s="199" t="n"/>
      <c r="Y416" s="199" t="n"/>
      <c r="Z416" s="202">
        <f>sum(T416:X416)</f>
        <v/>
      </c>
      <c r="AA416" s="203">
        <f>sum(Z416/Y416)*100%</f>
        <v/>
      </c>
    </row>
    <row r="417" ht="15.75" customHeight="1" s="205">
      <c r="A417" s="199" t="n"/>
      <c r="B417" s="200" t="n"/>
      <c r="C417" s="201" t="n"/>
      <c r="D417" s="199" t="n"/>
      <c r="E417" s="199" t="n"/>
      <c r="F417" s="199" t="n"/>
      <c r="G417" s="199" t="n"/>
      <c r="H417" s="199" t="n"/>
      <c r="I417" s="201" t="n"/>
      <c r="J417" s="201" t="n"/>
      <c r="K417" s="201" t="n"/>
      <c r="L417" s="201" t="n"/>
      <c r="M417" s="201" t="n"/>
      <c r="N417" s="201" t="n"/>
      <c r="O417" s="199" t="n"/>
      <c r="P417" s="201" t="n"/>
      <c r="Q417" s="201" t="n"/>
      <c r="R417" s="201" t="n"/>
      <c r="S417" s="201" t="n"/>
      <c r="T417" s="201" t="n"/>
      <c r="U417" s="201" t="n"/>
      <c r="V417" s="201" t="n"/>
      <c r="W417" s="201" t="n"/>
      <c r="X417" s="201" t="n"/>
      <c r="Y417" s="201" t="n"/>
      <c r="Z417" s="202">
        <f>sum(T417:X417)</f>
        <v/>
      </c>
      <c r="AA417" s="203">
        <f>sum(Z417/Y417)*100%</f>
        <v/>
      </c>
    </row>
    <row r="418" ht="15.75" customHeight="1" s="205">
      <c r="A418" s="199" t="n"/>
      <c r="B418" s="204" t="n"/>
      <c r="C418" s="199" t="n"/>
      <c r="D418" s="199" t="n"/>
      <c r="E418" s="199" t="n"/>
      <c r="F418" s="199" t="n"/>
      <c r="G418" s="199" t="n"/>
      <c r="H418" s="199" t="n"/>
      <c r="I418" s="199" t="n"/>
      <c r="J418" s="199" t="n"/>
      <c r="K418" s="199" t="n"/>
      <c r="L418" s="199" t="n"/>
      <c r="M418" s="199" t="n"/>
      <c r="N418" s="199" t="n"/>
      <c r="O418" s="199" t="n"/>
      <c r="P418" s="199" t="n"/>
      <c r="Q418" s="199" t="n"/>
      <c r="R418" s="199" t="n"/>
      <c r="S418" s="199" t="n"/>
      <c r="T418" s="199" t="n"/>
      <c r="U418" s="199" t="n"/>
      <c r="V418" s="199" t="n"/>
      <c r="W418" s="199" t="n"/>
      <c r="X418" s="199" t="n"/>
      <c r="Y418" s="199" t="n"/>
      <c r="Z418" s="202">
        <f>sum(T418:X418)</f>
        <v/>
      </c>
      <c r="AA418" s="203">
        <f>sum(Z418/Y418)*100%</f>
        <v/>
      </c>
    </row>
    <row r="419" ht="15.75" customHeight="1" s="205">
      <c r="A419" s="199" t="n"/>
      <c r="B419" s="200" t="n"/>
      <c r="C419" s="201" t="n"/>
      <c r="D419" s="199" t="n"/>
      <c r="E419" s="199" t="n"/>
      <c r="F419" s="199" t="n"/>
      <c r="G419" s="199" t="n"/>
      <c r="H419" s="199" t="n"/>
      <c r="I419" s="201" t="n"/>
      <c r="J419" s="201" t="n"/>
      <c r="K419" s="201" t="n"/>
      <c r="L419" s="201" t="n"/>
      <c r="M419" s="201" t="n"/>
      <c r="N419" s="201" t="n"/>
      <c r="O419" s="199" t="n"/>
      <c r="P419" s="201" t="n"/>
      <c r="Q419" s="201" t="n"/>
      <c r="R419" s="201" t="n"/>
      <c r="S419" s="201" t="n"/>
      <c r="T419" s="201" t="n"/>
      <c r="U419" s="201" t="n"/>
      <c r="V419" s="201" t="n"/>
      <c r="W419" s="201" t="n"/>
      <c r="X419" s="201" t="n"/>
      <c r="Y419" s="201" t="n"/>
      <c r="Z419" s="202">
        <f>sum(T419:X419)</f>
        <v/>
      </c>
      <c r="AA419" s="203">
        <f>sum(Z419/Y419)*100%</f>
        <v/>
      </c>
    </row>
    <row r="420" ht="15.75" customHeight="1" s="205">
      <c r="A420" s="199" t="n"/>
      <c r="B420" s="204" t="n"/>
      <c r="C420" s="199" t="n"/>
      <c r="D420" s="199" t="n"/>
      <c r="E420" s="199" t="n"/>
      <c r="F420" s="199" t="n"/>
      <c r="G420" s="199" t="n"/>
      <c r="H420" s="199" t="n"/>
      <c r="I420" s="199" t="n"/>
      <c r="J420" s="199" t="n"/>
      <c r="K420" s="199" t="n"/>
      <c r="L420" s="199" t="n"/>
      <c r="M420" s="199" t="n"/>
      <c r="N420" s="199" t="n"/>
      <c r="O420" s="199" t="n"/>
      <c r="P420" s="199" t="n"/>
      <c r="Q420" s="199" t="n"/>
      <c r="R420" s="199" t="n"/>
      <c r="S420" s="199" t="n"/>
      <c r="T420" s="199" t="n"/>
      <c r="U420" s="199" t="n"/>
      <c r="V420" s="199" t="n"/>
      <c r="W420" s="199" t="n"/>
      <c r="X420" s="199" t="n"/>
      <c r="Y420" s="199" t="n"/>
      <c r="Z420" s="202">
        <f>sum(T420:X420)</f>
        <v/>
      </c>
      <c r="AA420" s="203">
        <f>sum(Z420/Y420)*100%</f>
        <v/>
      </c>
    </row>
    <row r="421" ht="15.75" customHeight="1" s="205">
      <c r="A421" s="199" t="n"/>
      <c r="B421" s="200" t="n"/>
      <c r="C421" s="201" t="n"/>
      <c r="D421" s="199" t="n"/>
      <c r="E421" s="199" t="n"/>
      <c r="F421" s="199" t="n"/>
      <c r="G421" s="199" t="n"/>
      <c r="H421" s="199" t="n"/>
      <c r="I421" s="201" t="n"/>
      <c r="J421" s="201" t="n"/>
      <c r="K421" s="201" t="n"/>
      <c r="L421" s="201" t="n"/>
      <c r="M421" s="201" t="n"/>
      <c r="N421" s="201" t="n"/>
      <c r="O421" s="199" t="n"/>
      <c r="P421" s="201" t="n"/>
      <c r="Q421" s="201" t="n"/>
      <c r="R421" s="201" t="n"/>
      <c r="S421" s="201" t="n"/>
      <c r="T421" s="201" t="n"/>
      <c r="U421" s="201" t="n"/>
      <c r="V421" s="201" t="n"/>
      <c r="W421" s="201" t="n"/>
      <c r="X421" s="201" t="n"/>
      <c r="Y421" s="201" t="n"/>
      <c r="Z421" s="202">
        <f>sum(T421:X421)</f>
        <v/>
      </c>
      <c r="AA421" s="203">
        <f>sum(Z421/Y421)*100%</f>
        <v/>
      </c>
    </row>
    <row r="422" ht="15.75" customHeight="1" s="205">
      <c r="A422" s="199" t="n"/>
      <c r="B422" s="204" t="n"/>
      <c r="C422" s="199" t="n"/>
      <c r="D422" s="199" t="n"/>
      <c r="E422" s="199" t="n"/>
      <c r="F422" s="199" t="n"/>
      <c r="G422" s="199" t="n"/>
      <c r="H422" s="199" t="n"/>
      <c r="I422" s="199" t="n"/>
      <c r="J422" s="199" t="n"/>
      <c r="K422" s="199" t="n"/>
      <c r="L422" s="199" t="n"/>
      <c r="M422" s="199" t="n"/>
      <c r="N422" s="199" t="n"/>
      <c r="O422" s="199" t="n"/>
      <c r="P422" s="199" t="n"/>
      <c r="Q422" s="199" t="n"/>
      <c r="R422" s="199" t="n"/>
      <c r="S422" s="199" t="n"/>
      <c r="T422" s="199" t="n"/>
      <c r="U422" s="199" t="n"/>
      <c r="V422" s="199" t="n"/>
      <c r="W422" s="199" t="n"/>
      <c r="X422" s="199" t="n"/>
      <c r="Y422" s="199" t="n"/>
      <c r="Z422" s="202">
        <f>sum(T422:X422)</f>
        <v/>
      </c>
      <c r="AA422" s="203">
        <f>sum(Z422/Y422)*100%</f>
        <v/>
      </c>
    </row>
    <row r="423" ht="15.75" customHeight="1" s="205">
      <c r="A423" s="199" t="n"/>
      <c r="B423" s="200" t="n"/>
      <c r="C423" s="201" t="n"/>
      <c r="D423" s="199" t="n"/>
      <c r="E423" s="199" t="n"/>
      <c r="F423" s="199" t="n"/>
      <c r="G423" s="199" t="n"/>
      <c r="H423" s="199" t="n"/>
      <c r="I423" s="201" t="n"/>
      <c r="J423" s="201" t="n"/>
      <c r="K423" s="201" t="n"/>
      <c r="L423" s="201" t="n"/>
      <c r="M423" s="201" t="n"/>
      <c r="N423" s="201" t="n"/>
      <c r="O423" s="199" t="n"/>
      <c r="P423" s="201" t="n"/>
      <c r="Q423" s="201" t="n"/>
      <c r="R423" s="201" t="n"/>
      <c r="S423" s="201" t="n"/>
      <c r="T423" s="201" t="n"/>
      <c r="U423" s="201" t="n"/>
      <c r="V423" s="201" t="n"/>
      <c r="W423" s="201" t="n"/>
      <c r="X423" s="201" t="n"/>
      <c r="Y423" s="201" t="n"/>
      <c r="Z423" s="202">
        <f>sum(T423:X423)</f>
        <v/>
      </c>
      <c r="AA423" s="203">
        <f>sum(Z423/Y423)*100%</f>
        <v/>
      </c>
    </row>
    <row r="424" ht="15.75" customHeight="1" s="205">
      <c r="A424" s="199" t="n"/>
      <c r="B424" s="204" t="n"/>
      <c r="C424" s="199" t="n"/>
      <c r="D424" s="199" t="n"/>
      <c r="E424" s="199" t="n"/>
      <c r="F424" s="199" t="n"/>
      <c r="G424" s="199" t="n"/>
      <c r="H424" s="199" t="n"/>
      <c r="I424" s="199" t="n"/>
      <c r="J424" s="199" t="n"/>
      <c r="K424" s="199" t="n"/>
      <c r="L424" s="199" t="n"/>
      <c r="M424" s="199" t="n"/>
      <c r="N424" s="199" t="n"/>
      <c r="O424" s="199" t="n"/>
      <c r="P424" s="199" t="n"/>
      <c r="Q424" s="199" t="n"/>
      <c r="R424" s="199" t="n"/>
      <c r="S424" s="199" t="n"/>
      <c r="T424" s="199" t="n"/>
      <c r="U424" s="199" t="n"/>
      <c r="V424" s="199" t="n"/>
      <c r="W424" s="199" t="n"/>
      <c r="X424" s="199" t="n"/>
      <c r="Y424" s="199" t="n"/>
      <c r="Z424" s="202">
        <f>sum(T424:X424)</f>
        <v/>
      </c>
      <c r="AA424" s="203">
        <f>sum(Z424/Y424)*100%</f>
        <v/>
      </c>
    </row>
    <row r="425" ht="15.75" customHeight="1" s="205">
      <c r="A425" s="199" t="n"/>
      <c r="B425" s="200" t="n"/>
      <c r="C425" s="201" t="n"/>
      <c r="D425" s="199" t="n"/>
      <c r="E425" s="199" t="n"/>
      <c r="F425" s="199" t="n"/>
      <c r="G425" s="199" t="n"/>
      <c r="H425" s="199" t="n"/>
      <c r="I425" s="201" t="n"/>
      <c r="J425" s="201" t="n"/>
      <c r="K425" s="201" t="n"/>
      <c r="L425" s="201" t="n"/>
      <c r="M425" s="201" t="n"/>
      <c r="N425" s="201" t="n"/>
      <c r="O425" s="199" t="n"/>
      <c r="P425" s="201" t="n"/>
      <c r="Q425" s="201" t="n"/>
      <c r="R425" s="201" t="n"/>
      <c r="S425" s="201" t="n"/>
      <c r="T425" s="201" t="n"/>
      <c r="U425" s="201" t="n"/>
      <c r="V425" s="201" t="n"/>
      <c r="W425" s="201" t="n"/>
      <c r="X425" s="201" t="n"/>
      <c r="Y425" s="201" t="n"/>
      <c r="Z425" s="202">
        <f>sum(T425:X425)</f>
        <v/>
      </c>
      <c r="AA425" s="203">
        <f>sum(Z425/Y425)*100%</f>
        <v/>
      </c>
    </row>
    <row r="426" ht="15.75" customHeight="1" s="205">
      <c r="A426" s="199" t="n"/>
      <c r="B426" s="204" t="n"/>
      <c r="C426" s="199" t="n"/>
      <c r="D426" s="199" t="n"/>
      <c r="E426" s="199" t="n"/>
      <c r="F426" s="199" t="n"/>
      <c r="G426" s="199" t="n"/>
      <c r="H426" s="199" t="n"/>
      <c r="I426" s="199" t="n"/>
      <c r="J426" s="199" t="n"/>
      <c r="K426" s="199" t="n"/>
      <c r="L426" s="199" t="n"/>
      <c r="M426" s="199" t="n"/>
      <c r="N426" s="199" t="n"/>
      <c r="O426" s="199" t="n"/>
      <c r="P426" s="199" t="n"/>
      <c r="Q426" s="199" t="n"/>
      <c r="R426" s="199" t="n"/>
      <c r="S426" s="199" t="n"/>
      <c r="T426" s="199" t="n"/>
      <c r="U426" s="199" t="n"/>
      <c r="V426" s="199" t="n"/>
      <c r="W426" s="199" t="n"/>
      <c r="X426" s="199" t="n"/>
      <c r="Y426" s="199" t="n"/>
      <c r="Z426" s="202">
        <f>sum(T426:X426)</f>
        <v/>
      </c>
      <c r="AA426" s="203">
        <f>sum(Z426/Y426)*100%</f>
        <v/>
      </c>
    </row>
    <row r="427" ht="15.75" customHeight="1" s="205">
      <c r="A427" s="199" t="n"/>
      <c r="B427" s="200" t="n"/>
      <c r="C427" s="201" t="n"/>
      <c r="D427" s="199" t="n"/>
      <c r="E427" s="199" t="n"/>
      <c r="F427" s="199" t="n"/>
      <c r="G427" s="199" t="n"/>
      <c r="H427" s="199" t="n"/>
      <c r="I427" s="201" t="n"/>
      <c r="J427" s="201" t="n"/>
      <c r="K427" s="201" t="n"/>
      <c r="L427" s="201" t="n"/>
      <c r="M427" s="201" t="n"/>
      <c r="N427" s="201" t="n"/>
      <c r="O427" s="199" t="n"/>
      <c r="P427" s="201" t="n"/>
      <c r="Q427" s="201" t="n"/>
      <c r="R427" s="201" t="n"/>
      <c r="S427" s="201" t="n"/>
      <c r="T427" s="201" t="n"/>
      <c r="U427" s="201" t="n"/>
      <c r="V427" s="201" t="n"/>
      <c r="W427" s="201" t="n"/>
      <c r="X427" s="201" t="n"/>
      <c r="Y427" s="201" t="n"/>
      <c r="Z427" s="202">
        <f>sum(T427:X427)</f>
        <v/>
      </c>
      <c r="AA427" s="203">
        <f>sum(Z427/Y427)*100%</f>
        <v/>
      </c>
    </row>
    <row r="428" ht="15.75" customHeight="1" s="205">
      <c r="A428" s="199" t="n"/>
      <c r="B428" s="204" t="n"/>
      <c r="C428" s="199" t="n"/>
      <c r="D428" s="199" t="n"/>
      <c r="E428" s="199" t="n"/>
      <c r="F428" s="199" t="n"/>
      <c r="G428" s="199" t="n"/>
      <c r="H428" s="199" t="n"/>
      <c r="I428" s="199" t="n"/>
      <c r="J428" s="199" t="n"/>
      <c r="K428" s="199" t="n"/>
      <c r="L428" s="199" t="n"/>
      <c r="M428" s="199" t="n"/>
      <c r="N428" s="199" t="n"/>
      <c r="O428" s="199" t="n"/>
      <c r="P428" s="199" t="n"/>
      <c r="Q428" s="199" t="n"/>
      <c r="R428" s="199" t="n"/>
      <c r="S428" s="199" t="n"/>
      <c r="T428" s="199" t="n"/>
      <c r="U428" s="199" t="n"/>
      <c r="V428" s="199" t="n"/>
      <c r="W428" s="199" t="n"/>
      <c r="X428" s="199" t="n"/>
      <c r="Y428" s="199" t="n"/>
      <c r="Z428" s="202">
        <f>sum(T428:X428)</f>
        <v/>
      </c>
      <c r="AA428" s="203">
        <f>sum(Z428/Y428)*100%</f>
        <v/>
      </c>
    </row>
    <row r="429" ht="15.75" customHeight="1" s="205">
      <c r="A429" s="199" t="n"/>
      <c r="B429" s="200" t="n"/>
      <c r="C429" s="201" t="n"/>
      <c r="D429" s="199" t="n"/>
      <c r="E429" s="199" t="n"/>
      <c r="F429" s="199" t="n"/>
      <c r="G429" s="199" t="n"/>
      <c r="H429" s="199" t="n"/>
      <c r="I429" s="201" t="n"/>
      <c r="J429" s="201" t="n"/>
      <c r="K429" s="201" t="n"/>
      <c r="L429" s="201" t="n"/>
      <c r="M429" s="201" t="n"/>
      <c r="N429" s="201" t="n"/>
      <c r="O429" s="199" t="n"/>
      <c r="P429" s="201" t="n"/>
      <c r="Q429" s="201" t="n"/>
      <c r="R429" s="201" t="n"/>
      <c r="S429" s="201" t="n"/>
      <c r="T429" s="201" t="n"/>
      <c r="U429" s="201" t="n"/>
      <c r="V429" s="201" t="n"/>
      <c r="W429" s="201" t="n"/>
      <c r="X429" s="201" t="n"/>
      <c r="Y429" s="201" t="n"/>
      <c r="Z429" s="202">
        <f>sum(T429:X429)</f>
        <v/>
      </c>
      <c r="AA429" s="203">
        <f>sum(Z429/Y429)*100%</f>
        <v/>
      </c>
    </row>
    <row r="430" ht="15.75" customHeight="1" s="205">
      <c r="A430" s="199" t="n"/>
      <c r="B430" s="204" t="n"/>
      <c r="C430" s="199" t="n"/>
      <c r="D430" s="199" t="n"/>
      <c r="E430" s="199" t="n"/>
      <c r="F430" s="199" t="n"/>
      <c r="G430" s="199" t="n"/>
      <c r="H430" s="199" t="n"/>
      <c r="I430" s="199" t="n"/>
      <c r="J430" s="199" t="n"/>
      <c r="K430" s="199" t="n"/>
      <c r="L430" s="199" t="n"/>
      <c r="M430" s="199" t="n"/>
      <c r="N430" s="199" t="n"/>
      <c r="O430" s="199" t="n"/>
      <c r="P430" s="199" t="n"/>
      <c r="Q430" s="199" t="n"/>
      <c r="R430" s="199" t="n"/>
      <c r="S430" s="199" t="n"/>
      <c r="T430" s="199" t="n"/>
      <c r="U430" s="199" t="n"/>
      <c r="V430" s="199" t="n"/>
      <c r="W430" s="199" t="n"/>
      <c r="X430" s="199" t="n"/>
      <c r="Y430" s="199" t="n"/>
      <c r="Z430" s="202">
        <f>sum(T430:X430)</f>
        <v/>
      </c>
      <c r="AA430" s="203">
        <f>sum(Z430/Y430)*100%</f>
        <v/>
      </c>
    </row>
    <row r="431" ht="15.75" customHeight="1" s="205">
      <c r="A431" s="199" t="n"/>
      <c r="B431" s="200" t="n"/>
      <c r="C431" s="201" t="n"/>
      <c r="D431" s="199" t="n"/>
      <c r="E431" s="199" t="n"/>
      <c r="F431" s="199" t="n"/>
      <c r="G431" s="199" t="n"/>
      <c r="H431" s="199" t="n"/>
      <c r="I431" s="201" t="n"/>
      <c r="J431" s="201" t="n"/>
      <c r="K431" s="201" t="n"/>
      <c r="L431" s="201" t="n"/>
      <c r="M431" s="201" t="n"/>
      <c r="N431" s="201" t="n"/>
      <c r="O431" s="199" t="n"/>
      <c r="P431" s="201" t="n"/>
      <c r="Q431" s="201" t="n"/>
      <c r="R431" s="201" t="n"/>
      <c r="S431" s="201" t="n"/>
      <c r="T431" s="201" t="n"/>
      <c r="U431" s="201" t="n"/>
      <c r="V431" s="201" t="n"/>
      <c r="W431" s="201" t="n"/>
      <c r="X431" s="201" t="n"/>
      <c r="Y431" s="201" t="n"/>
      <c r="Z431" s="202">
        <f>sum(T431:X431)</f>
        <v/>
      </c>
      <c r="AA431" s="203">
        <f>sum(Z431/Y431)*100%</f>
        <v/>
      </c>
    </row>
    <row r="432" ht="15.75" customHeight="1" s="205">
      <c r="A432" s="199" t="n"/>
      <c r="B432" s="204" t="n"/>
      <c r="C432" s="199" t="n"/>
      <c r="D432" s="199" t="n"/>
      <c r="E432" s="199" t="n"/>
      <c r="F432" s="199" t="n"/>
      <c r="G432" s="199" t="n"/>
      <c r="H432" s="199" t="n"/>
      <c r="I432" s="199" t="n"/>
      <c r="J432" s="199" t="n"/>
      <c r="K432" s="199" t="n"/>
      <c r="L432" s="199" t="n"/>
      <c r="M432" s="199" t="n"/>
      <c r="N432" s="199" t="n"/>
      <c r="O432" s="199" t="n"/>
      <c r="P432" s="199" t="n"/>
      <c r="Q432" s="199" t="n"/>
      <c r="R432" s="199" t="n"/>
      <c r="S432" s="199" t="n"/>
      <c r="T432" s="199" t="n"/>
      <c r="U432" s="199" t="n"/>
      <c r="V432" s="199" t="n"/>
      <c r="W432" s="199" t="n"/>
      <c r="X432" s="199" t="n"/>
      <c r="Y432" s="199" t="n"/>
      <c r="Z432" s="202">
        <f>sum(T432:X432)</f>
        <v/>
      </c>
      <c r="AA432" s="203">
        <f>sum(Z432/Y432)*100%</f>
        <v/>
      </c>
    </row>
    <row r="433" ht="15.75" customHeight="1" s="205">
      <c r="A433" s="199" t="n"/>
      <c r="B433" s="200" t="n"/>
      <c r="C433" s="201" t="n"/>
      <c r="D433" s="199" t="n"/>
      <c r="E433" s="199" t="n"/>
      <c r="F433" s="199" t="n"/>
      <c r="G433" s="199" t="n"/>
      <c r="H433" s="199" t="n"/>
      <c r="I433" s="201" t="n"/>
      <c r="J433" s="201" t="n"/>
      <c r="K433" s="201" t="n"/>
      <c r="L433" s="201" t="n"/>
      <c r="M433" s="201" t="n"/>
      <c r="N433" s="201" t="n"/>
      <c r="O433" s="199" t="n"/>
      <c r="P433" s="201" t="n"/>
      <c r="Q433" s="201" t="n"/>
      <c r="R433" s="201" t="n"/>
      <c r="S433" s="201" t="n"/>
      <c r="T433" s="201" t="n"/>
      <c r="U433" s="201" t="n"/>
      <c r="V433" s="201" t="n"/>
      <c r="W433" s="201" t="n"/>
      <c r="X433" s="201" t="n"/>
      <c r="Y433" s="201" t="n"/>
      <c r="Z433" s="202">
        <f>sum(T433:X433)</f>
        <v/>
      </c>
      <c r="AA433" s="203">
        <f>sum(Z433/Y433)*100%</f>
        <v/>
      </c>
    </row>
    <row r="434" ht="15.75" customHeight="1" s="205">
      <c r="A434" s="199" t="n"/>
      <c r="B434" s="204" t="n"/>
      <c r="C434" s="199" t="n"/>
      <c r="D434" s="199" t="n"/>
      <c r="E434" s="199" t="n"/>
      <c r="F434" s="199" t="n"/>
      <c r="G434" s="199" t="n"/>
      <c r="H434" s="199" t="n"/>
      <c r="I434" s="199" t="n"/>
      <c r="J434" s="199" t="n"/>
      <c r="K434" s="199" t="n"/>
      <c r="L434" s="199" t="n"/>
      <c r="M434" s="199" t="n"/>
      <c r="N434" s="199" t="n"/>
      <c r="O434" s="199" t="n"/>
      <c r="P434" s="199" t="n"/>
      <c r="Q434" s="199" t="n"/>
      <c r="R434" s="199" t="n"/>
      <c r="S434" s="199" t="n"/>
      <c r="T434" s="199" t="n"/>
      <c r="U434" s="199" t="n"/>
      <c r="V434" s="199" t="n"/>
      <c r="W434" s="199" t="n"/>
      <c r="X434" s="199" t="n"/>
      <c r="Y434" s="199" t="n"/>
      <c r="Z434" s="202">
        <f>sum(T434:X434)</f>
        <v/>
      </c>
      <c r="AA434" s="203">
        <f>sum(Z434/Y434)*100%</f>
        <v/>
      </c>
    </row>
    <row r="435" ht="15.75" customHeight="1" s="205">
      <c r="A435" s="199" t="n"/>
      <c r="B435" s="200" t="n"/>
      <c r="C435" s="201" t="n"/>
      <c r="D435" s="199" t="n"/>
      <c r="E435" s="199" t="n"/>
      <c r="F435" s="199" t="n"/>
      <c r="G435" s="199" t="n"/>
      <c r="H435" s="199" t="n"/>
      <c r="I435" s="201" t="n"/>
      <c r="J435" s="201" t="n"/>
      <c r="K435" s="201" t="n"/>
      <c r="L435" s="201" t="n"/>
      <c r="M435" s="201" t="n"/>
      <c r="N435" s="201" t="n"/>
      <c r="O435" s="199" t="n"/>
      <c r="P435" s="201" t="n"/>
      <c r="Q435" s="201" t="n"/>
      <c r="R435" s="201" t="n"/>
      <c r="S435" s="201" t="n"/>
      <c r="T435" s="201" t="n"/>
      <c r="U435" s="201" t="n"/>
      <c r="V435" s="201" t="n"/>
      <c r="W435" s="201" t="n"/>
      <c r="X435" s="201" t="n"/>
      <c r="Y435" s="201" t="n"/>
      <c r="Z435" s="202">
        <f>sum(T435:X435)</f>
        <v/>
      </c>
      <c r="AA435" s="203">
        <f>sum(Z435/Y435)*100%</f>
        <v/>
      </c>
    </row>
    <row r="436" ht="15.75" customHeight="1" s="205">
      <c r="A436" s="199" t="n"/>
      <c r="B436" s="204" t="n"/>
      <c r="C436" s="199" t="n"/>
      <c r="D436" s="199" t="n"/>
      <c r="E436" s="199" t="n"/>
      <c r="F436" s="199" t="n"/>
      <c r="G436" s="199" t="n"/>
      <c r="H436" s="199" t="n"/>
      <c r="I436" s="199" t="n"/>
      <c r="J436" s="199" t="n"/>
      <c r="K436" s="199" t="n"/>
      <c r="L436" s="199" t="n"/>
      <c r="M436" s="199" t="n"/>
      <c r="N436" s="199" t="n"/>
      <c r="O436" s="199" t="n"/>
      <c r="P436" s="199" t="n"/>
      <c r="Q436" s="199" t="n"/>
      <c r="R436" s="199" t="n"/>
      <c r="S436" s="199" t="n"/>
      <c r="T436" s="199" t="n"/>
      <c r="U436" s="199" t="n"/>
      <c r="V436" s="199" t="n"/>
      <c r="W436" s="199" t="n"/>
      <c r="X436" s="199" t="n"/>
      <c r="Y436" s="199" t="n"/>
      <c r="Z436" s="202">
        <f>sum(T436:X436)</f>
        <v/>
      </c>
      <c r="AA436" s="203">
        <f>sum(Z436/Y436)*100%</f>
        <v/>
      </c>
    </row>
    <row r="437" ht="15.75" customHeight="1" s="205">
      <c r="A437" s="199" t="n"/>
      <c r="B437" s="200" t="n"/>
      <c r="C437" s="201" t="n"/>
      <c r="D437" s="199" t="n"/>
      <c r="E437" s="199" t="n"/>
      <c r="F437" s="199" t="n"/>
      <c r="G437" s="199" t="n"/>
      <c r="H437" s="199" t="n"/>
      <c r="I437" s="201" t="n"/>
      <c r="J437" s="201" t="n"/>
      <c r="K437" s="201" t="n"/>
      <c r="L437" s="201" t="n"/>
      <c r="M437" s="201" t="n"/>
      <c r="N437" s="201" t="n"/>
      <c r="O437" s="199" t="n"/>
      <c r="P437" s="201" t="n"/>
      <c r="Q437" s="201" t="n"/>
      <c r="R437" s="201" t="n"/>
      <c r="S437" s="201" t="n"/>
      <c r="T437" s="201" t="n"/>
      <c r="U437" s="201" t="n"/>
      <c r="V437" s="201" t="n"/>
      <c r="W437" s="201" t="n"/>
      <c r="X437" s="201" t="n"/>
      <c r="Y437" s="201" t="n"/>
      <c r="Z437" s="202">
        <f>sum(T437:X437)</f>
        <v/>
      </c>
      <c r="AA437" s="203">
        <f>sum(Z437/Y437)*100%</f>
        <v/>
      </c>
    </row>
    <row r="438" ht="15.75" customHeight="1" s="205">
      <c r="A438" s="199" t="n"/>
      <c r="B438" s="204" t="n"/>
      <c r="C438" s="199" t="n"/>
      <c r="D438" s="199" t="n"/>
      <c r="E438" s="199" t="n"/>
      <c r="F438" s="199" t="n"/>
      <c r="G438" s="199" t="n"/>
      <c r="H438" s="199" t="n"/>
      <c r="I438" s="199" t="n"/>
      <c r="J438" s="199" t="n"/>
      <c r="K438" s="199" t="n"/>
      <c r="L438" s="199" t="n"/>
      <c r="M438" s="199" t="n"/>
      <c r="N438" s="199" t="n"/>
      <c r="O438" s="199" t="n"/>
      <c r="P438" s="199" t="n"/>
      <c r="Q438" s="199" t="n"/>
      <c r="R438" s="199" t="n"/>
      <c r="S438" s="199" t="n"/>
      <c r="T438" s="199" t="n"/>
      <c r="U438" s="199" t="n"/>
      <c r="V438" s="199" t="n"/>
      <c r="W438" s="199" t="n"/>
      <c r="X438" s="199" t="n"/>
      <c r="Y438" s="199" t="n"/>
      <c r="Z438" s="202">
        <f>sum(T438:X438)</f>
        <v/>
      </c>
      <c r="AA438" s="203">
        <f>sum(Z438/Y438)*100%</f>
        <v/>
      </c>
    </row>
    <row r="439" ht="15.75" customHeight="1" s="205">
      <c r="A439" s="199" t="n"/>
      <c r="B439" s="200" t="n"/>
      <c r="C439" s="201" t="n"/>
      <c r="D439" s="199" t="n"/>
      <c r="E439" s="199" t="n"/>
      <c r="F439" s="199" t="n"/>
      <c r="G439" s="199" t="n"/>
      <c r="H439" s="199" t="n"/>
      <c r="I439" s="201" t="n"/>
      <c r="J439" s="201" t="n"/>
      <c r="K439" s="201" t="n"/>
      <c r="L439" s="201" t="n"/>
      <c r="M439" s="201" t="n"/>
      <c r="N439" s="201" t="n"/>
      <c r="O439" s="199" t="n"/>
      <c r="P439" s="201" t="n"/>
      <c r="Q439" s="201" t="n"/>
      <c r="R439" s="201" t="n"/>
      <c r="S439" s="201" t="n"/>
      <c r="T439" s="201" t="n"/>
      <c r="U439" s="201" t="n"/>
      <c r="V439" s="201" t="n"/>
      <c r="W439" s="201" t="n"/>
      <c r="X439" s="201" t="n"/>
      <c r="Y439" s="201" t="n"/>
      <c r="Z439" s="202">
        <f>sum(T439:X439)</f>
        <v/>
      </c>
      <c r="AA439" s="203">
        <f>sum(Z439/Y439)*100%</f>
        <v/>
      </c>
    </row>
    <row r="440" ht="15.75" customHeight="1" s="205">
      <c r="A440" s="199" t="n"/>
      <c r="B440" s="204" t="n"/>
      <c r="C440" s="199" t="n"/>
      <c r="D440" s="199" t="n"/>
      <c r="E440" s="199" t="n"/>
      <c r="F440" s="199" t="n"/>
      <c r="G440" s="199" t="n"/>
      <c r="H440" s="199" t="n"/>
      <c r="I440" s="199" t="n"/>
      <c r="J440" s="199" t="n"/>
      <c r="K440" s="199" t="n"/>
      <c r="L440" s="199" t="n"/>
      <c r="M440" s="199" t="n"/>
      <c r="N440" s="199" t="n"/>
      <c r="O440" s="199" t="n"/>
      <c r="P440" s="199" t="n"/>
      <c r="Q440" s="199" t="n"/>
      <c r="R440" s="199" t="n"/>
      <c r="S440" s="199" t="n"/>
      <c r="T440" s="199" t="n"/>
      <c r="U440" s="199" t="n"/>
      <c r="V440" s="199" t="n"/>
      <c r="W440" s="199" t="n"/>
      <c r="X440" s="199" t="n"/>
      <c r="Y440" s="199" t="n"/>
      <c r="Z440" s="202">
        <f>sum(T440:X440)</f>
        <v/>
      </c>
      <c r="AA440" s="203">
        <f>sum(Z440/Y440)*100%</f>
        <v/>
      </c>
    </row>
    <row r="441" ht="15.75" customHeight="1" s="205">
      <c r="A441" s="199" t="n"/>
      <c r="B441" s="200" t="n"/>
      <c r="C441" s="201" t="n"/>
      <c r="D441" s="199" t="n"/>
      <c r="E441" s="199" t="n"/>
      <c r="F441" s="199" t="n"/>
      <c r="G441" s="199" t="n"/>
      <c r="H441" s="199" t="n"/>
      <c r="I441" s="201" t="n"/>
      <c r="J441" s="201" t="n"/>
      <c r="K441" s="201" t="n"/>
      <c r="L441" s="201" t="n"/>
      <c r="M441" s="201" t="n"/>
      <c r="N441" s="201" t="n"/>
      <c r="O441" s="199" t="n"/>
      <c r="P441" s="201" t="n"/>
      <c r="Q441" s="201" t="n"/>
      <c r="R441" s="201" t="n"/>
      <c r="S441" s="201" t="n"/>
      <c r="T441" s="201" t="n"/>
      <c r="U441" s="201" t="n"/>
      <c r="V441" s="201" t="n"/>
      <c r="W441" s="201" t="n"/>
      <c r="X441" s="201" t="n"/>
      <c r="Y441" s="201" t="n"/>
      <c r="Z441" s="202">
        <f>sum(T441:X441)</f>
        <v/>
      </c>
      <c r="AA441" s="203">
        <f>sum(Z441/Y441)*100%</f>
        <v/>
      </c>
    </row>
    <row r="442" ht="15.75" customHeight="1" s="205">
      <c r="A442" s="199" t="n"/>
      <c r="B442" s="204" t="n"/>
      <c r="C442" s="199" t="n"/>
      <c r="D442" s="199" t="n"/>
      <c r="E442" s="199" t="n"/>
      <c r="F442" s="199" t="n"/>
      <c r="G442" s="199" t="n"/>
      <c r="H442" s="199" t="n"/>
      <c r="I442" s="199" t="n"/>
      <c r="J442" s="199" t="n"/>
      <c r="K442" s="199" t="n"/>
      <c r="L442" s="199" t="n"/>
      <c r="M442" s="199" t="n"/>
      <c r="N442" s="199" t="n"/>
      <c r="O442" s="199" t="n"/>
      <c r="P442" s="199" t="n"/>
      <c r="Q442" s="199" t="n"/>
      <c r="R442" s="199" t="n"/>
      <c r="S442" s="199" t="n"/>
      <c r="T442" s="199" t="n"/>
      <c r="U442" s="199" t="n"/>
      <c r="V442" s="199" t="n"/>
      <c r="W442" s="199" t="n"/>
      <c r="X442" s="199" t="n"/>
      <c r="Y442" s="199" t="n"/>
      <c r="Z442" s="202">
        <f>sum(T442:X442)</f>
        <v/>
      </c>
      <c r="AA442" s="203">
        <f>sum(Z442/Y442)*100%</f>
        <v/>
      </c>
    </row>
    <row r="443" ht="15.75" customHeight="1" s="205">
      <c r="A443" s="199" t="n"/>
      <c r="B443" s="200" t="n"/>
      <c r="C443" s="201" t="n"/>
      <c r="D443" s="199" t="n"/>
      <c r="E443" s="199" t="n"/>
      <c r="F443" s="199" t="n"/>
      <c r="G443" s="199" t="n"/>
      <c r="H443" s="199" t="n"/>
      <c r="I443" s="201" t="n"/>
      <c r="J443" s="201" t="n"/>
      <c r="K443" s="201" t="n"/>
      <c r="L443" s="201" t="n"/>
      <c r="M443" s="201" t="n"/>
      <c r="N443" s="201" t="n"/>
      <c r="O443" s="199" t="n"/>
      <c r="P443" s="201" t="n"/>
      <c r="Q443" s="201" t="n"/>
      <c r="R443" s="201" t="n"/>
      <c r="S443" s="201" t="n"/>
      <c r="T443" s="201" t="n"/>
      <c r="U443" s="201" t="n"/>
      <c r="V443" s="201" t="n"/>
      <c r="W443" s="201" t="n"/>
      <c r="X443" s="201" t="n"/>
      <c r="Y443" s="201" t="n"/>
      <c r="Z443" s="202">
        <f>sum(T443:X443)</f>
        <v/>
      </c>
      <c r="AA443" s="203">
        <f>sum(Z443/Y443)*100%</f>
        <v/>
      </c>
    </row>
    <row r="444" ht="15.75" customHeight="1" s="205">
      <c r="A444" s="199" t="n"/>
      <c r="B444" s="204" t="n"/>
      <c r="C444" s="199" t="n"/>
      <c r="D444" s="199" t="n"/>
      <c r="E444" s="199" t="n"/>
      <c r="F444" s="199" t="n"/>
      <c r="G444" s="199" t="n"/>
      <c r="H444" s="199" t="n"/>
      <c r="I444" s="199" t="n"/>
      <c r="J444" s="199" t="n"/>
      <c r="K444" s="199" t="n"/>
      <c r="L444" s="199" t="n"/>
      <c r="M444" s="199" t="n"/>
      <c r="N444" s="199" t="n"/>
      <c r="O444" s="199" t="n"/>
      <c r="P444" s="199" t="n"/>
      <c r="Q444" s="199" t="n"/>
      <c r="R444" s="199" t="n"/>
      <c r="S444" s="199" t="n"/>
      <c r="T444" s="199" t="n"/>
      <c r="U444" s="199" t="n"/>
      <c r="V444" s="199" t="n"/>
      <c r="W444" s="199" t="n"/>
      <c r="X444" s="199" t="n"/>
      <c r="Y444" s="199" t="n"/>
      <c r="Z444" s="202">
        <f>sum(T444:X444)</f>
        <v/>
      </c>
      <c r="AA444" s="203">
        <f>sum(Z444/Y444)*100%</f>
        <v/>
      </c>
    </row>
    <row r="445" ht="15.75" customHeight="1" s="205">
      <c r="A445" s="199" t="n"/>
      <c r="B445" s="200" t="n"/>
      <c r="C445" s="201" t="n"/>
      <c r="D445" s="199" t="n"/>
      <c r="E445" s="199" t="n"/>
      <c r="F445" s="199" t="n"/>
      <c r="G445" s="199" t="n"/>
      <c r="H445" s="199" t="n"/>
      <c r="I445" s="201" t="n"/>
      <c r="J445" s="201" t="n"/>
      <c r="K445" s="201" t="n"/>
      <c r="L445" s="201" t="n"/>
      <c r="M445" s="201" t="n"/>
      <c r="N445" s="201" t="n"/>
      <c r="O445" s="199" t="n"/>
      <c r="P445" s="201" t="n"/>
      <c r="Q445" s="201" t="n"/>
      <c r="R445" s="201" t="n"/>
      <c r="S445" s="201" t="n"/>
      <c r="T445" s="201" t="n"/>
      <c r="U445" s="201" t="n"/>
      <c r="V445" s="201" t="n"/>
      <c r="W445" s="201" t="n"/>
      <c r="X445" s="201" t="n"/>
      <c r="Y445" s="201" t="n"/>
      <c r="Z445" s="202">
        <f>sum(T445:X445)</f>
        <v/>
      </c>
      <c r="AA445" s="203">
        <f>sum(Z445/Y445)*100%</f>
        <v/>
      </c>
    </row>
    <row r="446" ht="15.75" customHeight="1" s="205">
      <c r="A446" s="199" t="n"/>
      <c r="B446" s="204" t="n"/>
      <c r="C446" s="199" t="n"/>
      <c r="D446" s="199" t="n"/>
      <c r="E446" s="199" t="n"/>
      <c r="F446" s="199" t="n"/>
      <c r="G446" s="199" t="n"/>
      <c r="H446" s="199" t="n"/>
      <c r="I446" s="199" t="n"/>
      <c r="J446" s="199" t="n"/>
      <c r="K446" s="199" t="n"/>
      <c r="L446" s="199" t="n"/>
      <c r="M446" s="199" t="n"/>
      <c r="N446" s="199" t="n"/>
      <c r="O446" s="199" t="n"/>
      <c r="P446" s="199" t="n"/>
      <c r="Q446" s="199" t="n"/>
      <c r="R446" s="199" t="n"/>
      <c r="S446" s="199" t="n"/>
      <c r="T446" s="199" t="n"/>
      <c r="U446" s="199" t="n"/>
      <c r="V446" s="199" t="n"/>
      <c r="W446" s="199" t="n"/>
      <c r="X446" s="199" t="n"/>
      <c r="Y446" s="199" t="n"/>
      <c r="Z446" s="202">
        <f>sum(T446:X446)</f>
        <v/>
      </c>
      <c r="AA446" s="203">
        <f>sum(Z446/Y446)*100%</f>
        <v/>
      </c>
    </row>
    <row r="447" ht="15.75" customHeight="1" s="205">
      <c r="A447" s="199" t="n"/>
      <c r="B447" s="200" t="n"/>
      <c r="C447" s="201" t="n"/>
      <c r="D447" s="199" t="n"/>
      <c r="E447" s="199" t="n"/>
      <c r="F447" s="199" t="n"/>
      <c r="G447" s="199" t="n"/>
      <c r="H447" s="199" t="n"/>
      <c r="I447" s="201" t="n"/>
      <c r="J447" s="201" t="n"/>
      <c r="K447" s="201" t="n"/>
      <c r="L447" s="201" t="n"/>
      <c r="M447" s="201" t="n"/>
      <c r="N447" s="201" t="n"/>
      <c r="O447" s="199" t="n"/>
      <c r="P447" s="201" t="n"/>
      <c r="Q447" s="201" t="n"/>
      <c r="R447" s="201" t="n"/>
      <c r="S447" s="201" t="n"/>
      <c r="T447" s="201" t="n"/>
      <c r="U447" s="201" t="n"/>
      <c r="V447" s="201" t="n"/>
      <c r="W447" s="201" t="n"/>
      <c r="X447" s="201" t="n"/>
      <c r="Y447" s="201" t="n"/>
      <c r="Z447" s="202">
        <f>sum(T447:X447)</f>
        <v/>
      </c>
      <c r="AA447" s="203">
        <f>sum(Z447/Y447)*100%</f>
        <v/>
      </c>
    </row>
    <row r="448" ht="15.75" customHeight="1" s="205">
      <c r="A448" s="199" t="n"/>
      <c r="B448" s="204" t="n"/>
      <c r="C448" s="199" t="n"/>
      <c r="D448" s="199" t="n"/>
      <c r="E448" s="199" t="n"/>
      <c r="F448" s="199" t="n"/>
      <c r="G448" s="199" t="n"/>
      <c r="H448" s="199" t="n"/>
      <c r="I448" s="199" t="n"/>
      <c r="J448" s="199" t="n"/>
      <c r="K448" s="199" t="n"/>
      <c r="L448" s="199" t="n"/>
      <c r="M448" s="199" t="n"/>
      <c r="N448" s="199" t="n"/>
      <c r="O448" s="199" t="n"/>
      <c r="P448" s="199" t="n"/>
      <c r="Q448" s="199" t="n"/>
      <c r="R448" s="199" t="n"/>
      <c r="S448" s="199" t="n"/>
      <c r="T448" s="199" t="n"/>
      <c r="U448" s="199" t="n"/>
      <c r="V448" s="199" t="n"/>
      <c r="W448" s="199" t="n"/>
      <c r="X448" s="199" t="n"/>
      <c r="Y448" s="199" t="n"/>
      <c r="Z448" s="202">
        <f>sum(T448:X448)</f>
        <v/>
      </c>
      <c r="AA448" s="203">
        <f>sum(Z448/Y448)*100%</f>
        <v/>
      </c>
    </row>
    <row r="449" ht="15.75" customHeight="1" s="205">
      <c r="A449" s="199" t="n"/>
      <c r="B449" s="200" t="n"/>
      <c r="C449" s="201" t="n"/>
      <c r="D449" s="199" t="n"/>
      <c r="E449" s="199" t="n"/>
      <c r="F449" s="199" t="n"/>
      <c r="G449" s="199" t="n"/>
      <c r="H449" s="199" t="n"/>
      <c r="I449" s="201" t="n"/>
      <c r="J449" s="201" t="n"/>
      <c r="K449" s="201" t="n"/>
      <c r="L449" s="201" t="n"/>
      <c r="M449" s="201" t="n"/>
      <c r="N449" s="201" t="n"/>
      <c r="O449" s="199" t="n"/>
      <c r="P449" s="201" t="n"/>
      <c r="Q449" s="201" t="n"/>
      <c r="R449" s="201" t="n"/>
      <c r="S449" s="201" t="n"/>
      <c r="T449" s="201" t="n"/>
      <c r="U449" s="201" t="n"/>
      <c r="V449" s="201" t="n"/>
      <c r="W449" s="201" t="n"/>
      <c r="X449" s="201" t="n"/>
      <c r="Y449" s="201" t="n"/>
      <c r="Z449" s="202">
        <f>sum(T449:X449)</f>
        <v/>
      </c>
      <c r="AA449" s="203">
        <f>sum(Z449/Y449)*100%</f>
        <v/>
      </c>
    </row>
    <row r="450" ht="15.75" customHeight="1" s="205">
      <c r="A450" s="199" t="n"/>
      <c r="B450" s="204" t="n"/>
      <c r="C450" s="199" t="n"/>
      <c r="D450" s="199" t="n"/>
      <c r="E450" s="199" t="n"/>
      <c r="F450" s="199" t="n"/>
      <c r="G450" s="199" t="n"/>
      <c r="H450" s="199" t="n"/>
      <c r="I450" s="199" t="n"/>
      <c r="J450" s="199" t="n"/>
      <c r="K450" s="199" t="n"/>
      <c r="L450" s="199" t="n"/>
      <c r="M450" s="199" t="n"/>
      <c r="N450" s="199" t="n"/>
      <c r="O450" s="199" t="n"/>
      <c r="P450" s="199" t="n"/>
      <c r="Q450" s="199" t="n"/>
      <c r="R450" s="199" t="n"/>
      <c r="S450" s="199" t="n"/>
      <c r="T450" s="199" t="n"/>
      <c r="U450" s="199" t="n"/>
      <c r="V450" s="199" t="n"/>
      <c r="W450" s="199" t="n"/>
      <c r="X450" s="199" t="n"/>
      <c r="Y450" s="199" t="n"/>
      <c r="Z450" s="202">
        <f>sum(T450:X450)</f>
        <v/>
      </c>
      <c r="AA450" s="203">
        <f>sum(Z450/Y450)*100%</f>
        <v/>
      </c>
    </row>
    <row r="451" ht="15.75" customHeight="1" s="205">
      <c r="A451" s="199" t="n"/>
      <c r="B451" s="200" t="n"/>
      <c r="C451" s="201" t="n"/>
      <c r="D451" s="199" t="n"/>
      <c r="E451" s="199" t="n"/>
      <c r="F451" s="199" t="n"/>
      <c r="G451" s="199" t="n"/>
      <c r="H451" s="199" t="n"/>
      <c r="I451" s="201" t="n"/>
      <c r="J451" s="201" t="n"/>
      <c r="K451" s="201" t="n"/>
      <c r="L451" s="201" t="n"/>
      <c r="M451" s="201" t="n"/>
      <c r="N451" s="201" t="n"/>
      <c r="O451" s="199" t="n"/>
      <c r="P451" s="201" t="n"/>
      <c r="Q451" s="201" t="n"/>
      <c r="R451" s="201" t="n"/>
      <c r="S451" s="201" t="n"/>
      <c r="T451" s="201" t="n"/>
      <c r="U451" s="201" t="n"/>
      <c r="V451" s="201" t="n"/>
      <c r="W451" s="201" t="n"/>
      <c r="X451" s="201" t="n"/>
      <c r="Y451" s="201" t="n"/>
      <c r="Z451" s="202">
        <f>sum(T451:X451)</f>
        <v/>
      </c>
      <c r="AA451" s="203">
        <f>sum(Z451/Y451)*100%</f>
        <v/>
      </c>
    </row>
    <row r="452" ht="15.75" customHeight="1" s="205">
      <c r="A452" s="199" t="n"/>
      <c r="B452" s="204" t="n"/>
      <c r="C452" s="199" t="n"/>
      <c r="D452" s="199" t="n"/>
      <c r="E452" s="199" t="n"/>
      <c r="F452" s="199" t="n"/>
      <c r="G452" s="199" t="n"/>
      <c r="H452" s="199" t="n"/>
      <c r="I452" s="199" t="n"/>
      <c r="J452" s="199" t="n"/>
      <c r="K452" s="199" t="n"/>
      <c r="L452" s="199" t="n"/>
      <c r="M452" s="199" t="n"/>
      <c r="N452" s="199" t="n"/>
      <c r="O452" s="199" t="n"/>
      <c r="P452" s="199" t="n"/>
      <c r="Q452" s="199" t="n"/>
      <c r="R452" s="199" t="n"/>
      <c r="S452" s="199" t="n"/>
      <c r="T452" s="199" t="n"/>
      <c r="U452" s="199" t="n"/>
      <c r="V452" s="199" t="n"/>
      <c r="W452" s="199" t="n"/>
      <c r="X452" s="199" t="n"/>
      <c r="Y452" s="199" t="n"/>
      <c r="Z452" s="202">
        <f>sum(T452:X452)</f>
        <v/>
      </c>
      <c r="AA452" s="203">
        <f>sum(Z452/Y452)*100%</f>
        <v/>
      </c>
    </row>
    <row r="453" ht="15.75" customHeight="1" s="205">
      <c r="A453" s="199" t="n"/>
      <c r="B453" s="200" t="n"/>
      <c r="C453" s="201" t="n"/>
      <c r="D453" s="199" t="n"/>
      <c r="E453" s="199" t="n"/>
      <c r="F453" s="199" t="n"/>
      <c r="G453" s="199" t="n"/>
      <c r="H453" s="199" t="n"/>
      <c r="I453" s="201" t="n"/>
      <c r="J453" s="201" t="n"/>
      <c r="K453" s="201" t="n"/>
      <c r="L453" s="201" t="n"/>
      <c r="M453" s="201" t="n"/>
      <c r="N453" s="201" t="n"/>
      <c r="O453" s="199" t="n"/>
      <c r="P453" s="201" t="n"/>
      <c r="Q453" s="201" t="n"/>
      <c r="R453" s="201" t="n"/>
      <c r="S453" s="201" t="n"/>
      <c r="T453" s="201" t="n"/>
      <c r="U453" s="201" t="n"/>
      <c r="V453" s="201" t="n"/>
      <c r="W453" s="201" t="n"/>
      <c r="X453" s="201" t="n"/>
      <c r="Y453" s="201" t="n"/>
      <c r="Z453" s="202">
        <f>sum(T453:X453)</f>
        <v/>
      </c>
      <c r="AA453" s="203">
        <f>sum(Z453/Y453)*100%</f>
        <v/>
      </c>
    </row>
    <row r="454" ht="15.75" customHeight="1" s="205">
      <c r="A454" s="199" t="n"/>
      <c r="B454" s="204" t="n"/>
      <c r="C454" s="199" t="n"/>
      <c r="D454" s="199" t="n"/>
      <c r="E454" s="199" t="n"/>
      <c r="F454" s="199" t="n"/>
      <c r="G454" s="199" t="n"/>
      <c r="H454" s="199" t="n"/>
      <c r="I454" s="199" t="n"/>
      <c r="J454" s="199" t="n"/>
      <c r="K454" s="199" t="n"/>
      <c r="L454" s="199" t="n"/>
      <c r="M454" s="199" t="n"/>
      <c r="N454" s="199" t="n"/>
      <c r="O454" s="199" t="n"/>
      <c r="P454" s="199" t="n"/>
      <c r="Q454" s="199" t="n"/>
      <c r="R454" s="199" t="n"/>
      <c r="S454" s="199" t="n"/>
      <c r="T454" s="199" t="n"/>
      <c r="U454" s="199" t="n"/>
      <c r="V454" s="199" t="n"/>
      <c r="W454" s="199" t="n"/>
      <c r="X454" s="199" t="n"/>
      <c r="Y454" s="199" t="n"/>
      <c r="Z454" s="202">
        <f>sum(T454:X454)</f>
        <v/>
      </c>
      <c r="AA454" s="203">
        <f>sum(Z454/Y454)*100%</f>
        <v/>
      </c>
    </row>
    <row r="455" ht="15.75" customHeight="1" s="205">
      <c r="A455" s="199" t="n"/>
      <c r="B455" s="200" t="n"/>
      <c r="C455" s="201" t="n"/>
      <c r="D455" s="199" t="n"/>
      <c r="E455" s="199" t="n"/>
      <c r="F455" s="199" t="n"/>
      <c r="G455" s="199" t="n"/>
      <c r="H455" s="199" t="n"/>
      <c r="I455" s="201" t="n"/>
      <c r="J455" s="201" t="n"/>
      <c r="K455" s="201" t="n"/>
      <c r="L455" s="201" t="n"/>
      <c r="M455" s="201" t="n"/>
      <c r="N455" s="201" t="n"/>
      <c r="O455" s="199" t="n"/>
      <c r="P455" s="201" t="n"/>
      <c r="Q455" s="201" t="n"/>
      <c r="R455" s="201" t="n"/>
      <c r="S455" s="201" t="n"/>
      <c r="T455" s="201" t="n"/>
      <c r="U455" s="201" t="n"/>
      <c r="V455" s="201" t="n"/>
      <c r="W455" s="201" t="n"/>
      <c r="X455" s="201" t="n"/>
      <c r="Y455" s="201" t="n"/>
      <c r="Z455" s="202">
        <f>sum(T455:X455)</f>
        <v/>
      </c>
      <c r="AA455" s="203">
        <f>sum(Z455/Y455)*100%</f>
        <v/>
      </c>
    </row>
    <row r="456" ht="15.75" customHeight="1" s="205">
      <c r="A456" s="199" t="n"/>
      <c r="B456" s="204" t="n"/>
      <c r="C456" s="199" t="n"/>
      <c r="D456" s="199" t="n"/>
      <c r="E456" s="199" t="n"/>
      <c r="F456" s="199" t="n"/>
      <c r="G456" s="199" t="n"/>
      <c r="H456" s="199" t="n"/>
      <c r="I456" s="199" t="n"/>
      <c r="J456" s="199" t="n"/>
      <c r="K456" s="199" t="n"/>
      <c r="L456" s="199" t="n"/>
      <c r="M456" s="199" t="n"/>
      <c r="N456" s="199" t="n"/>
      <c r="O456" s="199" t="n"/>
      <c r="P456" s="199" t="n"/>
      <c r="Q456" s="199" t="n"/>
      <c r="R456" s="199" t="n"/>
      <c r="S456" s="199" t="n"/>
      <c r="T456" s="199" t="n"/>
      <c r="U456" s="199" t="n"/>
      <c r="V456" s="199" t="n"/>
      <c r="W456" s="199" t="n"/>
      <c r="X456" s="199" t="n"/>
      <c r="Y456" s="199" t="n"/>
      <c r="Z456" s="202">
        <f>sum(T456:X456)</f>
        <v/>
      </c>
      <c r="AA456" s="203">
        <f>sum(Z456/Y456)*100%</f>
        <v/>
      </c>
    </row>
    <row r="457" ht="15.75" customHeight="1" s="205">
      <c r="A457" s="199" t="n"/>
      <c r="B457" s="200" t="n"/>
      <c r="C457" s="201" t="n"/>
      <c r="D457" s="199" t="n"/>
      <c r="E457" s="199" t="n"/>
      <c r="F457" s="199" t="n"/>
      <c r="G457" s="199" t="n"/>
      <c r="H457" s="199" t="n"/>
      <c r="I457" s="201" t="n"/>
      <c r="J457" s="201" t="n"/>
      <c r="K457" s="201" t="n"/>
      <c r="L457" s="201" t="n"/>
      <c r="M457" s="201" t="n"/>
      <c r="N457" s="201" t="n"/>
      <c r="O457" s="199" t="n"/>
      <c r="P457" s="201" t="n"/>
      <c r="Q457" s="201" t="n"/>
      <c r="R457" s="201" t="n"/>
      <c r="S457" s="201" t="n"/>
      <c r="T457" s="201" t="n"/>
      <c r="U457" s="201" t="n"/>
      <c r="V457" s="201" t="n"/>
      <c r="W457" s="201" t="n"/>
      <c r="X457" s="201" t="n"/>
      <c r="Y457" s="201" t="n"/>
      <c r="Z457" s="202">
        <f>sum(T457:X457)</f>
        <v/>
      </c>
      <c r="AA457" s="203">
        <f>sum(Z457/Y457)*100%</f>
        <v/>
      </c>
    </row>
    <row r="458" ht="15.75" customHeight="1" s="205">
      <c r="A458" s="199" t="n"/>
      <c r="B458" s="204" t="n"/>
      <c r="C458" s="199" t="n"/>
      <c r="D458" s="199" t="n"/>
      <c r="E458" s="199" t="n"/>
      <c r="F458" s="199" t="n"/>
      <c r="G458" s="199" t="n"/>
      <c r="H458" s="199" t="n"/>
      <c r="I458" s="199" t="n"/>
      <c r="J458" s="199" t="n"/>
      <c r="K458" s="199" t="n"/>
      <c r="L458" s="199" t="n"/>
      <c r="M458" s="199" t="n"/>
      <c r="N458" s="199" t="n"/>
      <c r="O458" s="199" t="n"/>
      <c r="P458" s="199" t="n"/>
      <c r="Q458" s="199" t="n"/>
      <c r="R458" s="199" t="n"/>
      <c r="S458" s="199" t="n"/>
      <c r="T458" s="199" t="n"/>
      <c r="U458" s="199" t="n"/>
      <c r="V458" s="199" t="n"/>
      <c r="W458" s="199" t="n"/>
      <c r="X458" s="199" t="n"/>
      <c r="Y458" s="199" t="n"/>
      <c r="Z458" s="202">
        <f>sum(T458:X458)</f>
        <v/>
      </c>
      <c r="AA458" s="203">
        <f>sum(Z458/Y458)*100%</f>
        <v/>
      </c>
    </row>
    <row r="459" ht="15.75" customHeight="1" s="205">
      <c r="A459" s="199" t="n"/>
      <c r="B459" s="200" t="n"/>
      <c r="C459" s="201" t="n"/>
      <c r="D459" s="199" t="n"/>
      <c r="E459" s="199" t="n"/>
      <c r="F459" s="199" t="n"/>
      <c r="G459" s="199" t="n"/>
      <c r="H459" s="199" t="n"/>
      <c r="I459" s="201" t="n"/>
      <c r="J459" s="201" t="n"/>
      <c r="K459" s="201" t="n"/>
      <c r="L459" s="201" t="n"/>
      <c r="M459" s="201" t="n"/>
      <c r="N459" s="201" t="n"/>
      <c r="O459" s="199" t="n"/>
      <c r="P459" s="201" t="n"/>
      <c r="Q459" s="201" t="n"/>
      <c r="R459" s="201" t="n"/>
      <c r="S459" s="201" t="n"/>
      <c r="T459" s="201" t="n"/>
      <c r="U459" s="201" t="n"/>
      <c r="V459" s="201" t="n"/>
      <c r="W459" s="201" t="n"/>
      <c r="X459" s="201" t="n"/>
      <c r="Y459" s="201" t="n"/>
      <c r="Z459" s="202">
        <f>sum(T459:X459)</f>
        <v/>
      </c>
      <c r="AA459" s="203">
        <f>sum(Z459/Y459)*100%</f>
        <v/>
      </c>
    </row>
    <row r="460" ht="15.75" customHeight="1" s="205">
      <c r="A460" s="199" t="n"/>
      <c r="B460" s="204" t="n"/>
      <c r="C460" s="199" t="n"/>
      <c r="D460" s="199" t="n"/>
      <c r="E460" s="199" t="n"/>
      <c r="F460" s="199" t="n"/>
      <c r="G460" s="199" t="n"/>
      <c r="H460" s="199" t="n"/>
      <c r="I460" s="199" t="n"/>
      <c r="J460" s="199" t="n"/>
      <c r="K460" s="199" t="n"/>
      <c r="L460" s="199" t="n"/>
      <c r="M460" s="199" t="n"/>
      <c r="N460" s="199" t="n"/>
      <c r="O460" s="199" t="n"/>
      <c r="P460" s="199" t="n"/>
      <c r="Q460" s="199" t="n"/>
      <c r="R460" s="199" t="n"/>
      <c r="S460" s="199" t="n"/>
      <c r="T460" s="199" t="n"/>
      <c r="U460" s="199" t="n"/>
      <c r="V460" s="199" t="n"/>
      <c r="W460" s="199" t="n"/>
      <c r="X460" s="199" t="n"/>
      <c r="Y460" s="199" t="n"/>
      <c r="Z460" s="202">
        <f>sum(T460:X460)</f>
        <v/>
      </c>
      <c r="AA460" s="203">
        <f>sum(Z460/Y460)*100%</f>
        <v/>
      </c>
    </row>
    <row r="461" ht="15.75" customHeight="1" s="205">
      <c r="A461" s="199" t="n"/>
      <c r="B461" s="200" t="n"/>
      <c r="C461" s="201" t="n"/>
      <c r="D461" s="199" t="n"/>
      <c r="E461" s="199" t="n"/>
      <c r="F461" s="199" t="n"/>
      <c r="G461" s="199" t="n"/>
      <c r="H461" s="199" t="n"/>
      <c r="I461" s="201" t="n"/>
      <c r="J461" s="201" t="n"/>
      <c r="K461" s="201" t="n"/>
      <c r="L461" s="201" t="n"/>
      <c r="M461" s="201" t="n"/>
      <c r="N461" s="201" t="n"/>
      <c r="O461" s="199" t="n"/>
      <c r="P461" s="201" t="n"/>
      <c r="Q461" s="201" t="n"/>
      <c r="R461" s="201" t="n"/>
      <c r="S461" s="201" t="n"/>
      <c r="T461" s="201" t="n"/>
      <c r="U461" s="201" t="n"/>
      <c r="V461" s="201" t="n"/>
      <c r="W461" s="201" t="n"/>
      <c r="X461" s="201" t="n"/>
      <c r="Y461" s="201" t="n"/>
      <c r="Z461" s="202">
        <f>sum(T461:X461)</f>
        <v/>
      </c>
      <c r="AA461" s="203">
        <f>sum(Z461/Y461)*100%</f>
        <v/>
      </c>
    </row>
    <row r="462" ht="15.75" customHeight="1" s="205">
      <c r="A462" s="199" t="n"/>
      <c r="B462" s="204" t="n"/>
      <c r="C462" s="199" t="n"/>
      <c r="D462" s="199" t="n"/>
      <c r="E462" s="199" t="n"/>
      <c r="F462" s="199" t="n"/>
      <c r="G462" s="199" t="n"/>
      <c r="H462" s="199" t="n"/>
      <c r="I462" s="199" t="n"/>
      <c r="J462" s="199" t="n"/>
      <c r="K462" s="199" t="n"/>
      <c r="L462" s="199" t="n"/>
      <c r="M462" s="199" t="n"/>
      <c r="N462" s="199" t="n"/>
      <c r="O462" s="199" t="n"/>
      <c r="P462" s="199" t="n"/>
      <c r="Q462" s="199" t="n"/>
      <c r="R462" s="199" t="n"/>
      <c r="S462" s="199" t="n"/>
      <c r="T462" s="199" t="n"/>
      <c r="U462" s="199" t="n"/>
      <c r="V462" s="199" t="n"/>
      <c r="W462" s="199" t="n"/>
      <c r="X462" s="199" t="n"/>
      <c r="Y462" s="199" t="n"/>
      <c r="Z462" s="202">
        <f>sum(T462:X462)</f>
        <v/>
      </c>
      <c r="AA462" s="203">
        <f>sum(Z462/Y462)*100%</f>
        <v/>
      </c>
    </row>
    <row r="463" ht="15.75" customHeight="1" s="205">
      <c r="A463" s="199" t="n"/>
      <c r="B463" s="200" t="n"/>
      <c r="C463" s="201" t="n"/>
      <c r="D463" s="199" t="n"/>
      <c r="E463" s="199" t="n"/>
      <c r="F463" s="199" t="n"/>
      <c r="G463" s="199" t="n"/>
      <c r="H463" s="199" t="n"/>
      <c r="I463" s="201" t="n"/>
      <c r="J463" s="201" t="n"/>
      <c r="K463" s="201" t="n"/>
      <c r="L463" s="201" t="n"/>
      <c r="M463" s="201" t="n"/>
      <c r="N463" s="201" t="n"/>
      <c r="O463" s="199" t="n"/>
      <c r="P463" s="201" t="n"/>
      <c r="Q463" s="201" t="n"/>
      <c r="R463" s="201" t="n"/>
      <c r="S463" s="201" t="n"/>
      <c r="T463" s="201" t="n"/>
      <c r="U463" s="201" t="n"/>
      <c r="V463" s="201" t="n"/>
      <c r="W463" s="201" t="n"/>
      <c r="X463" s="201" t="n"/>
      <c r="Y463" s="201" t="n"/>
      <c r="Z463" s="202">
        <f>sum(T463:X463)</f>
        <v/>
      </c>
      <c r="AA463" s="203">
        <f>sum(Z463/Y463)*100%</f>
        <v/>
      </c>
    </row>
    <row r="464" ht="15.75" customHeight="1" s="205">
      <c r="A464" s="199" t="n"/>
      <c r="B464" s="204" t="n"/>
      <c r="C464" s="199" t="n"/>
      <c r="D464" s="199" t="n"/>
      <c r="E464" s="199" t="n"/>
      <c r="F464" s="199" t="n"/>
      <c r="G464" s="199" t="n"/>
      <c r="H464" s="199" t="n"/>
      <c r="I464" s="199" t="n"/>
      <c r="J464" s="199" t="n"/>
      <c r="K464" s="199" t="n"/>
      <c r="L464" s="199" t="n"/>
      <c r="M464" s="199" t="n"/>
      <c r="N464" s="199" t="n"/>
      <c r="O464" s="199" t="n"/>
      <c r="P464" s="199" t="n"/>
      <c r="Q464" s="199" t="n"/>
      <c r="R464" s="199" t="n"/>
      <c r="S464" s="199" t="n"/>
      <c r="T464" s="199" t="n"/>
      <c r="U464" s="199" t="n"/>
      <c r="V464" s="199" t="n"/>
      <c r="W464" s="199" t="n"/>
      <c r="X464" s="199" t="n"/>
      <c r="Y464" s="199" t="n"/>
      <c r="Z464" s="202">
        <f>sum(T464:X464)</f>
        <v/>
      </c>
      <c r="AA464" s="203">
        <f>sum(Z464/Y464)*100%</f>
        <v/>
      </c>
    </row>
    <row r="465" ht="15.75" customHeight="1" s="205">
      <c r="A465" s="199" t="n"/>
      <c r="B465" s="200" t="n"/>
      <c r="C465" s="201" t="n"/>
      <c r="D465" s="199" t="n"/>
      <c r="E465" s="199" t="n"/>
      <c r="F465" s="199" t="n"/>
      <c r="G465" s="199" t="n"/>
      <c r="H465" s="199" t="n"/>
      <c r="I465" s="201" t="n"/>
      <c r="J465" s="201" t="n"/>
      <c r="K465" s="201" t="n"/>
      <c r="L465" s="201" t="n"/>
      <c r="M465" s="201" t="n"/>
      <c r="N465" s="201" t="n"/>
      <c r="O465" s="199" t="n"/>
      <c r="P465" s="201" t="n"/>
      <c r="Q465" s="201" t="n"/>
      <c r="R465" s="201" t="n"/>
      <c r="S465" s="201" t="n"/>
      <c r="T465" s="201" t="n"/>
      <c r="U465" s="201" t="n"/>
      <c r="V465" s="201" t="n"/>
      <c r="W465" s="201" t="n"/>
      <c r="X465" s="201" t="n"/>
      <c r="Y465" s="201" t="n"/>
      <c r="Z465" s="202">
        <f>sum(T465:X465)</f>
        <v/>
      </c>
      <c r="AA465" s="203">
        <f>sum(Z465/Y465)*100%</f>
        <v/>
      </c>
    </row>
    <row r="466" ht="15.75" customHeight="1" s="205">
      <c r="A466" s="199" t="n"/>
      <c r="B466" s="204" t="n"/>
      <c r="C466" s="199" t="n"/>
      <c r="D466" s="199" t="n"/>
      <c r="E466" s="199" t="n"/>
      <c r="F466" s="199" t="n"/>
      <c r="G466" s="199" t="n"/>
      <c r="H466" s="199" t="n"/>
      <c r="I466" s="199" t="n"/>
      <c r="J466" s="199" t="n"/>
      <c r="K466" s="199" t="n"/>
      <c r="L466" s="199" t="n"/>
      <c r="M466" s="199" t="n"/>
      <c r="N466" s="199" t="n"/>
      <c r="O466" s="199" t="n"/>
      <c r="P466" s="199" t="n"/>
      <c r="Q466" s="199" t="n"/>
      <c r="R466" s="199" t="n"/>
      <c r="S466" s="199" t="n"/>
      <c r="T466" s="199" t="n"/>
      <c r="U466" s="199" t="n"/>
      <c r="V466" s="199" t="n"/>
      <c r="W466" s="199" t="n"/>
      <c r="X466" s="199" t="n"/>
      <c r="Y466" s="199" t="n"/>
      <c r="Z466" s="202">
        <f>sum(T466:X466)</f>
        <v/>
      </c>
      <c r="AA466" s="203">
        <f>sum(Z466/Y466)*100%</f>
        <v/>
      </c>
    </row>
    <row r="467" ht="15.75" customHeight="1" s="205">
      <c r="A467" s="199" t="n"/>
      <c r="B467" s="200" t="n"/>
      <c r="C467" s="201" t="n"/>
      <c r="D467" s="199" t="n"/>
      <c r="E467" s="199" t="n"/>
      <c r="F467" s="199" t="n"/>
      <c r="G467" s="199" t="n"/>
      <c r="H467" s="199" t="n"/>
      <c r="I467" s="201" t="n"/>
      <c r="J467" s="201" t="n"/>
      <c r="K467" s="201" t="n"/>
      <c r="L467" s="201" t="n"/>
      <c r="M467" s="201" t="n"/>
      <c r="N467" s="201" t="n"/>
      <c r="O467" s="199" t="n"/>
      <c r="P467" s="201" t="n"/>
      <c r="Q467" s="201" t="n"/>
      <c r="R467" s="201" t="n"/>
      <c r="S467" s="201" t="n"/>
      <c r="T467" s="201" t="n"/>
      <c r="U467" s="201" t="n"/>
      <c r="V467" s="201" t="n"/>
      <c r="W467" s="201" t="n"/>
      <c r="X467" s="201" t="n"/>
      <c r="Y467" s="201" t="n"/>
      <c r="Z467" s="202">
        <f>sum(T467:X467)</f>
        <v/>
      </c>
      <c r="AA467" s="203">
        <f>sum(Z467/Y467)*100%</f>
        <v/>
      </c>
    </row>
    <row r="468" ht="15.75" customHeight="1" s="205">
      <c r="A468" s="199" t="n"/>
      <c r="B468" s="204" t="n"/>
      <c r="C468" s="199" t="n"/>
      <c r="D468" s="199" t="n"/>
      <c r="E468" s="199" t="n"/>
      <c r="F468" s="199" t="n"/>
      <c r="G468" s="199" t="n"/>
      <c r="H468" s="199" t="n"/>
      <c r="I468" s="199" t="n"/>
      <c r="J468" s="199" t="n"/>
      <c r="K468" s="199" t="n"/>
      <c r="L468" s="199" t="n"/>
      <c r="M468" s="199" t="n"/>
      <c r="N468" s="199" t="n"/>
      <c r="O468" s="199" t="n"/>
      <c r="P468" s="199" t="n"/>
      <c r="Q468" s="199" t="n"/>
      <c r="R468" s="199" t="n"/>
      <c r="S468" s="199" t="n"/>
      <c r="T468" s="199" t="n"/>
      <c r="U468" s="199" t="n"/>
      <c r="V468" s="199" t="n"/>
      <c r="W468" s="199" t="n"/>
      <c r="X468" s="199" t="n"/>
      <c r="Y468" s="199" t="n"/>
      <c r="Z468" s="202">
        <f>sum(T468:X468)</f>
        <v/>
      </c>
      <c r="AA468" s="203">
        <f>sum(Z468/Y468)*100%</f>
        <v/>
      </c>
    </row>
    <row r="469" ht="15.75" customHeight="1" s="205">
      <c r="A469" s="199" t="n"/>
      <c r="B469" s="200" t="n"/>
      <c r="C469" s="201" t="n"/>
      <c r="D469" s="199" t="n"/>
      <c r="E469" s="199" t="n"/>
      <c r="F469" s="199" t="n"/>
      <c r="G469" s="199" t="n"/>
      <c r="H469" s="199" t="n"/>
      <c r="I469" s="201" t="n"/>
      <c r="J469" s="201" t="n"/>
      <c r="K469" s="201" t="n"/>
      <c r="L469" s="201" t="n"/>
      <c r="M469" s="201" t="n"/>
      <c r="N469" s="201" t="n"/>
      <c r="O469" s="199" t="n"/>
      <c r="P469" s="201" t="n"/>
      <c r="Q469" s="201" t="n"/>
      <c r="R469" s="201" t="n"/>
      <c r="S469" s="201" t="n"/>
      <c r="T469" s="201" t="n"/>
      <c r="U469" s="201" t="n"/>
      <c r="V469" s="201" t="n"/>
      <c r="W469" s="201" t="n"/>
      <c r="X469" s="201" t="n"/>
      <c r="Y469" s="201" t="n"/>
      <c r="Z469" s="202">
        <f>sum(T469:X469)</f>
        <v/>
      </c>
      <c r="AA469" s="203">
        <f>sum(Z469/Y469)*100%</f>
        <v/>
      </c>
    </row>
    <row r="470" ht="15.75" customHeight="1" s="205">
      <c r="A470" s="199" t="n"/>
      <c r="B470" s="204" t="n"/>
      <c r="C470" s="199" t="n"/>
      <c r="D470" s="199" t="n"/>
      <c r="E470" s="199" t="n"/>
      <c r="F470" s="199" t="n"/>
      <c r="G470" s="199" t="n"/>
      <c r="H470" s="199" t="n"/>
      <c r="I470" s="199" t="n"/>
      <c r="J470" s="199" t="n"/>
      <c r="K470" s="199" t="n"/>
      <c r="L470" s="199" t="n"/>
      <c r="M470" s="199" t="n"/>
      <c r="N470" s="199" t="n"/>
      <c r="O470" s="199" t="n"/>
      <c r="P470" s="199" t="n"/>
      <c r="Q470" s="199" t="n"/>
      <c r="R470" s="199" t="n"/>
      <c r="S470" s="199" t="n"/>
      <c r="T470" s="199" t="n"/>
      <c r="U470" s="199" t="n"/>
      <c r="V470" s="199" t="n"/>
      <c r="W470" s="199" t="n"/>
      <c r="X470" s="199" t="n"/>
      <c r="Y470" s="199" t="n"/>
      <c r="Z470" s="202">
        <f>sum(T470:X470)</f>
        <v/>
      </c>
      <c r="AA470" s="203">
        <f>sum(Z470/Y470)*100%</f>
        <v/>
      </c>
    </row>
    <row r="471" ht="15.75" customHeight="1" s="205">
      <c r="A471" s="199" t="n"/>
      <c r="B471" s="200" t="n"/>
      <c r="C471" s="201" t="n"/>
      <c r="D471" s="199" t="n"/>
      <c r="E471" s="199" t="n"/>
      <c r="F471" s="199" t="n"/>
      <c r="G471" s="199" t="n"/>
      <c r="H471" s="199" t="n"/>
      <c r="I471" s="201" t="n"/>
      <c r="J471" s="201" t="n"/>
      <c r="K471" s="201" t="n"/>
      <c r="L471" s="201" t="n"/>
      <c r="M471" s="201" t="n"/>
      <c r="N471" s="201" t="n"/>
      <c r="O471" s="199" t="n"/>
      <c r="P471" s="201" t="n"/>
      <c r="Q471" s="201" t="n"/>
      <c r="R471" s="201" t="n"/>
      <c r="S471" s="201" t="n"/>
      <c r="T471" s="201" t="n"/>
      <c r="U471" s="201" t="n"/>
      <c r="V471" s="201" t="n"/>
      <c r="W471" s="201" t="n"/>
      <c r="X471" s="201" t="n"/>
      <c r="Y471" s="201" t="n"/>
      <c r="Z471" s="202">
        <f>sum(T471:X471)</f>
        <v/>
      </c>
      <c r="AA471" s="203">
        <f>sum(Z471/Y471)*100%</f>
        <v/>
      </c>
    </row>
    <row r="472" ht="15.75" customHeight="1" s="205">
      <c r="A472" s="199" t="n"/>
      <c r="B472" s="204" t="n"/>
      <c r="C472" s="199" t="n"/>
      <c r="D472" s="199" t="n"/>
      <c r="E472" s="199" t="n"/>
      <c r="F472" s="199" t="n"/>
      <c r="G472" s="199" t="n"/>
      <c r="H472" s="199" t="n"/>
      <c r="I472" s="199" t="n"/>
      <c r="J472" s="199" t="n"/>
      <c r="K472" s="199" t="n"/>
      <c r="L472" s="199" t="n"/>
      <c r="M472" s="199" t="n"/>
      <c r="N472" s="199" t="n"/>
      <c r="O472" s="199" t="n"/>
      <c r="P472" s="199" t="n"/>
      <c r="Q472" s="199" t="n"/>
      <c r="R472" s="199" t="n"/>
      <c r="S472" s="199" t="n"/>
      <c r="T472" s="199" t="n"/>
      <c r="U472" s="199" t="n"/>
      <c r="V472" s="199" t="n"/>
      <c r="W472" s="199" t="n"/>
      <c r="X472" s="199" t="n"/>
      <c r="Y472" s="199" t="n"/>
      <c r="Z472" s="202">
        <f>sum(T472:X472)</f>
        <v/>
      </c>
      <c r="AA472" s="203">
        <f>sum(Z472/Y472)*100%</f>
        <v/>
      </c>
    </row>
    <row r="473" ht="15.75" customHeight="1" s="205">
      <c r="A473" s="199" t="n"/>
      <c r="B473" s="200" t="n"/>
      <c r="C473" s="201" t="n"/>
      <c r="D473" s="199" t="n"/>
      <c r="E473" s="199" t="n"/>
      <c r="F473" s="199" t="n"/>
      <c r="G473" s="199" t="n"/>
      <c r="H473" s="199" t="n"/>
      <c r="I473" s="201" t="n"/>
      <c r="J473" s="201" t="n"/>
      <c r="K473" s="201" t="n"/>
      <c r="L473" s="201" t="n"/>
      <c r="M473" s="201" t="n"/>
      <c r="N473" s="201" t="n"/>
      <c r="O473" s="199" t="n"/>
      <c r="P473" s="201" t="n"/>
      <c r="Q473" s="201" t="n"/>
      <c r="R473" s="201" t="n"/>
      <c r="S473" s="201" t="n"/>
      <c r="T473" s="201" t="n"/>
      <c r="U473" s="201" t="n"/>
      <c r="V473" s="201" t="n"/>
      <c r="W473" s="201" t="n"/>
      <c r="X473" s="201" t="n"/>
      <c r="Y473" s="201" t="n"/>
      <c r="Z473" s="202">
        <f>sum(T473:X473)</f>
        <v/>
      </c>
      <c r="AA473" s="203">
        <f>sum(Z473/Y473)*100%</f>
        <v/>
      </c>
    </row>
    <row r="474" ht="15.75" customHeight="1" s="205">
      <c r="A474" s="199" t="n"/>
      <c r="B474" s="204" t="n"/>
      <c r="C474" s="199" t="n"/>
      <c r="D474" s="199" t="n"/>
      <c r="E474" s="199" t="n"/>
      <c r="F474" s="199" t="n"/>
      <c r="G474" s="199" t="n"/>
      <c r="H474" s="199" t="n"/>
      <c r="I474" s="199" t="n"/>
      <c r="J474" s="199" t="n"/>
      <c r="K474" s="199" t="n"/>
      <c r="L474" s="199" t="n"/>
      <c r="M474" s="199" t="n"/>
      <c r="N474" s="199" t="n"/>
      <c r="O474" s="199" t="n"/>
      <c r="P474" s="199" t="n"/>
      <c r="Q474" s="199" t="n"/>
      <c r="R474" s="199" t="n"/>
      <c r="S474" s="199" t="n"/>
      <c r="T474" s="199" t="n"/>
      <c r="U474" s="199" t="n"/>
      <c r="V474" s="199" t="n"/>
      <c r="W474" s="199" t="n"/>
      <c r="X474" s="199" t="n"/>
      <c r="Y474" s="199" t="n"/>
      <c r="Z474" s="202">
        <f>sum(T474:X474)</f>
        <v/>
      </c>
      <c r="AA474" s="203">
        <f>sum(Z474/Y474)*100%</f>
        <v/>
      </c>
    </row>
    <row r="475" ht="15.75" customHeight="1" s="205">
      <c r="A475" s="199" t="n"/>
      <c r="B475" s="200" t="n"/>
      <c r="C475" s="201" t="n"/>
      <c r="D475" s="199" t="n"/>
      <c r="E475" s="199" t="n"/>
      <c r="F475" s="199" t="n"/>
      <c r="G475" s="199" t="n"/>
      <c r="H475" s="199" t="n"/>
      <c r="I475" s="201" t="n"/>
      <c r="J475" s="201" t="n"/>
      <c r="K475" s="201" t="n"/>
      <c r="L475" s="201" t="n"/>
      <c r="M475" s="201" t="n"/>
      <c r="N475" s="201" t="n"/>
      <c r="O475" s="199" t="n"/>
      <c r="P475" s="201" t="n"/>
      <c r="Q475" s="201" t="n"/>
      <c r="R475" s="201" t="n"/>
      <c r="S475" s="201" t="n"/>
      <c r="T475" s="201" t="n"/>
      <c r="U475" s="201" t="n"/>
      <c r="V475" s="201" t="n"/>
      <c r="W475" s="201" t="n"/>
      <c r="X475" s="201" t="n"/>
      <c r="Y475" s="201" t="n"/>
      <c r="Z475" s="202">
        <f>sum(T475:X475)</f>
        <v/>
      </c>
      <c r="AA475" s="203">
        <f>sum(Z475/Y475)*100%</f>
        <v/>
      </c>
    </row>
    <row r="476" ht="15.75" customHeight="1" s="205">
      <c r="A476" s="199" t="n"/>
      <c r="B476" s="204" t="n"/>
      <c r="C476" s="199" t="n"/>
      <c r="D476" s="199" t="n"/>
      <c r="E476" s="199" t="n"/>
      <c r="F476" s="199" t="n"/>
      <c r="G476" s="199" t="n"/>
      <c r="H476" s="199" t="n"/>
      <c r="I476" s="199" t="n"/>
      <c r="J476" s="199" t="n"/>
      <c r="K476" s="199" t="n"/>
      <c r="L476" s="199" t="n"/>
      <c r="M476" s="199" t="n"/>
      <c r="N476" s="199" t="n"/>
      <c r="O476" s="199" t="n"/>
      <c r="P476" s="199" t="n"/>
      <c r="Q476" s="199" t="n"/>
      <c r="R476" s="199" t="n"/>
      <c r="S476" s="199" t="n"/>
      <c r="T476" s="199" t="n"/>
      <c r="U476" s="199" t="n"/>
      <c r="V476" s="199" t="n"/>
      <c r="W476" s="199" t="n"/>
      <c r="X476" s="199" t="n"/>
      <c r="Y476" s="199" t="n"/>
      <c r="Z476" s="202">
        <f>sum(T476:X476)</f>
        <v/>
      </c>
      <c r="AA476" s="203">
        <f>sum(Z476/Y476)*100%</f>
        <v/>
      </c>
    </row>
    <row r="477" ht="15.75" customHeight="1" s="205">
      <c r="A477" s="199" t="n"/>
      <c r="B477" s="200" t="n"/>
      <c r="C477" s="201" t="n"/>
      <c r="D477" s="199" t="n"/>
      <c r="E477" s="199" t="n"/>
      <c r="F477" s="199" t="n"/>
      <c r="G477" s="199" t="n"/>
      <c r="H477" s="199" t="n"/>
      <c r="I477" s="201" t="n"/>
      <c r="J477" s="201" t="n"/>
      <c r="K477" s="201" t="n"/>
      <c r="L477" s="201" t="n"/>
      <c r="M477" s="201" t="n"/>
      <c r="N477" s="201" t="n"/>
      <c r="O477" s="199" t="n"/>
      <c r="P477" s="201" t="n"/>
      <c r="Q477" s="201" t="n"/>
      <c r="R477" s="201" t="n"/>
      <c r="S477" s="201" t="n"/>
      <c r="T477" s="201" t="n"/>
      <c r="U477" s="201" t="n"/>
      <c r="V477" s="201" t="n"/>
      <c r="W477" s="201" t="n"/>
      <c r="X477" s="201" t="n"/>
      <c r="Y477" s="201" t="n"/>
      <c r="Z477" s="202">
        <f>sum(T477:X477)</f>
        <v/>
      </c>
      <c r="AA477" s="203">
        <f>sum(Z477/Y477)*100%</f>
        <v/>
      </c>
    </row>
    <row r="478" ht="15.75" customHeight="1" s="205">
      <c r="A478" s="199" t="n"/>
      <c r="B478" s="204" t="n"/>
      <c r="C478" s="199" t="n"/>
      <c r="D478" s="199" t="n"/>
      <c r="E478" s="199" t="n"/>
      <c r="F478" s="199" t="n"/>
      <c r="G478" s="199" t="n"/>
      <c r="H478" s="199" t="n"/>
      <c r="I478" s="199" t="n"/>
      <c r="J478" s="199" t="n"/>
      <c r="K478" s="199" t="n"/>
      <c r="L478" s="199" t="n"/>
      <c r="M478" s="199" t="n"/>
      <c r="N478" s="199" t="n"/>
      <c r="O478" s="199" t="n"/>
      <c r="P478" s="199" t="n"/>
      <c r="Q478" s="199" t="n"/>
      <c r="R478" s="199" t="n"/>
      <c r="S478" s="199" t="n"/>
      <c r="T478" s="199" t="n"/>
      <c r="U478" s="199" t="n"/>
      <c r="V478" s="199" t="n"/>
      <c r="W478" s="199" t="n"/>
      <c r="X478" s="199" t="n"/>
      <c r="Y478" s="199" t="n"/>
      <c r="Z478" s="202">
        <f>sum(T478:X478)</f>
        <v/>
      </c>
      <c r="AA478" s="203">
        <f>sum(Z478/Y478)*100%</f>
        <v/>
      </c>
    </row>
    <row r="479" ht="15.75" customHeight="1" s="205">
      <c r="A479" s="199" t="n"/>
      <c r="B479" s="200" t="n"/>
      <c r="C479" s="201" t="n"/>
      <c r="D479" s="199" t="n"/>
      <c r="E479" s="199" t="n"/>
      <c r="F479" s="199" t="n"/>
      <c r="G479" s="199" t="n"/>
      <c r="H479" s="199" t="n"/>
      <c r="I479" s="201" t="n"/>
      <c r="J479" s="201" t="n"/>
      <c r="K479" s="201" t="n"/>
      <c r="L479" s="201" t="n"/>
      <c r="M479" s="201" t="n"/>
      <c r="N479" s="201" t="n"/>
      <c r="O479" s="199" t="n"/>
      <c r="P479" s="201" t="n"/>
      <c r="Q479" s="201" t="n"/>
      <c r="R479" s="201" t="n"/>
      <c r="S479" s="201" t="n"/>
      <c r="T479" s="201" t="n"/>
      <c r="U479" s="201" t="n"/>
      <c r="V479" s="201" t="n"/>
      <c r="W479" s="201" t="n"/>
      <c r="X479" s="201" t="n"/>
      <c r="Y479" s="201" t="n"/>
      <c r="Z479" s="202">
        <f>sum(T479:X479)</f>
        <v/>
      </c>
      <c r="AA479" s="203">
        <f>sum(Z479/Y479)*100%</f>
        <v/>
      </c>
    </row>
    <row r="480" ht="15.75" customHeight="1" s="205">
      <c r="A480" s="199" t="n"/>
      <c r="B480" s="204" t="n"/>
      <c r="C480" s="199" t="n"/>
      <c r="D480" s="199" t="n"/>
      <c r="E480" s="199" t="n"/>
      <c r="F480" s="199" t="n"/>
      <c r="G480" s="199" t="n"/>
      <c r="H480" s="199" t="n"/>
      <c r="I480" s="199" t="n"/>
      <c r="J480" s="199" t="n"/>
      <c r="K480" s="199" t="n"/>
      <c r="L480" s="199" t="n"/>
      <c r="M480" s="199" t="n"/>
      <c r="N480" s="199" t="n"/>
      <c r="O480" s="199" t="n"/>
      <c r="P480" s="199" t="n"/>
      <c r="Q480" s="199" t="n"/>
      <c r="R480" s="199" t="n"/>
      <c r="S480" s="199" t="n"/>
      <c r="T480" s="199" t="n"/>
      <c r="U480" s="199" t="n"/>
      <c r="V480" s="199" t="n"/>
      <c r="W480" s="199" t="n"/>
      <c r="X480" s="199" t="n"/>
      <c r="Y480" s="199" t="n"/>
      <c r="Z480" s="202">
        <f>sum(T480:X480)</f>
        <v/>
      </c>
      <c r="AA480" s="203">
        <f>sum(Z480/Y480)*100%</f>
        <v/>
      </c>
    </row>
    <row r="481" ht="15.75" customHeight="1" s="205">
      <c r="A481" s="199" t="n"/>
      <c r="B481" s="200" t="n"/>
      <c r="C481" s="201" t="n"/>
      <c r="D481" s="199" t="n"/>
      <c r="E481" s="199" t="n"/>
      <c r="F481" s="199" t="n"/>
      <c r="G481" s="199" t="n"/>
      <c r="H481" s="199" t="n"/>
      <c r="I481" s="201" t="n"/>
      <c r="J481" s="201" t="n"/>
      <c r="K481" s="201" t="n"/>
      <c r="L481" s="201" t="n"/>
      <c r="M481" s="201" t="n"/>
      <c r="N481" s="201" t="n"/>
      <c r="O481" s="199" t="n"/>
      <c r="P481" s="201" t="n"/>
      <c r="Q481" s="201" t="n"/>
      <c r="R481" s="201" t="n"/>
      <c r="S481" s="201" t="n"/>
      <c r="T481" s="201" t="n"/>
      <c r="U481" s="201" t="n"/>
      <c r="V481" s="201" t="n"/>
      <c r="W481" s="201" t="n"/>
      <c r="X481" s="201" t="n"/>
      <c r="Y481" s="201" t="n"/>
      <c r="Z481" s="202">
        <f>sum(T481:X481)</f>
        <v/>
      </c>
      <c r="AA481" s="203">
        <f>sum(Z481/Y481)*100%</f>
        <v/>
      </c>
    </row>
    <row r="482" ht="15.75" customHeight="1" s="205">
      <c r="A482" s="199" t="n"/>
      <c r="B482" s="204" t="n"/>
      <c r="C482" s="199" t="n"/>
      <c r="D482" s="199" t="n"/>
      <c r="E482" s="199" t="n"/>
      <c r="F482" s="199" t="n"/>
      <c r="G482" s="199" t="n"/>
      <c r="H482" s="199" t="n"/>
      <c r="I482" s="199" t="n"/>
      <c r="J482" s="199" t="n"/>
      <c r="K482" s="199" t="n"/>
      <c r="L482" s="199" t="n"/>
      <c r="M482" s="199" t="n"/>
      <c r="N482" s="199" t="n"/>
      <c r="O482" s="199" t="n"/>
      <c r="P482" s="199" t="n"/>
      <c r="Q482" s="199" t="n"/>
      <c r="R482" s="199" t="n"/>
      <c r="S482" s="199" t="n"/>
      <c r="T482" s="199" t="n"/>
      <c r="U482" s="199" t="n"/>
      <c r="V482" s="199" t="n"/>
      <c r="W482" s="199" t="n"/>
      <c r="X482" s="199" t="n"/>
      <c r="Y482" s="199" t="n"/>
      <c r="Z482" s="202">
        <f>sum(T482:X482)</f>
        <v/>
      </c>
      <c r="AA482" s="203">
        <f>sum(Z482/Y482)*100%</f>
        <v/>
      </c>
    </row>
    <row r="483" ht="15.75" customHeight="1" s="205">
      <c r="A483" s="199" t="n"/>
      <c r="B483" s="200" t="n"/>
      <c r="C483" s="201" t="n"/>
      <c r="D483" s="199" t="n"/>
      <c r="E483" s="199" t="n"/>
      <c r="F483" s="199" t="n"/>
      <c r="G483" s="199" t="n"/>
      <c r="H483" s="199" t="n"/>
      <c r="I483" s="201" t="n"/>
      <c r="J483" s="201" t="n"/>
      <c r="K483" s="201" t="n"/>
      <c r="L483" s="201" t="n"/>
      <c r="M483" s="201" t="n"/>
      <c r="N483" s="201" t="n"/>
      <c r="O483" s="199" t="n"/>
      <c r="P483" s="201" t="n"/>
      <c r="Q483" s="201" t="n"/>
      <c r="R483" s="201" t="n"/>
      <c r="S483" s="201" t="n"/>
      <c r="T483" s="201" t="n"/>
      <c r="U483" s="201" t="n"/>
      <c r="V483" s="201" t="n"/>
      <c r="W483" s="201" t="n"/>
      <c r="X483" s="201" t="n"/>
      <c r="Y483" s="201" t="n"/>
      <c r="Z483" s="202">
        <f>sum(T483:X483)</f>
        <v/>
      </c>
      <c r="AA483" s="203">
        <f>sum(Z483/Y483)*100%</f>
        <v/>
      </c>
    </row>
    <row r="484" ht="15.75" customHeight="1" s="205">
      <c r="A484" s="199" t="n"/>
      <c r="B484" s="204" t="n"/>
      <c r="C484" s="199" t="n"/>
      <c r="D484" s="199" t="n"/>
      <c r="E484" s="199" t="n"/>
      <c r="F484" s="199" t="n"/>
      <c r="G484" s="199" t="n"/>
      <c r="H484" s="199" t="n"/>
      <c r="I484" s="199" t="n"/>
      <c r="J484" s="199" t="n"/>
      <c r="K484" s="199" t="n"/>
      <c r="L484" s="199" t="n"/>
      <c r="M484" s="199" t="n"/>
      <c r="N484" s="199" t="n"/>
      <c r="O484" s="199" t="n"/>
      <c r="P484" s="199" t="n"/>
      <c r="Q484" s="199" t="n"/>
      <c r="R484" s="199" t="n"/>
      <c r="S484" s="199" t="n"/>
      <c r="T484" s="199" t="n"/>
      <c r="U484" s="199" t="n"/>
      <c r="V484" s="199" t="n"/>
      <c r="W484" s="199" t="n"/>
      <c r="X484" s="199" t="n"/>
      <c r="Y484" s="199" t="n"/>
      <c r="Z484" s="202">
        <f>sum(T484:X484)</f>
        <v/>
      </c>
      <c r="AA484" s="203">
        <f>sum(Z484/Y484)*100%</f>
        <v/>
      </c>
    </row>
    <row r="485" ht="15.75" customHeight="1" s="205">
      <c r="A485" s="199" t="n"/>
      <c r="B485" s="200" t="n"/>
      <c r="C485" s="201" t="n"/>
      <c r="D485" s="199" t="n"/>
      <c r="E485" s="199" t="n"/>
      <c r="F485" s="199" t="n"/>
      <c r="G485" s="199" t="n"/>
      <c r="H485" s="199" t="n"/>
      <c r="I485" s="201" t="n"/>
      <c r="J485" s="201" t="n"/>
      <c r="K485" s="201" t="n"/>
      <c r="L485" s="201" t="n"/>
      <c r="M485" s="201" t="n"/>
      <c r="N485" s="201" t="n"/>
      <c r="O485" s="199" t="n"/>
      <c r="P485" s="201" t="n"/>
      <c r="Q485" s="201" t="n"/>
      <c r="R485" s="201" t="n"/>
      <c r="S485" s="201" t="n"/>
      <c r="T485" s="201" t="n"/>
      <c r="U485" s="201" t="n"/>
      <c r="V485" s="201" t="n"/>
      <c r="W485" s="201" t="n"/>
      <c r="X485" s="201" t="n"/>
      <c r="Y485" s="201" t="n"/>
      <c r="Z485" s="202">
        <f>sum(T485:X485)</f>
        <v/>
      </c>
      <c r="AA485" s="203">
        <f>sum(Z485/Y485)*100%</f>
        <v/>
      </c>
    </row>
    <row r="486" ht="15.75" customHeight="1" s="205">
      <c r="A486" s="199" t="n"/>
      <c r="B486" s="204" t="n"/>
      <c r="C486" s="199" t="n"/>
      <c r="D486" s="199" t="n"/>
      <c r="E486" s="199" t="n"/>
      <c r="F486" s="199" t="n"/>
      <c r="G486" s="199" t="n"/>
      <c r="H486" s="199" t="n"/>
      <c r="I486" s="199" t="n"/>
      <c r="J486" s="199" t="n"/>
      <c r="K486" s="199" t="n"/>
      <c r="L486" s="199" t="n"/>
      <c r="M486" s="199" t="n"/>
      <c r="N486" s="199" t="n"/>
      <c r="O486" s="199" t="n"/>
      <c r="P486" s="199" t="n"/>
      <c r="Q486" s="199" t="n"/>
      <c r="R486" s="199" t="n"/>
      <c r="S486" s="199" t="n"/>
      <c r="T486" s="199" t="n"/>
      <c r="U486" s="199" t="n"/>
      <c r="V486" s="199" t="n"/>
      <c r="W486" s="199" t="n"/>
      <c r="X486" s="199" t="n"/>
      <c r="Y486" s="199" t="n"/>
      <c r="Z486" s="202">
        <f>sum(T486:X486)</f>
        <v/>
      </c>
      <c r="AA486" s="203">
        <f>sum(Z486/Y486)*100%</f>
        <v/>
      </c>
    </row>
    <row r="487" ht="15.75" customHeight="1" s="205">
      <c r="A487" s="199" t="n"/>
      <c r="B487" s="200" t="n"/>
      <c r="C487" s="201" t="n"/>
      <c r="D487" s="199" t="n"/>
      <c r="E487" s="199" t="n"/>
      <c r="F487" s="199" t="n"/>
      <c r="G487" s="199" t="n"/>
      <c r="H487" s="199" t="n"/>
      <c r="I487" s="201" t="n"/>
      <c r="J487" s="201" t="n"/>
      <c r="K487" s="201" t="n"/>
      <c r="L487" s="201" t="n"/>
      <c r="M487" s="201" t="n"/>
      <c r="N487" s="201" t="n"/>
      <c r="O487" s="199" t="n"/>
      <c r="P487" s="201" t="n"/>
      <c r="Q487" s="201" t="n"/>
      <c r="R487" s="201" t="n"/>
      <c r="S487" s="201" t="n"/>
      <c r="T487" s="201" t="n"/>
      <c r="U487" s="201" t="n"/>
      <c r="V487" s="201" t="n"/>
      <c r="W487" s="201" t="n"/>
      <c r="X487" s="201" t="n"/>
      <c r="Y487" s="201" t="n"/>
      <c r="Z487" s="202">
        <f>sum(T487:X487)</f>
        <v/>
      </c>
      <c r="AA487" s="203">
        <f>sum(Z487/Y487)*100%</f>
        <v/>
      </c>
    </row>
    <row r="488" ht="15.75" customHeight="1" s="205">
      <c r="A488" s="199" t="n"/>
      <c r="B488" s="204" t="n"/>
      <c r="C488" s="199" t="n"/>
      <c r="D488" s="199" t="n"/>
      <c r="E488" s="199" t="n"/>
      <c r="F488" s="199" t="n"/>
      <c r="G488" s="199" t="n"/>
      <c r="H488" s="199" t="n"/>
      <c r="I488" s="199" t="n"/>
      <c r="J488" s="199" t="n"/>
      <c r="K488" s="199" t="n"/>
      <c r="L488" s="199" t="n"/>
      <c r="M488" s="199" t="n"/>
      <c r="N488" s="199" t="n"/>
      <c r="O488" s="199" t="n"/>
      <c r="P488" s="199" t="n"/>
      <c r="Q488" s="199" t="n"/>
      <c r="R488" s="199" t="n"/>
      <c r="S488" s="199" t="n"/>
      <c r="T488" s="199" t="n"/>
      <c r="U488" s="199" t="n"/>
      <c r="V488" s="199" t="n"/>
      <c r="W488" s="199" t="n"/>
      <c r="X488" s="199" t="n"/>
      <c r="Y488" s="199" t="n"/>
      <c r="Z488" s="202">
        <f>sum(T488:X488)</f>
        <v/>
      </c>
      <c r="AA488" s="203">
        <f>sum(Z488/Y488)*100%</f>
        <v/>
      </c>
    </row>
    <row r="489" ht="15.75" customHeight="1" s="205">
      <c r="A489" s="199" t="n"/>
      <c r="B489" s="200" t="n"/>
      <c r="C489" s="201" t="n"/>
      <c r="D489" s="199" t="n"/>
      <c r="E489" s="199" t="n"/>
      <c r="F489" s="199" t="n"/>
      <c r="G489" s="199" t="n"/>
      <c r="H489" s="199" t="n"/>
      <c r="I489" s="201" t="n"/>
      <c r="J489" s="201" t="n"/>
      <c r="K489" s="201" t="n"/>
      <c r="L489" s="201" t="n"/>
      <c r="M489" s="201" t="n"/>
      <c r="N489" s="201" t="n"/>
      <c r="O489" s="199" t="n"/>
      <c r="P489" s="201" t="n"/>
      <c r="Q489" s="201" t="n"/>
      <c r="R489" s="201" t="n"/>
      <c r="S489" s="201" t="n"/>
      <c r="T489" s="201" t="n"/>
      <c r="U489" s="201" t="n"/>
      <c r="V489" s="201" t="n"/>
      <c r="W489" s="201" t="n"/>
      <c r="X489" s="201" t="n"/>
      <c r="Y489" s="201" t="n"/>
      <c r="Z489" s="202">
        <f>sum(T489:X489)</f>
        <v/>
      </c>
      <c r="AA489" s="203">
        <f>sum(Z489/Y489)*100%</f>
        <v/>
      </c>
    </row>
    <row r="490" ht="15.75" customHeight="1" s="205">
      <c r="A490" s="199" t="n"/>
      <c r="B490" s="204" t="n"/>
      <c r="C490" s="199" t="n"/>
      <c r="D490" s="199" t="n"/>
      <c r="E490" s="199" t="n"/>
      <c r="F490" s="199" t="n"/>
      <c r="G490" s="199" t="n"/>
      <c r="H490" s="199" t="n"/>
      <c r="I490" s="199" t="n"/>
      <c r="J490" s="199" t="n"/>
      <c r="K490" s="199" t="n"/>
      <c r="L490" s="199" t="n"/>
      <c r="M490" s="199" t="n"/>
      <c r="N490" s="199" t="n"/>
      <c r="O490" s="199" t="n"/>
      <c r="P490" s="199" t="n"/>
      <c r="Q490" s="199" t="n"/>
      <c r="R490" s="199" t="n"/>
      <c r="S490" s="199" t="n"/>
      <c r="T490" s="199" t="n"/>
      <c r="U490" s="199" t="n"/>
      <c r="V490" s="199" t="n"/>
      <c r="W490" s="199" t="n"/>
      <c r="X490" s="199" t="n"/>
      <c r="Y490" s="199" t="n"/>
      <c r="Z490" s="202">
        <f>sum(T490:X490)</f>
        <v/>
      </c>
      <c r="AA490" s="203">
        <f>sum(Z490/Y490)*100%</f>
        <v/>
      </c>
    </row>
    <row r="491" ht="15.75" customHeight="1" s="205">
      <c r="A491" s="199" t="n"/>
      <c r="B491" s="200" t="n"/>
      <c r="C491" s="201" t="n"/>
      <c r="D491" s="199" t="n"/>
      <c r="E491" s="199" t="n"/>
      <c r="F491" s="199" t="n"/>
      <c r="G491" s="199" t="n"/>
      <c r="H491" s="199" t="n"/>
      <c r="I491" s="201" t="n"/>
      <c r="J491" s="201" t="n"/>
      <c r="K491" s="201" t="n"/>
      <c r="L491" s="201" t="n"/>
      <c r="M491" s="201" t="n"/>
      <c r="N491" s="201" t="n"/>
      <c r="O491" s="199" t="n"/>
      <c r="P491" s="201" t="n"/>
      <c r="Q491" s="201" t="n"/>
      <c r="R491" s="201" t="n"/>
      <c r="S491" s="201" t="n"/>
      <c r="T491" s="201" t="n"/>
      <c r="U491" s="201" t="n"/>
      <c r="V491" s="201" t="n"/>
      <c r="W491" s="201" t="n"/>
      <c r="X491" s="201" t="n"/>
      <c r="Y491" s="201" t="n"/>
      <c r="Z491" s="202">
        <f>sum(T491:X491)</f>
        <v/>
      </c>
      <c r="AA491" s="203">
        <f>sum(Z491/Y491)*100%</f>
        <v/>
      </c>
    </row>
    <row r="492" ht="15.75" customHeight="1" s="205">
      <c r="A492" s="199" t="n"/>
      <c r="B492" s="204" t="n"/>
      <c r="C492" s="199" t="n"/>
      <c r="D492" s="199" t="n"/>
      <c r="E492" s="199" t="n"/>
      <c r="F492" s="199" t="n"/>
      <c r="G492" s="199" t="n"/>
      <c r="H492" s="199" t="n"/>
      <c r="I492" s="199" t="n"/>
      <c r="J492" s="199" t="n"/>
      <c r="K492" s="199" t="n"/>
      <c r="L492" s="199" t="n"/>
      <c r="M492" s="199" t="n"/>
      <c r="N492" s="199" t="n"/>
      <c r="O492" s="199" t="n"/>
      <c r="P492" s="199" t="n"/>
      <c r="Q492" s="199" t="n"/>
      <c r="R492" s="199" t="n"/>
      <c r="S492" s="199" t="n"/>
      <c r="T492" s="199" t="n"/>
      <c r="U492" s="199" t="n"/>
      <c r="V492" s="199" t="n"/>
      <c r="W492" s="199" t="n"/>
      <c r="X492" s="199" t="n"/>
      <c r="Y492" s="199" t="n"/>
      <c r="Z492" s="202">
        <f>sum(T492:X492)</f>
        <v/>
      </c>
      <c r="AA492" s="203">
        <f>sum(Z492/Y492)*100%</f>
        <v/>
      </c>
    </row>
    <row r="493" ht="15.75" customHeight="1" s="205">
      <c r="A493" s="199" t="n"/>
      <c r="B493" s="200" t="n"/>
      <c r="C493" s="201" t="n"/>
      <c r="D493" s="199" t="n"/>
      <c r="E493" s="199" t="n"/>
      <c r="F493" s="199" t="n"/>
      <c r="G493" s="199" t="n"/>
      <c r="H493" s="199" t="n"/>
      <c r="I493" s="201" t="n"/>
      <c r="J493" s="201" t="n"/>
      <c r="K493" s="201" t="n"/>
      <c r="L493" s="201" t="n"/>
      <c r="M493" s="201" t="n"/>
      <c r="N493" s="201" t="n"/>
      <c r="O493" s="199" t="n"/>
      <c r="P493" s="201" t="n"/>
      <c r="Q493" s="201" t="n"/>
      <c r="R493" s="201" t="n"/>
      <c r="S493" s="201" t="n"/>
      <c r="T493" s="201" t="n"/>
      <c r="U493" s="201" t="n"/>
      <c r="V493" s="201" t="n"/>
      <c r="W493" s="201" t="n"/>
      <c r="X493" s="201" t="n"/>
      <c r="Y493" s="201" t="n"/>
      <c r="Z493" s="202">
        <f>sum(T493:X493)</f>
        <v/>
      </c>
      <c r="AA493" s="203">
        <f>sum(Z493/Y493)*100%</f>
        <v/>
      </c>
    </row>
    <row r="494" ht="15.75" customHeight="1" s="205">
      <c r="A494" s="199" t="n"/>
      <c r="B494" s="204" t="n"/>
      <c r="C494" s="199" t="n"/>
      <c r="D494" s="199" t="n"/>
      <c r="E494" s="199" t="n"/>
      <c r="F494" s="199" t="n"/>
      <c r="G494" s="199" t="n"/>
      <c r="H494" s="199" t="n"/>
      <c r="I494" s="199" t="n"/>
      <c r="J494" s="199" t="n"/>
      <c r="K494" s="199" t="n"/>
      <c r="L494" s="199" t="n"/>
      <c r="M494" s="199" t="n"/>
      <c r="N494" s="199" t="n"/>
      <c r="O494" s="199" t="n"/>
      <c r="P494" s="199" t="n"/>
      <c r="Q494" s="199" t="n"/>
      <c r="R494" s="199" t="n"/>
      <c r="S494" s="199" t="n"/>
      <c r="T494" s="199" t="n"/>
      <c r="U494" s="199" t="n"/>
      <c r="V494" s="199" t="n"/>
      <c r="W494" s="199" t="n"/>
      <c r="X494" s="199" t="n"/>
      <c r="Y494" s="199" t="n"/>
      <c r="Z494" s="202">
        <f>sum(T494:X494)</f>
        <v/>
      </c>
      <c r="AA494" s="203">
        <f>sum(Z494/Y494)*100%</f>
        <v/>
      </c>
    </row>
    <row r="495" ht="15.75" customHeight="1" s="205">
      <c r="A495" s="199" t="n"/>
      <c r="B495" s="200" t="n"/>
      <c r="C495" s="201" t="n"/>
      <c r="D495" s="199" t="n"/>
      <c r="E495" s="199" t="n"/>
      <c r="F495" s="199" t="n"/>
      <c r="G495" s="199" t="n"/>
      <c r="H495" s="199" t="n"/>
      <c r="I495" s="201" t="n"/>
      <c r="J495" s="201" t="n"/>
      <c r="K495" s="201" t="n"/>
      <c r="L495" s="201" t="n"/>
      <c r="M495" s="201" t="n"/>
      <c r="N495" s="201" t="n"/>
      <c r="O495" s="199" t="n"/>
      <c r="P495" s="201" t="n"/>
      <c r="Q495" s="201" t="n"/>
      <c r="R495" s="201" t="n"/>
      <c r="S495" s="201" t="n"/>
      <c r="T495" s="201" t="n"/>
      <c r="U495" s="201" t="n"/>
      <c r="V495" s="201" t="n"/>
      <c r="W495" s="201" t="n"/>
      <c r="X495" s="201" t="n"/>
      <c r="Y495" s="201" t="n"/>
      <c r="Z495" s="202">
        <f>sum(T495:X495)</f>
        <v/>
      </c>
      <c r="AA495" s="203">
        <f>sum(Z495/Y495)*100%</f>
        <v/>
      </c>
    </row>
    <row r="496" ht="15.75" customHeight="1" s="205">
      <c r="A496" s="199" t="n"/>
      <c r="B496" s="204" t="n"/>
      <c r="C496" s="199" t="n"/>
      <c r="D496" s="199" t="n"/>
      <c r="E496" s="199" t="n"/>
      <c r="F496" s="199" t="n"/>
      <c r="G496" s="199" t="n"/>
      <c r="H496" s="199" t="n"/>
      <c r="I496" s="199" t="n"/>
      <c r="J496" s="199" t="n"/>
      <c r="K496" s="199" t="n"/>
      <c r="L496" s="199" t="n"/>
      <c r="M496" s="199" t="n"/>
      <c r="N496" s="199" t="n"/>
      <c r="O496" s="199" t="n"/>
      <c r="P496" s="199" t="n"/>
      <c r="Q496" s="199" t="n"/>
      <c r="R496" s="199" t="n"/>
      <c r="S496" s="199" t="n"/>
      <c r="T496" s="199" t="n"/>
      <c r="U496" s="199" t="n"/>
      <c r="V496" s="199" t="n"/>
      <c r="W496" s="199" t="n"/>
      <c r="X496" s="199" t="n"/>
      <c r="Y496" s="199" t="n"/>
      <c r="Z496" s="202">
        <f>sum(T496:X496)</f>
        <v/>
      </c>
      <c r="AA496" s="203">
        <f>sum(Z496/Y496)*100%</f>
        <v/>
      </c>
    </row>
    <row r="497" ht="15.75" customHeight="1" s="205">
      <c r="A497" s="199" t="n"/>
      <c r="B497" s="200" t="n"/>
      <c r="C497" s="201" t="n"/>
      <c r="D497" s="199" t="n"/>
      <c r="E497" s="199" t="n"/>
      <c r="F497" s="199" t="n"/>
      <c r="G497" s="199" t="n"/>
      <c r="H497" s="199" t="n"/>
      <c r="I497" s="201" t="n"/>
      <c r="J497" s="201" t="n"/>
      <c r="K497" s="201" t="n"/>
      <c r="L497" s="201" t="n"/>
      <c r="M497" s="201" t="n"/>
      <c r="N497" s="201" t="n"/>
      <c r="O497" s="199" t="n"/>
      <c r="P497" s="201" t="n"/>
      <c r="Q497" s="201" t="n"/>
      <c r="R497" s="201" t="n"/>
      <c r="S497" s="201" t="n"/>
      <c r="T497" s="201" t="n"/>
      <c r="U497" s="201" t="n"/>
      <c r="V497" s="201" t="n"/>
      <c r="W497" s="201" t="n"/>
      <c r="X497" s="201" t="n"/>
      <c r="Y497" s="201" t="n"/>
      <c r="Z497" s="202">
        <f>sum(T497:X497)</f>
        <v/>
      </c>
      <c r="AA497" s="203">
        <f>sum(Z497/Y497)*100%</f>
        <v/>
      </c>
    </row>
    <row r="498" ht="15.75" customHeight="1" s="205">
      <c r="A498" s="199" t="n"/>
      <c r="B498" s="204" t="n"/>
      <c r="C498" s="199" t="n"/>
      <c r="D498" s="199" t="n"/>
      <c r="E498" s="199" t="n"/>
      <c r="F498" s="199" t="n"/>
      <c r="G498" s="199" t="n"/>
      <c r="H498" s="199" t="n"/>
      <c r="I498" s="199" t="n"/>
      <c r="J498" s="199" t="n"/>
      <c r="K498" s="199" t="n"/>
      <c r="L498" s="199" t="n"/>
      <c r="M498" s="199" t="n"/>
      <c r="N498" s="199" t="n"/>
      <c r="O498" s="199" t="n"/>
      <c r="P498" s="199" t="n"/>
      <c r="Q498" s="199" t="n"/>
      <c r="R498" s="199" t="n"/>
      <c r="S498" s="199" t="n"/>
      <c r="T498" s="199" t="n"/>
      <c r="U498" s="199" t="n"/>
      <c r="V498" s="199" t="n"/>
      <c r="W498" s="199" t="n"/>
      <c r="X498" s="199" t="n"/>
      <c r="Y498" s="199" t="n"/>
      <c r="Z498" s="202">
        <f>sum(T498:X498)</f>
        <v/>
      </c>
      <c r="AA498" s="203">
        <f>sum(Z498/Y498)*100%</f>
        <v/>
      </c>
    </row>
    <row r="499" ht="15.75" customHeight="1" s="205">
      <c r="A499" s="199" t="n"/>
      <c r="B499" s="200" t="n"/>
      <c r="C499" s="201" t="n"/>
      <c r="D499" s="199" t="n"/>
      <c r="E499" s="199" t="n"/>
      <c r="F499" s="199" t="n"/>
      <c r="G499" s="199" t="n"/>
      <c r="H499" s="199" t="n"/>
      <c r="I499" s="201" t="n"/>
      <c r="J499" s="201" t="n"/>
      <c r="K499" s="201" t="n"/>
      <c r="L499" s="201" t="n"/>
      <c r="M499" s="201" t="n"/>
      <c r="N499" s="201" t="n"/>
      <c r="O499" s="199" t="n"/>
      <c r="P499" s="201" t="n"/>
      <c r="Q499" s="201" t="n"/>
      <c r="R499" s="201" t="n"/>
      <c r="S499" s="201" t="n"/>
      <c r="T499" s="201" t="n"/>
      <c r="U499" s="201" t="n"/>
      <c r="V499" s="201" t="n"/>
      <c r="W499" s="201" t="n"/>
      <c r="X499" s="201" t="n"/>
      <c r="Y499" s="201" t="n"/>
      <c r="Z499" s="202">
        <f>sum(T499:X499)</f>
        <v/>
      </c>
      <c r="AA499" s="203">
        <f>sum(Z499/Y499)*100%</f>
        <v/>
      </c>
    </row>
    <row r="500" ht="15.75" customHeight="1" s="205">
      <c r="A500" s="199" t="n"/>
      <c r="B500" s="102" t="n"/>
      <c r="C500" s="102" t="n"/>
      <c r="D500" s="102" t="n"/>
      <c r="E500" s="102" t="n"/>
      <c r="F500" s="102" t="n"/>
      <c r="G500" s="102" t="n"/>
      <c r="H500" s="102"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c r="AA500" s="102" t="n"/>
    </row>
    <row r="501" ht="15.75" customHeight="1" s="205">
      <c r="A501" s="199" t="n"/>
      <c r="B501" s="102" t="n"/>
      <c r="C501" s="102" t="n"/>
      <c r="D501" s="102" t="n"/>
      <c r="E501" s="102" t="n"/>
      <c r="F501" s="102" t="n"/>
      <c r="G501" s="102" t="n"/>
      <c r="H501" s="102"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c r="AA501" s="102" t="n"/>
    </row>
    <row r="502" ht="15.75" customHeight="1" s="205">
      <c r="A502" s="199" t="n"/>
      <c r="B502" s="102" t="n"/>
      <c r="C502" s="102" t="n"/>
      <c r="D502" s="102" t="n"/>
      <c r="E502" s="102" t="n"/>
      <c r="F502" s="102" t="n"/>
      <c r="G502" s="102" t="n"/>
      <c r="H502" s="102"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c r="AA502" s="102" t="n"/>
    </row>
    <row r="503" ht="15.75" customHeight="1" s="205">
      <c r="A503" s="199" t="n"/>
      <c r="B503" s="102" t="n"/>
      <c r="C503" s="102" t="n"/>
      <c r="D503" s="102" t="n"/>
      <c r="E503" s="102" t="n"/>
      <c r="F503" s="102" t="n"/>
      <c r="G503" s="102" t="n"/>
      <c r="H503" s="102"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c r="AA503" s="102" t="n"/>
    </row>
    <row r="504" ht="15.75" customHeight="1" s="205">
      <c r="A504" s="199" t="n"/>
      <c r="B504" s="102" t="n"/>
      <c r="C504" s="102" t="n"/>
      <c r="D504" s="102" t="n"/>
      <c r="E504" s="102" t="n"/>
      <c r="F504" s="102" t="n"/>
      <c r="G504" s="102" t="n"/>
      <c r="H504" s="102"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c r="AA504" s="102" t="n"/>
    </row>
    <row r="505" ht="15.75" customHeight="1" s="205">
      <c r="A505" s="199" t="n"/>
      <c r="B505" s="102" t="n"/>
      <c r="C505" s="102" t="n"/>
      <c r="D505" s="102" t="n"/>
      <c r="E505" s="102" t="n"/>
      <c r="F505" s="102" t="n"/>
      <c r="G505" s="102" t="n"/>
      <c r="H505" s="102"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c r="AA505" s="102" t="n"/>
    </row>
    <row r="506" ht="15.75" customHeight="1" s="205">
      <c r="A506" s="199" t="n"/>
      <c r="B506" s="102" t="n"/>
      <c r="C506" s="102" t="n"/>
      <c r="D506" s="102" t="n"/>
      <c r="E506" s="102" t="n"/>
      <c r="F506" s="102" t="n"/>
      <c r="G506" s="102" t="n"/>
      <c r="H506" s="102"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c r="AA506" s="102" t="n"/>
    </row>
    <row r="507" ht="15.75" customHeight="1" s="205">
      <c r="A507" s="199" t="n"/>
      <c r="B507" s="102" t="n"/>
      <c r="C507" s="102" t="n"/>
      <c r="D507" s="102" t="n"/>
      <c r="E507" s="102" t="n"/>
      <c r="F507" s="102" t="n"/>
      <c r="G507" s="102" t="n"/>
      <c r="H507" s="102"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c r="AA507" s="102" t="n"/>
    </row>
    <row r="508" ht="15.75" customHeight="1" s="205">
      <c r="A508" s="199" t="n"/>
      <c r="B508" s="102" t="n"/>
      <c r="C508" s="102" t="n"/>
      <c r="D508" s="102" t="n"/>
      <c r="E508" s="102" t="n"/>
      <c r="F508" s="102" t="n"/>
      <c r="G508" s="102" t="n"/>
      <c r="H508" s="102"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c r="AA508" s="102" t="n"/>
    </row>
    <row r="509" ht="15.75" customHeight="1" s="205">
      <c r="A509" s="199" t="n"/>
      <c r="B509" s="102" t="n"/>
      <c r="C509" s="102" t="n"/>
      <c r="D509" s="102" t="n"/>
      <c r="E509" s="102" t="n"/>
      <c r="F509" s="102" t="n"/>
      <c r="G509" s="102" t="n"/>
      <c r="H509" s="102"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c r="AA509" s="102" t="n"/>
    </row>
    <row r="510" ht="15.75" customHeight="1" s="205">
      <c r="A510" s="199" t="n"/>
      <c r="B510" s="102" t="n"/>
      <c r="C510" s="102" t="n"/>
      <c r="D510" s="102" t="n"/>
      <c r="E510" s="102" t="n"/>
      <c r="F510" s="102" t="n"/>
      <c r="G510" s="102" t="n"/>
      <c r="H510" s="102"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c r="AA510" s="102" t="n"/>
    </row>
    <row r="511" ht="15.75" customHeight="1" s="205">
      <c r="A511" s="199" t="n"/>
      <c r="B511" s="102" t="n"/>
      <c r="C511" s="102" t="n"/>
      <c r="D511" s="102" t="n"/>
      <c r="E511" s="102" t="n"/>
      <c r="F511" s="102" t="n"/>
      <c r="G511" s="102" t="n"/>
      <c r="H511" s="102"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c r="AA511" s="102" t="n"/>
    </row>
    <row r="512" ht="15.75" customHeight="1" s="205">
      <c r="A512" s="199" t="n"/>
      <c r="B512" s="102" t="n"/>
      <c r="C512" s="102" t="n"/>
      <c r="D512" s="102" t="n"/>
      <c r="E512" s="102" t="n"/>
      <c r="F512" s="102" t="n"/>
      <c r="G512" s="102" t="n"/>
      <c r="H512" s="102"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c r="AA512" s="102" t="n"/>
    </row>
    <row r="513" ht="15.75" customHeight="1" s="205">
      <c r="A513" s="199" t="n"/>
      <c r="B513" s="102" t="n"/>
      <c r="C513" s="102" t="n"/>
      <c r="D513" s="102" t="n"/>
      <c r="E513" s="102" t="n"/>
      <c r="F513" s="102" t="n"/>
      <c r="G513" s="102" t="n"/>
      <c r="H513" s="102"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c r="AA513" s="102" t="n"/>
    </row>
    <row r="514" ht="15.75" customHeight="1" s="205">
      <c r="A514" s="199" t="n"/>
      <c r="B514" s="102" t="n"/>
      <c r="C514" s="102" t="n"/>
      <c r="D514" s="102" t="n"/>
      <c r="E514" s="102" t="n"/>
      <c r="F514" s="102" t="n"/>
      <c r="G514" s="102" t="n"/>
      <c r="H514" s="102"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c r="AA514" s="102" t="n"/>
    </row>
    <row r="515" ht="15.75" customHeight="1" s="205">
      <c r="A515" s="199" t="n"/>
      <c r="B515" s="102" t="n"/>
      <c r="C515" s="102" t="n"/>
      <c r="D515" s="102" t="n"/>
      <c r="E515" s="102" t="n"/>
      <c r="F515" s="102" t="n"/>
      <c r="G515" s="102" t="n"/>
      <c r="H515" s="102"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c r="AA515" s="102" t="n"/>
    </row>
    <row r="516" ht="15.75" customHeight="1" s="205">
      <c r="A516" s="199" t="n"/>
      <c r="B516" s="102" t="n"/>
      <c r="C516" s="102" t="n"/>
      <c r="D516" s="102" t="n"/>
      <c r="E516" s="102" t="n"/>
      <c r="F516" s="102" t="n"/>
      <c r="G516" s="102" t="n"/>
      <c r="H516" s="102"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c r="AA516" s="102" t="n"/>
    </row>
    <row r="517" ht="15.75" customHeight="1" s="205">
      <c r="A517" s="199" t="n"/>
      <c r="B517" s="102" t="n"/>
      <c r="C517" s="102" t="n"/>
      <c r="D517" s="102" t="n"/>
      <c r="E517" s="102" t="n"/>
      <c r="F517" s="102" t="n"/>
      <c r="G517" s="102" t="n"/>
      <c r="H517" s="102"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c r="AA517" s="102" t="n"/>
    </row>
    <row r="518" ht="15.75" customHeight="1" s="205">
      <c r="A518" s="199" t="n"/>
      <c r="B518" s="102" t="n"/>
      <c r="C518" s="102" t="n"/>
      <c r="D518" s="102" t="n"/>
      <c r="E518" s="102" t="n"/>
      <c r="F518" s="102" t="n"/>
      <c r="G518" s="102" t="n"/>
      <c r="H518" s="102"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c r="AA518" s="102" t="n"/>
    </row>
    <row r="519" ht="15.75" customHeight="1" s="205">
      <c r="A519" s="199" t="n"/>
      <c r="B519" s="102" t="n"/>
      <c r="C519" s="102" t="n"/>
      <c r="D519" s="102" t="n"/>
      <c r="E519" s="102" t="n"/>
      <c r="F519" s="102" t="n"/>
      <c r="G519" s="102" t="n"/>
      <c r="H519" s="102"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c r="AA519" s="102" t="n"/>
    </row>
    <row r="520" ht="15.75" customHeight="1" s="205">
      <c r="A520" s="199" t="n"/>
      <c r="B520" s="102" t="n"/>
      <c r="C520" s="102" t="n"/>
      <c r="D520" s="102" t="n"/>
      <c r="E520" s="102" t="n"/>
      <c r="F520" s="102" t="n"/>
      <c r="G520" s="102" t="n"/>
      <c r="H520" s="102"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c r="AA520" s="102" t="n"/>
    </row>
    <row r="521" ht="15.75" customHeight="1" s="205">
      <c r="A521" s="199" t="n"/>
      <c r="B521" s="102" t="n"/>
      <c r="C521" s="102" t="n"/>
      <c r="D521" s="102" t="n"/>
      <c r="E521" s="102" t="n"/>
      <c r="F521" s="102" t="n"/>
      <c r="G521" s="102" t="n"/>
      <c r="H521" s="102"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c r="AA521" s="102" t="n"/>
    </row>
    <row r="522" ht="15.75" customHeight="1" s="205">
      <c r="A522" s="199" t="n"/>
      <c r="B522" s="102" t="n"/>
      <c r="C522" s="102" t="n"/>
      <c r="D522" s="102" t="n"/>
      <c r="E522" s="102" t="n"/>
      <c r="F522" s="102" t="n"/>
      <c r="G522" s="102" t="n"/>
      <c r="H522" s="102"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c r="AA522" s="102" t="n"/>
    </row>
    <row r="523" ht="15.75" customHeight="1" s="205">
      <c r="A523" s="199" t="n"/>
      <c r="B523" s="102" t="n"/>
      <c r="C523" s="102" t="n"/>
      <c r="D523" s="102" t="n"/>
      <c r="E523" s="102" t="n"/>
      <c r="F523" s="102" t="n"/>
      <c r="G523" s="102" t="n"/>
      <c r="H523" s="102"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c r="AA523" s="102" t="n"/>
    </row>
    <row r="524" ht="15.75" customHeight="1" s="205">
      <c r="A524" s="199" t="n"/>
      <c r="B524" s="102" t="n"/>
      <c r="C524" s="102" t="n"/>
      <c r="D524" s="102" t="n"/>
      <c r="E524" s="102" t="n"/>
      <c r="F524" s="102" t="n"/>
      <c r="G524" s="102" t="n"/>
      <c r="H524" s="102"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c r="AA524" s="102" t="n"/>
    </row>
    <row r="525" ht="15.75" customHeight="1" s="205">
      <c r="A525" s="199" t="n"/>
      <c r="B525" s="102" t="n"/>
      <c r="C525" s="102" t="n"/>
      <c r="D525" s="102" t="n"/>
      <c r="E525" s="102" t="n"/>
      <c r="F525" s="102" t="n"/>
      <c r="G525" s="102" t="n"/>
      <c r="H525" s="102"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c r="AA525" s="102" t="n"/>
    </row>
    <row r="526" ht="15.75" customHeight="1" s="205">
      <c r="A526" s="199" t="n"/>
      <c r="B526" s="102" t="n"/>
      <c r="C526" s="102" t="n"/>
      <c r="D526" s="102" t="n"/>
      <c r="E526" s="102" t="n"/>
      <c r="F526" s="102" t="n"/>
      <c r="G526" s="102" t="n"/>
      <c r="H526" s="102"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c r="AA526" s="102" t="n"/>
    </row>
    <row r="527" ht="15.75" customHeight="1" s="205">
      <c r="A527" s="199" t="n"/>
      <c r="B527" s="102" t="n"/>
      <c r="C527" s="102" t="n"/>
      <c r="D527" s="102" t="n"/>
      <c r="E527" s="102" t="n"/>
      <c r="F527" s="102" t="n"/>
      <c r="G527" s="102" t="n"/>
      <c r="H527" s="102"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c r="AA527" s="102" t="n"/>
    </row>
    <row r="528" ht="15.75" customHeight="1" s="205">
      <c r="A528" s="199" t="n"/>
      <c r="B528" s="102" t="n"/>
      <c r="C528" s="102" t="n"/>
      <c r="D528" s="102" t="n"/>
      <c r="E528" s="102" t="n"/>
      <c r="F528" s="102" t="n"/>
      <c r="G528" s="102" t="n"/>
      <c r="H528" s="102"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c r="AA528" s="102" t="n"/>
    </row>
    <row r="529" ht="15.75" customHeight="1" s="205">
      <c r="A529" s="199" t="n"/>
      <c r="B529" s="102" t="n"/>
      <c r="C529" s="102" t="n"/>
      <c r="D529" s="102" t="n"/>
      <c r="E529" s="102" t="n"/>
      <c r="F529" s="102" t="n"/>
      <c r="G529" s="102" t="n"/>
      <c r="H529" s="102"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c r="AA529" s="102" t="n"/>
    </row>
    <row r="530" ht="15.75" customHeight="1" s="205">
      <c r="A530" s="199" t="n"/>
      <c r="B530" s="102" t="n"/>
      <c r="C530" s="102" t="n"/>
      <c r="D530" s="102" t="n"/>
      <c r="E530" s="102" t="n"/>
      <c r="F530" s="102" t="n"/>
      <c r="G530" s="102" t="n"/>
      <c r="H530" s="102"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c r="AA530" s="102" t="n"/>
    </row>
    <row r="531" ht="15.75" customHeight="1" s="205">
      <c r="A531" s="199" t="n"/>
      <c r="B531" s="102" t="n"/>
      <c r="C531" s="102" t="n"/>
      <c r="D531" s="102" t="n"/>
      <c r="E531" s="102" t="n"/>
      <c r="F531" s="102" t="n"/>
      <c r="G531" s="102" t="n"/>
      <c r="H531" s="102"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c r="AA531" s="102" t="n"/>
    </row>
    <row r="532" ht="15.75" customHeight="1" s="205">
      <c r="A532" s="199" t="n"/>
      <c r="B532" s="102" t="n"/>
      <c r="C532" s="102" t="n"/>
      <c r="D532" s="102" t="n"/>
      <c r="E532" s="102" t="n"/>
      <c r="F532" s="102" t="n"/>
      <c r="G532" s="102" t="n"/>
      <c r="H532" s="102"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c r="AA532" s="102" t="n"/>
    </row>
    <row r="533" ht="15.75" customHeight="1" s="205">
      <c r="A533" s="199" t="n"/>
      <c r="B533" s="102" t="n"/>
      <c r="C533" s="102" t="n"/>
      <c r="D533" s="102" t="n"/>
      <c r="E533" s="102" t="n"/>
      <c r="F533" s="102" t="n"/>
      <c r="G533" s="102" t="n"/>
      <c r="H533" s="102"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c r="AA533" s="102" t="n"/>
    </row>
    <row r="534" ht="15.75" customHeight="1" s="205">
      <c r="A534" s="199" t="n"/>
      <c r="B534" s="102" t="n"/>
      <c r="C534" s="102" t="n"/>
      <c r="D534" s="102" t="n"/>
      <c r="E534" s="102" t="n"/>
      <c r="F534" s="102" t="n"/>
      <c r="G534" s="102" t="n"/>
      <c r="H534" s="102"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c r="AA534" s="102" t="n"/>
    </row>
    <row r="535" ht="15.75" customHeight="1" s="205">
      <c r="A535" s="199" t="n"/>
      <c r="B535" s="102" t="n"/>
      <c r="C535" s="102" t="n"/>
      <c r="D535" s="102" t="n"/>
      <c r="E535" s="102" t="n"/>
      <c r="F535" s="102" t="n"/>
      <c r="G535" s="102" t="n"/>
      <c r="H535" s="102"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c r="AA535" s="102" t="n"/>
    </row>
    <row r="536" ht="15.75" customHeight="1" s="205">
      <c r="A536" s="199" t="n"/>
      <c r="B536" s="102" t="n"/>
      <c r="C536" s="102" t="n"/>
      <c r="D536" s="102" t="n"/>
      <c r="E536" s="102" t="n"/>
      <c r="F536" s="102" t="n"/>
      <c r="G536" s="102" t="n"/>
      <c r="H536" s="102"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c r="AA536" s="102" t="n"/>
    </row>
    <row r="537" ht="15.75" customHeight="1" s="205">
      <c r="A537" s="199" t="n"/>
      <c r="B537" s="102" t="n"/>
      <c r="C537" s="102" t="n"/>
      <c r="D537" s="102" t="n"/>
      <c r="E537" s="102" t="n"/>
      <c r="F537" s="102" t="n"/>
      <c r="G537" s="102" t="n"/>
      <c r="H537" s="102"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c r="AA537" s="102" t="n"/>
    </row>
    <row r="538" ht="15.75" customHeight="1" s="205">
      <c r="A538" s="199" t="n"/>
      <c r="B538" s="102" t="n"/>
      <c r="C538" s="102" t="n"/>
      <c r="D538" s="102" t="n"/>
      <c r="E538" s="102" t="n"/>
      <c r="F538" s="102" t="n"/>
      <c r="G538" s="102" t="n"/>
      <c r="H538" s="102"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c r="AA538" s="102" t="n"/>
    </row>
    <row r="539" ht="15.75" customHeight="1" s="205">
      <c r="A539" s="199" t="n"/>
      <c r="B539" s="102" t="n"/>
      <c r="C539" s="102" t="n"/>
      <c r="D539" s="102" t="n"/>
      <c r="E539" s="102" t="n"/>
      <c r="F539" s="102" t="n"/>
      <c r="G539" s="102" t="n"/>
      <c r="H539" s="102"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c r="AA539" s="102" t="n"/>
    </row>
    <row r="540" ht="15.75" customHeight="1" s="205">
      <c r="A540" s="199" t="n"/>
      <c r="B540" s="102" t="n"/>
      <c r="C540" s="102" t="n"/>
      <c r="D540" s="102" t="n"/>
      <c r="E540" s="102" t="n"/>
      <c r="F540" s="102" t="n"/>
      <c r="G540" s="102" t="n"/>
      <c r="H540" s="102"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c r="AA540" s="102" t="n"/>
    </row>
    <row r="541" ht="15.75" customHeight="1" s="205">
      <c r="A541" s="199" t="n"/>
      <c r="B541" s="102" t="n"/>
      <c r="C541" s="102" t="n"/>
      <c r="D541" s="102" t="n"/>
      <c r="E541" s="102" t="n"/>
      <c r="F541" s="102" t="n"/>
      <c r="G541" s="102" t="n"/>
      <c r="H541" s="102"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c r="AA541" s="102" t="n"/>
    </row>
    <row r="542" ht="15.75" customHeight="1" s="205">
      <c r="A542" s="199" t="n"/>
      <c r="B542" s="102" t="n"/>
      <c r="C542" s="102" t="n"/>
      <c r="D542" s="102" t="n"/>
      <c r="E542" s="102" t="n"/>
      <c r="F542" s="102" t="n"/>
      <c r="G542" s="102" t="n"/>
      <c r="H542" s="102"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c r="AA542" s="102" t="n"/>
    </row>
    <row r="543" ht="15.75" customHeight="1" s="205">
      <c r="A543" s="199" t="n"/>
      <c r="B543" s="102" t="n"/>
      <c r="C543" s="102" t="n"/>
      <c r="D543" s="102" t="n"/>
      <c r="E543" s="102" t="n"/>
      <c r="F543" s="102" t="n"/>
      <c r="G543" s="102" t="n"/>
      <c r="H543" s="102"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c r="AA543" s="102" t="n"/>
    </row>
    <row r="544" ht="15.75" customHeight="1" s="205">
      <c r="A544" s="199" t="n"/>
      <c r="B544" s="102" t="n"/>
      <c r="C544" s="102" t="n"/>
      <c r="D544" s="102" t="n"/>
      <c r="E544" s="102" t="n"/>
      <c r="F544" s="102" t="n"/>
      <c r="G544" s="102" t="n"/>
      <c r="H544" s="102"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c r="AA544" s="102" t="n"/>
    </row>
    <row r="545" ht="15.75" customHeight="1" s="205">
      <c r="A545" s="199" t="n"/>
      <c r="B545" s="102" t="n"/>
      <c r="C545" s="102" t="n"/>
      <c r="D545" s="102" t="n"/>
      <c r="E545" s="102" t="n"/>
      <c r="F545" s="102" t="n"/>
      <c r="G545" s="102" t="n"/>
      <c r="H545" s="102"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c r="AA545" s="102" t="n"/>
    </row>
    <row r="546" ht="15.75" customHeight="1" s="205">
      <c r="A546" s="199" t="n"/>
      <c r="B546" s="102" t="n"/>
      <c r="C546" s="102" t="n"/>
      <c r="D546" s="102" t="n"/>
      <c r="E546" s="102" t="n"/>
      <c r="F546" s="102" t="n"/>
      <c r="G546" s="102" t="n"/>
      <c r="H546" s="102"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c r="AA546" s="102" t="n"/>
    </row>
    <row r="547" ht="15.75" customHeight="1" s="205">
      <c r="A547" s="199" t="n"/>
      <c r="B547" s="102" t="n"/>
      <c r="C547" s="102" t="n"/>
      <c r="D547" s="102" t="n"/>
      <c r="E547" s="102" t="n"/>
      <c r="F547" s="102" t="n"/>
      <c r="G547" s="102" t="n"/>
      <c r="H547" s="102"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c r="AA547" s="102" t="n"/>
    </row>
    <row r="548" ht="15.75" customHeight="1" s="205">
      <c r="A548" s="199" t="n"/>
      <c r="B548" s="102" t="n"/>
      <c r="C548" s="102" t="n"/>
      <c r="D548" s="102" t="n"/>
      <c r="E548" s="102" t="n"/>
      <c r="F548" s="102" t="n"/>
      <c r="G548" s="102" t="n"/>
      <c r="H548" s="102"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c r="AA548" s="102" t="n"/>
    </row>
    <row r="549" ht="15.75" customHeight="1" s="205">
      <c r="A549" s="199" t="n"/>
      <c r="B549" s="102" t="n"/>
      <c r="C549" s="102" t="n"/>
      <c r="D549" s="102" t="n"/>
      <c r="E549" s="102" t="n"/>
      <c r="F549" s="102" t="n"/>
      <c r="G549" s="102" t="n"/>
      <c r="H549" s="102"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c r="AA549" s="102" t="n"/>
    </row>
    <row r="550" ht="15.75" customHeight="1" s="205">
      <c r="A550" s="199" t="n"/>
      <c r="B550" s="102" t="n"/>
      <c r="C550" s="102" t="n"/>
      <c r="D550" s="102" t="n"/>
      <c r="E550" s="102" t="n"/>
      <c r="F550" s="102" t="n"/>
      <c r="G550" s="102" t="n"/>
      <c r="H550" s="102"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c r="AA550" s="102" t="n"/>
    </row>
    <row r="551" ht="15.75" customHeight="1" s="205">
      <c r="A551" s="199" t="n"/>
      <c r="B551" s="102" t="n"/>
      <c r="C551" s="102" t="n"/>
      <c r="D551" s="102" t="n"/>
      <c r="E551" s="102" t="n"/>
      <c r="F551" s="102" t="n"/>
      <c r="G551" s="102" t="n"/>
      <c r="H551" s="102"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c r="AA551" s="102" t="n"/>
    </row>
    <row r="552" ht="15.75" customHeight="1" s="205">
      <c r="A552" s="199" t="n"/>
      <c r="B552" s="102" t="n"/>
      <c r="C552" s="102" t="n"/>
      <c r="D552" s="102" t="n"/>
      <c r="E552" s="102" t="n"/>
      <c r="F552" s="102" t="n"/>
      <c r="G552" s="102" t="n"/>
      <c r="H552" s="102"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c r="AA552" s="102" t="n"/>
    </row>
    <row r="553" ht="15.75" customHeight="1" s="205">
      <c r="A553" s="199" t="n"/>
      <c r="B553" s="102" t="n"/>
      <c r="C553" s="102" t="n"/>
      <c r="D553" s="102" t="n"/>
      <c r="E553" s="102" t="n"/>
      <c r="F553" s="102" t="n"/>
      <c r="G553" s="102" t="n"/>
      <c r="H553" s="102"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c r="AA553" s="102" t="n"/>
    </row>
    <row r="554" ht="15.75" customHeight="1" s="205">
      <c r="A554" s="199" t="n"/>
      <c r="B554" s="102" t="n"/>
      <c r="C554" s="102" t="n"/>
      <c r="D554" s="102" t="n"/>
      <c r="E554" s="102" t="n"/>
      <c r="F554" s="102" t="n"/>
      <c r="G554" s="102" t="n"/>
      <c r="H554" s="102"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c r="AA554" s="102" t="n"/>
    </row>
    <row r="555" ht="15.75" customHeight="1" s="205">
      <c r="A555" s="199" t="n"/>
      <c r="B555" s="102" t="n"/>
      <c r="C555" s="102" t="n"/>
      <c r="D555" s="102" t="n"/>
      <c r="E555" s="102" t="n"/>
      <c r="F555" s="102" t="n"/>
      <c r="G555" s="102" t="n"/>
      <c r="H555" s="102"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c r="AA555" s="102" t="n"/>
    </row>
    <row r="556" ht="15.75" customHeight="1" s="205">
      <c r="A556" s="199" t="n"/>
      <c r="B556" s="102" t="n"/>
      <c r="C556" s="102" t="n"/>
      <c r="D556" s="102" t="n"/>
      <c r="E556" s="102" t="n"/>
      <c r="F556" s="102" t="n"/>
      <c r="G556" s="102" t="n"/>
      <c r="H556" s="102"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c r="AA556" s="102" t="n"/>
    </row>
    <row r="557" ht="15.75" customHeight="1" s="205">
      <c r="A557" s="199" t="n"/>
      <c r="B557" s="102" t="n"/>
      <c r="C557" s="102" t="n"/>
      <c r="D557" s="102" t="n"/>
      <c r="E557" s="102" t="n"/>
      <c r="F557" s="102" t="n"/>
      <c r="G557" s="102" t="n"/>
      <c r="H557" s="102"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c r="AA557" s="102" t="n"/>
    </row>
    <row r="558" ht="15.75" customHeight="1" s="205">
      <c r="A558" s="199" t="n"/>
      <c r="B558" s="102" t="n"/>
      <c r="C558" s="102" t="n"/>
      <c r="D558" s="102" t="n"/>
      <c r="E558" s="102" t="n"/>
      <c r="F558" s="102" t="n"/>
      <c r="G558" s="102" t="n"/>
      <c r="H558" s="102"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c r="AA558" s="102" t="n"/>
    </row>
    <row r="559" ht="15.75" customHeight="1" s="205">
      <c r="A559" s="199" t="n"/>
      <c r="B559" s="102" t="n"/>
      <c r="C559" s="102" t="n"/>
      <c r="D559" s="102" t="n"/>
      <c r="E559" s="102" t="n"/>
      <c r="F559" s="102" t="n"/>
      <c r="G559" s="102" t="n"/>
      <c r="H559" s="102"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c r="AA559" s="102" t="n"/>
    </row>
    <row r="560" ht="15.75" customHeight="1" s="205">
      <c r="A560" s="199" t="n"/>
      <c r="B560" s="102" t="n"/>
      <c r="C560" s="102" t="n"/>
      <c r="D560" s="102" t="n"/>
      <c r="E560" s="102" t="n"/>
      <c r="F560" s="102" t="n"/>
      <c r="G560" s="102" t="n"/>
      <c r="H560" s="102"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c r="AA560" s="102" t="n"/>
    </row>
    <row r="561" ht="15.75" customHeight="1" s="205">
      <c r="A561" s="199" t="n"/>
      <c r="B561" s="102" t="n"/>
      <c r="C561" s="102" t="n"/>
      <c r="D561" s="102" t="n"/>
      <c r="E561" s="102" t="n"/>
      <c r="F561" s="102" t="n"/>
      <c r="G561" s="102" t="n"/>
      <c r="H561" s="102"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c r="AA561" s="102" t="n"/>
    </row>
    <row r="562" ht="15.75" customHeight="1" s="205">
      <c r="A562" s="199" t="n"/>
      <c r="B562" s="102" t="n"/>
      <c r="C562" s="102" t="n"/>
      <c r="D562" s="102" t="n"/>
      <c r="E562" s="102" t="n"/>
      <c r="F562" s="102" t="n"/>
      <c r="G562" s="102" t="n"/>
      <c r="H562" s="102"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c r="AA562" s="102" t="n"/>
    </row>
    <row r="563" ht="15.75" customHeight="1" s="205">
      <c r="A563" s="199" t="n"/>
      <c r="B563" s="102" t="n"/>
      <c r="C563" s="102" t="n"/>
      <c r="D563" s="102" t="n"/>
      <c r="E563" s="102" t="n"/>
      <c r="F563" s="102" t="n"/>
      <c r="G563" s="102" t="n"/>
      <c r="H563" s="102"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c r="AA563" s="102" t="n"/>
    </row>
    <row r="564" ht="15.75" customHeight="1" s="205">
      <c r="A564" s="199" t="n"/>
      <c r="B564" s="102" t="n"/>
      <c r="C564" s="102" t="n"/>
      <c r="D564" s="102" t="n"/>
      <c r="E564" s="102" t="n"/>
      <c r="F564" s="102" t="n"/>
      <c r="G564" s="102" t="n"/>
      <c r="H564" s="102"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c r="AA564" s="102" t="n"/>
    </row>
    <row r="565" ht="15.75" customHeight="1" s="205">
      <c r="A565" s="199" t="n"/>
      <c r="B565" s="102" t="n"/>
      <c r="C565" s="102" t="n"/>
      <c r="D565" s="102" t="n"/>
      <c r="E565" s="102" t="n"/>
      <c r="F565" s="102" t="n"/>
      <c r="G565" s="102" t="n"/>
      <c r="H565" s="102"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c r="AA565" s="102" t="n"/>
    </row>
    <row r="566" ht="15.75" customHeight="1" s="205">
      <c r="A566" s="199" t="n"/>
      <c r="B566" s="102" t="n"/>
      <c r="C566" s="102" t="n"/>
      <c r="D566" s="102" t="n"/>
      <c r="E566" s="102" t="n"/>
      <c r="F566" s="102" t="n"/>
      <c r="G566" s="102" t="n"/>
      <c r="H566" s="102"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c r="AA566" s="102" t="n"/>
    </row>
    <row r="567" ht="15.75" customHeight="1" s="205">
      <c r="A567" s="199" t="n"/>
      <c r="B567" s="102" t="n"/>
      <c r="C567" s="102" t="n"/>
      <c r="D567" s="102" t="n"/>
      <c r="E567" s="102" t="n"/>
      <c r="F567" s="102" t="n"/>
      <c r="G567" s="102" t="n"/>
      <c r="H567" s="102"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c r="AA567" s="102" t="n"/>
    </row>
    <row r="568" ht="15.75" customHeight="1" s="205">
      <c r="A568" s="199" t="n"/>
      <c r="B568" s="102" t="n"/>
      <c r="C568" s="102" t="n"/>
      <c r="D568" s="102" t="n"/>
      <c r="E568" s="102" t="n"/>
      <c r="F568" s="102" t="n"/>
      <c r="G568" s="102" t="n"/>
      <c r="H568" s="102"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c r="AA568" s="102" t="n"/>
    </row>
    <row r="569" ht="15.75" customHeight="1" s="205">
      <c r="A569" s="199" t="n"/>
      <c r="B569" s="102" t="n"/>
      <c r="C569" s="102" t="n"/>
      <c r="D569" s="102" t="n"/>
      <c r="E569" s="102" t="n"/>
      <c r="F569" s="102" t="n"/>
      <c r="G569" s="102" t="n"/>
      <c r="H569" s="102"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c r="AA569" s="102" t="n"/>
    </row>
    <row r="570" ht="15.75" customHeight="1" s="205">
      <c r="A570" s="199" t="n"/>
      <c r="B570" s="102" t="n"/>
      <c r="C570" s="102" t="n"/>
      <c r="D570" s="102" t="n"/>
      <c r="E570" s="102" t="n"/>
      <c r="F570" s="102" t="n"/>
      <c r="G570" s="102" t="n"/>
      <c r="H570" s="102"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c r="AA570" s="102" t="n"/>
    </row>
    <row r="571" ht="15.75" customHeight="1" s="205">
      <c r="A571" s="199" t="n"/>
      <c r="B571" s="102" t="n"/>
      <c r="C571" s="102" t="n"/>
      <c r="D571" s="102" t="n"/>
      <c r="E571" s="102" t="n"/>
      <c r="F571" s="102" t="n"/>
      <c r="G571" s="102" t="n"/>
      <c r="H571" s="102"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c r="AA571" s="102" t="n"/>
    </row>
    <row r="572" ht="15.75" customHeight="1" s="205">
      <c r="A572" s="199" t="n"/>
      <c r="B572" s="102" t="n"/>
      <c r="C572" s="102" t="n"/>
      <c r="D572" s="102" t="n"/>
      <c r="E572" s="102" t="n"/>
      <c r="F572" s="102" t="n"/>
      <c r="G572" s="102" t="n"/>
      <c r="H572" s="102"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c r="AA572" s="102" t="n"/>
    </row>
    <row r="573" ht="15.75" customHeight="1" s="205">
      <c r="A573" s="199" t="n"/>
      <c r="B573" s="102" t="n"/>
      <c r="C573" s="102" t="n"/>
      <c r="D573" s="102" t="n"/>
      <c r="E573" s="102" t="n"/>
      <c r="F573" s="102" t="n"/>
      <c r="G573" s="102" t="n"/>
      <c r="H573" s="102"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c r="AA573" s="102" t="n"/>
    </row>
    <row r="574" ht="15.75" customHeight="1" s="205">
      <c r="A574" s="199" t="n"/>
      <c r="B574" s="102" t="n"/>
      <c r="C574" s="102" t="n"/>
      <c r="D574" s="102" t="n"/>
      <c r="E574" s="102" t="n"/>
      <c r="F574" s="102" t="n"/>
      <c r="G574" s="102" t="n"/>
      <c r="H574" s="102"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c r="AA574" s="102" t="n"/>
    </row>
    <row r="575" ht="15.75" customHeight="1" s="205">
      <c r="A575" s="199" t="n"/>
      <c r="B575" s="102" t="n"/>
      <c r="C575" s="102" t="n"/>
      <c r="D575" s="102" t="n"/>
      <c r="E575" s="102" t="n"/>
      <c r="F575" s="102" t="n"/>
      <c r="G575" s="102" t="n"/>
      <c r="H575" s="102"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c r="AA575" s="102" t="n"/>
    </row>
    <row r="576" ht="15.75" customHeight="1" s="205">
      <c r="A576" s="199" t="n"/>
      <c r="B576" s="102" t="n"/>
      <c r="C576" s="102" t="n"/>
      <c r="D576" s="102" t="n"/>
      <c r="E576" s="102" t="n"/>
      <c r="F576" s="102" t="n"/>
      <c r="G576" s="102" t="n"/>
      <c r="H576" s="102"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c r="AA576" s="102" t="n"/>
    </row>
    <row r="577" ht="15.75" customHeight="1" s="205">
      <c r="A577" s="199" t="n"/>
      <c r="B577" s="102" t="n"/>
      <c r="C577" s="102" t="n"/>
      <c r="D577" s="102" t="n"/>
      <c r="E577" s="102" t="n"/>
      <c r="F577" s="102" t="n"/>
      <c r="G577" s="102" t="n"/>
      <c r="H577" s="102"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c r="AA577" s="102" t="n"/>
    </row>
    <row r="578" ht="15.75" customHeight="1" s="205">
      <c r="A578" s="199" t="n"/>
      <c r="B578" s="102" t="n"/>
      <c r="C578" s="102" t="n"/>
      <c r="D578" s="102" t="n"/>
      <c r="E578" s="102" t="n"/>
      <c r="F578" s="102" t="n"/>
      <c r="G578" s="102" t="n"/>
      <c r="H578" s="102"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c r="AA578" s="102" t="n"/>
    </row>
    <row r="579" ht="15.75" customHeight="1" s="205">
      <c r="A579" s="199" t="n"/>
      <c r="B579" s="102" t="n"/>
      <c r="C579" s="102" t="n"/>
      <c r="D579" s="102" t="n"/>
      <c r="E579" s="102" t="n"/>
      <c r="F579" s="102" t="n"/>
      <c r="G579" s="102" t="n"/>
      <c r="H579" s="102"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c r="AA579" s="102" t="n"/>
    </row>
    <row r="580" ht="15.75" customHeight="1" s="205">
      <c r="A580" s="199" t="n"/>
      <c r="B580" s="102" t="n"/>
      <c r="C580" s="102" t="n"/>
      <c r="D580" s="102" t="n"/>
      <c r="E580" s="102" t="n"/>
      <c r="F580" s="102" t="n"/>
      <c r="G580" s="102" t="n"/>
      <c r="H580" s="102"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c r="AA580" s="102" t="n"/>
    </row>
    <row r="581" ht="15.75" customHeight="1" s="205">
      <c r="A581" s="199" t="n"/>
      <c r="B581" s="102" t="n"/>
      <c r="C581" s="102" t="n"/>
      <c r="D581" s="102" t="n"/>
      <c r="E581" s="102" t="n"/>
      <c r="F581" s="102" t="n"/>
      <c r="G581" s="102" t="n"/>
      <c r="H581" s="102"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c r="AA581" s="102" t="n"/>
    </row>
    <row r="582" ht="15.75" customHeight="1" s="205">
      <c r="A582" s="199" t="n"/>
      <c r="B582" s="102" t="n"/>
      <c r="C582" s="102" t="n"/>
      <c r="D582" s="102" t="n"/>
      <c r="E582" s="102" t="n"/>
      <c r="F582" s="102" t="n"/>
      <c r="G582" s="102" t="n"/>
      <c r="H582" s="102"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c r="AA582" s="102" t="n"/>
    </row>
    <row r="583" ht="15.75" customHeight="1" s="205">
      <c r="A583" s="199" t="n"/>
      <c r="B583" s="102" t="n"/>
      <c r="C583" s="102" t="n"/>
      <c r="D583" s="102" t="n"/>
      <c r="E583" s="102" t="n"/>
      <c r="F583" s="102" t="n"/>
      <c r="G583" s="102" t="n"/>
      <c r="H583" s="102"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c r="AA583" s="102" t="n"/>
    </row>
    <row r="584" ht="15.75" customHeight="1" s="205">
      <c r="A584" s="199" t="n"/>
      <c r="B584" s="102" t="n"/>
      <c r="C584" s="102" t="n"/>
      <c r="D584" s="102" t="n"/>
      <c r="E584" s="102" t="n"/>
      <c r="F584" s="102" t="n"/>
      <c r="G584" s="102" t="n"/>
      <c r="H584" s="102"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c r="AA584" s="102" t="n"/>
    </row>
    <row r="585" ht="15.75" customHeight="1" s="205">
      <c r="A585" s="199" t="n"/>
      <c r="B585" s="102" t="n"/>
      <c r="C585" s="102" t="n"/>
      <c r="D585" s="102" t="n"/>
      <c r="E585" s="102" t="n"/>
      <c r="F585" s="102" t="n"/>
      <c r="G585" s="102" t="n"/>
      <c r="H585" s="102"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c r="AA585" s="102" t="n"/>
    </row>
    <row r="586" ht="15.75" customHeight="1" s="205">
      <c r="A586" s="199" t="n"/>
      <c r="B586" s="102" t="n"/>
      <c r="C586" s="102" t="n"/>
      <c r="D586" s="102" t="n"/>
      <c r="E586" s="102" t="n"/>
      <c r="F586" s="102" t="n"/>
      <c r="G586" s="102" t="n"/>
      <c r="H586" s="102"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c r="AA586" s="102" t="n"/>
    </row>
    <row r="587" ht="15.75" customHeight="1" s="205">
      <c r="A587" s="199" t="n"/>
      <c r="B587" s="102" t="n"/>
      <c r="C587" s="102" t="n"/>
      <c r="D587" s="102" t="n"/>
      <c r="E587" s="102" t="n"/>
      <c r="F587" s="102" t="n"/>
      <c r="G587" s="102" t="n"/>
      <c r="H587" s="102"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c r="AA587" s="102" t="n"/>
    </row>
    <row r="588" ht="15.75" customHeight="1" s="205">
      <c r="A588" s="199" t="n"/>
      <c r="B588" s="102" t="n"/>
      <c r="C588" s="102" t="n"/>
      <c r="D588" s="102" t="n"/>
      <c r="E588" s="102" t="n"/>
      <c r="F588" s="102" t="n"/>
      <c r="G588" s="102" t="n"/>
      <c r="H588" s="102"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c r="AA588" s="102" t="n"/>
    </row>
    <row r="589" ht="15.75" customHeight="1" s="205">
      <c r="A589" s="199" t="n"/>
      <c r="B589" s="102" t="n"/>
      <c r="C589" s="102" t="n"/>
      <c r="D589" s="102" t="n"/>
      <c r="E589" s="102" t="n"/>
      <c r="F589" s="102" t="n"/>
      <c r="G589" s="102" t="n"/>
      <c r="H589" s="102"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c r="AA589" s="102" t="n"/>
    </row>
    <row r="590" ht="15.75" customHeight="1" s="205">
      <c r="A590" s="199" t="n"/>
      <c r="B590" s="102" t="n"/>
      <c r="C590" s="102" t="n"/>
      <c r="D590" s="102" t="n"/>
      <c r="E590" s="102" t="n"/>
      <c r="F590" s="102" t="n"/>
      <c r="G590" s="102" t="n"/>
      <c r="H590" s="102"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c r="AA590" s="102" t="n"/>
    </row>
    <row r="591" ht="15.75" customHeight="1" s="205">
      <c r="A591" s="199" t="n"/>
      <c r="B591" s="102" t="n"/>
      <c r="C591" s="102" t="n"/>
      <c r="D591" s="102" t="n"/>
      <c r="E591" s="102" t="n"/>
      <c r="F591" s="102" t="n"/>
      <c r="G591" s="102" t="n"/>
      <c r="H591" s="102"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c r="AA591" s="102" t="n"/>
    </row>
    <row r="592" ht="15.75" customHeight="1" s="205">
      <c r="A592" s="199" t="n"/>
      <c r="B592" s="102" t="n"/>
      <c r="C592" s="102" t="n"/>
      <c r="D592" s="102" t="n"/>
      <c r="E592" s="102" t="n"/>
      <c r="F592" s="102" t="n"/>
      <c r="G592" s="102" t="n"/>
      <c r="H592" s="102"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c r="AA592" s="102" t="n"/>
    </row>
    <row r="593" ht="15.75" customHeight="1" s="205">
      <c r="A593" s="199" t="n"/>
      <c r="B593" s="102" t="n"/>
      <c r="C593" s="102" t="n"/>
      <c r="D593" s="102" t="n"/>
      <c r="E593" s="102" t="n"/>
      <c r="F593" s="102" t="n"/>
      <c r="G593" s="102" t="n"/>
      <c r="H593" s="102"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c r="AA593" s="102" t="n"/>
    </row>
    <row r="594" ht="15.75" customHeight="1" s="205">
      <c r="A594" s="199" t="n"/>
      <c r="B594" s="102" t="n"/>
      <c r="C594" s="102" t="n"/>
      <c r="D594" s="102" t="n"/>
      <c r="E594" s="102" t="n"/>
      <c r="F594" s="102" t="n"/>
      <c r="G594" s="102" t="n"/>
      <c r="H594" s="102"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c r="AA594" s="102" t="n"/>
    </row>
    <row r="595" ht="15.75" customHeight="1" s="205">
      <c r="A595" s="199" t="n"/>
      <c r="B595" s="102" t="n"/>
      <c r="C595" s="102" t="n"/>
      <c r="D595" s="102" t="n"/>
      <c r="E595" s="102" t="n"/>
      <c r="F595" s="102" t="n"/>
      <c r="G595" s="102" t="n"/>
      <c r="H595" s="102"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c r="AA595" s="102" t="n"/>
    </row>
    <row r="596" ht="15.75" customHeight="1" s="205">
      <c r="A596" s="199" t="n"/>
      <c r="B596" s="102" t="n"/>
      <c r="C596" s="102" t="n"/>
      <c r="D596" s="102" t="n"/>
      <c r="E596" s="102" t="n"/>
      <c r="F596" s="102" t="n"/>
      <c r="G596" s="102" t="n"/>
      <c r="H596" s="102"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c r="AA596" s="102" t="n"/>
    </row>
    <row r="597" ht="15.75" customHeight="1" s="205">
      <c r="A597" s="199" t="n"/>
      <c r="B597" s="102" t="n"/>
      <c r="C597" s="102" t="n"/>
      <c r="D597" s="102" t="n"/>
      <c r="E597" s="102" t="n"/>
      <c r="F597" s="102" t="n"/>
      <c r="G597" s="102" t="n"/>
      <c r="H597" s="102"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c r="AA597" s="102" t="n"/>
    </row>
    <row r="598" ht="15.75" customHeight="1" s="205">
      <c r="A598" s="199" t="n"/>
      <c r="B598" s="102" t="n"/>
      <c r="C598" s="102" t="n"/>
      <c r="D598" s="102" t="n"/>
      <c r="E598" s="102" t="n"/>
      <c r="F598" s="102" t="n"/>
      <c r="G598" s="102" t="n"/>
      <c r="H598" s="102"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c r="AA598" s="102" t="n"/>
    </row>
    <row r="599" ht="15.75" customHeight="1" s="205">
      <c r="A599" s="199" t="n"/>
      <c r="B599" s="102" t="n"/>
      <c r="C599" s="102" t="n"/>
      <c r="D599" s="102" t="n"/>
      <c r="E599" s="102" t="n"/>
      <c r="F599" s="102" t="n"/>
      <c r="G599" s="102" t="n"/>
      <c r="H599" s="102"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c r="AA599" s="102" t="n"/>
    </row>
    <row r="600" ht="15.75" customHeight="1" s="205">
      <c r="A600" s="199" t="n"/>
      <c r="B600" s="102" t="n"/>
      <c r="C600" s="102" t="n"/>
      <c r="D600" s="102" t="n"/>
      <c r="E600" s="102" t="n"/>
      <c r="F600" s="102" t="n"/>
      <c r="G600" s="102" t="n"/>
      <c r="H600" s="102"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c r="AA600" s="102" t="n"/>
    </row>
    <row r="601" ht="15.75" customHeight="1" s="205">
      <c r="A601" s="199" t="n"/>
      <c r="B601" s="102" t="n"/>
      <c r="C601" s="102" t="n"/>
      <c r="D601" s="102" t="n"/>
      <c r="E601" s="102" t="n"/>
      <c r="F601" s="102" t="n"/>
      <c r="G601" s="102" t="n"/>
      <c r="H601" s="102"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c r="AA601" s="102" t="n"/>
    </row>
    <row r="602" ht="15.75" customHeight="1" s="205">
      <c r="A602" s="199" t="n"/>
      <c r="B602" s="102" t="n"/>
      <c r="C602" s="102" t="n"/>
      <c r="D602" s="102" t="n"/>
      <c r="E602" s="102" t="n"/>
      <c r="F602" s="102" t="n"/>
      <c r="G602" s="102" t="n"/>
      <c r="H602" s="102"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c r="AA602" s="102" t="n"/>
    </row>
    <row r="603" ht="15.75" customHeight="1" s="205">
      <c r="A603" s="199" t="n"/>
      <c r="B603" s="102" t="n"/>
      <c r="C603" s="102" t="n"/>
      <c r="D603" s="102" t="n"/>
      <c r="E603" s="102" t="n"/>
      <c r="F603" s="102" t="n"/>
      <c r="G603" s="102" t="n"/>
      <c r="H603" s="102"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c r="AA603" s="102" t="n"/>
    </row>
    <row r="604" ht="15.75" customHeight="1" s="205">
      <c r="A604" s="199" t="n"/>
      <c r="B604" s="102" t="n"/>
      <c r="C604" s="102" t="n"/>
      <c r="D604" s="102" t="n"/>
      <c r="E604" s="102" t="n"/>
      <c r="F604" s="102" t="n"/>
      <c r="G604" s="102" t="n"/>
      <c r="H604" s="102"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c r="AA604" s="102" t="n"/>
    </row>
    <row r="605" ht="15.75" customHeight="1" s="205">
      <c r="A605" s="199" t="n"/>
      <c r="B605" s="102" t="n"/>
      <c r="C605" s="102" t="n"/>
      <c r="D605" s="102" t="n"/>
      <c r="E605" s="102" t="n"/>
      <c r="F605" s="102" t="n"/>
      <c r="G605" s="102" t="n"/>
      <c r="H605" s="102"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c r="AA605" s="102" t="n"/>
    </row>
    <row r="606" ht="15.75" customHeight="1" s="205">
      <c r="A606" s="199" t="n"/>
      <c r="B606" s="102" t="n"/>
      <c r="C606" s="102" t="n"/>
      <c r="D606" s="102" t="n"/>
      <c r="E606" s="102" t="n"/>
      <c r="F606" s="102" t="n"/>
      <c r="G606" s="102" t="n"/>
      <c r="H606" s="102"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c r="AA606" s="102" t="n"/>
    </row>
    <row r="607" ht="15.75" customHeight="1" s="205">
      <c r="A607" s="199" t="n"/>
      <c r="B607" s="102" t="n"/>
      <c r="C607" s="102" t="n"/>
      <c r="D607" s="102" t="n"/>
      <c r="E607" s="102" t="n"/>
      <c r="F607" s="102" t="n"/>
      <c r="G607" s="102" t="n"/>
      <c r="H607" s="102"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c r="AA607" s="102" t="n"/>
    </row>
    <row r="608" ht="15.75" customHeight="1" s="205">
      <c r="A608" s="199" t="n"/>
      <c r="B608" s="102" t="n"/>
      <c r="C608" s="102" t="n"/>
      <c r="D608" s="102" t="n"/>
      <c r="E608" s="102" t="n"/>
      <c r="F608" s="102" t="n"/>
      <c r="G608" s="102" t="n"/>
      <c r="H608" s="102"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c r="AA608" s="102" t="n"/>
    </row>
    <row r="609" ht="15.75" customHeight="1" s="205">
      <c r="A609" s="199" t="n"/>
      <c r="B609" s="102" t="n"/>
      <c r="C609" s="102" t="n"/>
      <c r="D609" s="102" t="n"/>
      <c r="E609" s="102" t="n"/>
      <c r="F609" s="102" t="n"/>
      <c r="G609" s="102" t="n"/>
      <c r="H609" s="102"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c r="AA609" s="102" t="n"/>
    </row>
    <row r="610" ht="15.75" customHeight="1" s="205">
      <c r="A610" s="199" t="n"/>
      <c r="B610" s="102" t="n"/>
      <c r="C610" s="102" t="n"/>
      <c r="D610" s="102" t="n"/>
      <c r="E610" s="102" t="n"/>
      <c r="F610" s="102" t="n"/>
      <c r="G610" s="102" t="n"/>
      <c r="H610" s="102"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c r="AA610" s="102" t="n"/>
    </row>
    <row r="611" ht="15.75" customHeight="1" s="205">
      <c r="A611" s="199" t="n"/>
      <c r="B611" s="102" t="n"/>
      <c r="C611" s="102" t="n"/>
      <c r="D611" s="102" t="n"/>
      <c r="E611" s="102" t="n"/>
      <c r="F611" s="102" t="n"/>
      <c r="G611" s="102" t="n"/>
      <c r="H611" s="102"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c r="AA611" s="102" t="n"/>
    </row>
    <row r="612" ht="15.75" customHeight="1" s="205">
      <c r="A612" s="199" t="n"/>
      <c r="B612" s="102" t="n"/>
      <c r="C612" s="102" t="n"/>
      <c r="D612" s="102" t="n"/>
      <c r="E612" s="102" t="n"/>
      <c r="F612" s="102" t="n"/>
      <c r="G612" s="102" t="n"/>
      <c r="H612" s="102"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c r="AA612" s="102" t="n"/>
    </row>
    <row r="613" ht="15.75" customHeight="1" s="205">
      <c r="A613" s="199" t="n"/>
      <c r="B613" s="102" t="n"/>
      <c r="C613" s="102" t="n"/>
      <c r="D613" s="102" t="n"/>
      <c r="E613" s="102" t="n"/>
      <c r="F613" s="102" t="n"/>
      <c r="G613" s="102" t="n"/>
      <c r="H613" s="102"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c r="AA613" s="102" t="n"/>
    </row>
    <row r="614" ht="15.75" customHeight="1" s="205">
      <c r="A614" s="199" t="n"/>
      <c r="B614" s="102" t="n"/>
      <c r="C614" s="102" t="n"/>
      <c r="D614" s="102" t="n"/>
      <c r="E614" s="102" t="n"/>
      <c r="F614" s="102" t="n"/>
      <c r="G614" s="102" t="n"/>
      <c r="H614" s="102"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c r="AA614" s="102" t="n"/>
    </row>
    <row r="615" ht="15.75" customHeight="1" s="205">
      <c r="A615" s="199" t="n"/>
      <c r="B615" s="102" t="n"/>
      <c r="C615" s="102" t="n"/>
      <c r="D615" s="102" t="n"/>
      <c r="E615" s="102" t="n"/>
      <c r="F615" s="102" t="n"/>
      <c r="G615" s="102" t="n"/>
      <c r="H615" s="102"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c r="AA615" s="102" t="n"/>
    </row>
    <row r="616" ht="15.75" customHeight="1" s="205">
      <c r="A616" s="199" t="n"/>
      <c r="B616" s="102" t="n"/>
      <c r="C616" s="102" t="n"/>
      <c r="D616" s="102" t="n"/>
      <c r="E616" s="102" t="n"/>
      <c r="F616" s="102" t="n"/>
      <c r="G616" s="102" t="n"/>
      <c r="H616" s="102"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c r="AA616" s="102" t="n"/>
    </row>
    <row r="617" ht="15.75" customHeight="1" s="205">
      <c r="A617" s="199" t="n"/>
      <c r="B617" s="102" t="n"/>
      <c r="C617" s="102" t="n"/>
      <c r="D617" s="102" t="n"/>
      <c r="E617" s="102" t="n"/>
      <c r="F617" s="102" t="n"/>
      <c r="G617" s="102" t="n"/>
      <c r="H617" s="102"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c r="AA617" s="102" t="n"/>
    </row>
    <row r="618" ht="15.75" customHeight="1" s="205">
      <c r="A618" s="199" t="n"/>
      <c r="B618" s="102" t="n"/>
      <c r="C618" s="102" t="n"/>
      <c r="D618" s="102" t="n"/>
      <c r="E618" s="102" t="n"/>
      <c r="F618" s="102" t="n"/>
      <c r="G618" s="102" t="n"/>
      <c r="H618" s="102"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c r="AA618" s="102" t="n"/>
    </row>
    <row r="619" ht="15.75" customHeight="1" s="205">
      <c r="A619" s="199" t="n"/>
      <c r="B619" s="102" t="n"/>
      <c r="C619" s="102" t="n"/>
      <c r="D619" s="102" t="n"/>
      <c r="E619" s="102" t="n"/>
      <c r="F619" s="102" t="n"/>
      <c r="G619" s="102" t="n"/>
      <c r="H619" s="102"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c r="AA619" s="102" t="n"/>
    </row>
    <row r="620" ht="15.75" customHeight="1" s="205">
      <c r="A620" s="199" t="n"/>
      <c r="B620" s="102" t="n"/>
      <c r="C620" s="102" t="n"/>
      <c r="D620" s="102" t="n"/>
      <c r="E620" s="102" t="n"/>
      <c r="F620" s="102" t="n"/>
      <c r="G620" s="102" t="n"/>
      <c r="H620" s="102"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c r="AA620" s="102" t="n"/>
    </row>
    <row r="621" ht="15.75" customHeight="1" s="205">
      <c r="A621" s="199" t="n"/>
      <c r="B621" s="102" t="n"/>
      <c r="C621" s="102" t="n"/>
      <c r="D621" s="102" t="n"/>
      <c r="E621" s="102" t="n"/>
      <c r="F621" s="102" t="n"/>
      <c r="G621" s="102" t="n"/>
      <c r="H621" s="102"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c r="AA621" s="102" t="n"/>
    </row>
    <row r="622" ht="15.75" customHeight="1" s="205">
      <c r="A622" s="199" t="n"/>
      <c r="B622" s="102" t="n"/>
      <c r="C622" s="102" t="n"/>
      <c r="D622" s="102" t="n"/>
      <c r="E622" s="102" t="n"/>
      <c r="F622" s="102" t="n"/>
      <c r="G622" s="102" t="n"/>
      <c r="H622" s="102"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c r="AA622" s="102" t="n"/>
    </row>
    <row r="623" ht="15.75" customHeight="1" s="205">
      <c r="A623" s="199" t="n"/>
      <c r="B623" s="102" t="n"/>
      <c r="C623" s="102" t="n"/>
      <c r="D623" s="102" t="n"/>
      <c r="E623" s="102" t="n"/>
      <c r="F623" s="102" t="n"/>
      <c r="G623" s="102" t="n"/>
      <c r="H623" s="102"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c r="AA623" s="102" t="n"/>
    </row>
    <row r="624" ht="15.75" customHeight="1" s="205">
      <c r="A624" s="199" t="n"/>
      <c r="B624" s="102" t="n"/>
      <c r="C624" s="102" t="n"/>
      <c r="D624" s="102" t="n"/>
      <c r="E624" s="102" t="n"/>
      <c r="F624" s="102" t="n"/>
      <c r="G624" s="102" t="n"/>
      <c r="H624" s="102"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c r="AA624" s="102" t="n"/>
    </row>
    <row r="625" ht="15.75" customHeight="1" s="205">
      <c r="A625" s="199" t="n"/>
      <c r="B625" s="102" t="n"/>
      <c r="C625" s="102" t="n"/>
      <c r="D625" s="102" t="n"/>
      <c r="E625" s="102" t="n"/>
      <c r="F625" s="102" t="n"/>
      <c r="G625" s="102" t="n"/>
      <c r="H625" s="102"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c r="AA625" s="102" t="n"/>
    </row>
    <row r="626" ht="15.75" customHeight="1" s="205">
      <c r="A626" s="199" t="n"/>
      <c r="B626" s="102" t="n"/>
      <c r="C626" s="102" t="n"/>
      <c r="D626" s="102" t="n"/>
      <c r="E626" s="102" t="n"/>
      <c r="F626" s="102" t="n"/>
      <c r="G626" s="102" t="n"/>
      <c r="H626" s="102"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c r="AA626" s="102" t="n"/>
    </row>
    <row r="627" ht="15.75" customHeight="1" s="205">
      <c r="A627" s="199" t="n"/>
      <c r="B627" s="102" t="n"/>
      <c r="C627" s="102" t="n"/>
      <c r="D627" s="102" t="n"/>
      <c r="E627" s="102" t="n"/>
      <c r="F627" s="102" t="n"/>
      <c r="G627" s="102" t="n"/>
      <c r="H627" s="102"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c r="AA627" s="102" t="n"/>
    </row>
    <row r="628" ht="15.75" customHeight="1" s="205">
      <c r="A628" s="199" t="n"/>
      <c r="B628" s="102" t="n"/>
      <c r="C628" s="102" t="n"/>
      <c r="D628" s="102" t="n"/>
      <c r="E628" s="102" t="n"/>
      <c r="F628" s="102" t="n"/>
      <c r="G628" s="102" t="n"/>
      <c r="H628" s="102"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c r="AA628" s="102" t="n"/>
    </row>
    <row r="629" ht="15.75" customHeight="1" s="205">
      <c r="A629" s="199" t="n"/>
      <c r="B629" s="102" t="n"/>
      <c r="C629" s="102" t="n"/>
      <c r="D629" s="102" t="n"/>
      <c r="E629" s="102" t="n"/>
      <c r="F629" s="102" t="n"/>
      <c r="G629" s="102" t="n"/>
      <c r="H629" s="102"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c r="AA629" s="102" t="n"/>
    </row>
    <row r="630" ht="15.75" customHeight="1" s="205">
      <c r="A630" s="199" t="n"/>
      <c r="B630" s="102" t="n"/>
      <c r="C630" s="102" t="n"/>
      <c r="D630" s="102" t="n"/>
      <c r="E630" s="102" t="n"/>
      <c r="F630" s="102" t="n"/>
      <c r="G630" s="102" t="n"/>
      <c r="H630" s="102"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c r="AA630" s="102" t="n"/>
    </row>
    <row r="631" ht="15.75" customHeight="1" s="205">
      <c r="A631" s="199" t="n"/>
      <c r="B631" s="102" t="n"/>
      <c r="C631" s="102" t="n"/>
      <c r="D631" s="102" t="n"/>
      <c r="E631" s="102" t="n"/>
      <c r="F631" s="102" t="n"/>
      <c r="G631" s="102" t="n"/>
      <c r="H631" s="102"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c r="AA631" s="102" t="n"/>
    </row>
    <row r="632" ht="15.75" customHeight="1" s="205">
      <c r="A632" s="199" t="n"/>
      <c r="B632" s="102" t="n"/>
      <c r="C632" s="102" t="n"/>
      <c r="D632" s="102" t="n"/>
      <c r="E632" s="102" t="n"/>
      <c r="F632" s="102" t="n"/>
      <c r="G632" s="102" t="n"/>
      <c r="H632" s="102"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c r="AA632" s="102" t="n"/>
    </row>
    <row r="633" ht="15.75" customHeight="1" s="205">
      <c r="A633" s="199" t="n"/>
      <c r="B633" s="102" t="n"/>
      <c r="C633" s="102" t="n"/>
      <c r="D633" s="102" t="n"/>
      <c r="E633" s="102" t="n"/>
      <c r="F633" s="102" t="n"/>
      <c r="G633" s="102" t="n"/>
      <c r="H633" s="102"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c r="AA633" s="102" t="n"/>
    </row>
    <row r="634" ht="15.75" customHeight="1" s="205">
      <c r="A634" s="199" t="n"/>
      <c r="B634" s="102" t="n"/>
      <c r="C634" s="102" t="n"/>
      <c r="D634" s="102" t="n"/>
      <c r="E634" s="102" t="n"/>
      <c r="F634" s="102" t="n"/>
      <c r="G634" s="102" t="n"/>
      <c r="H634" s="102"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c r="AA634" s="102" t="n"/>
    </row>
    <row r="635" ht="15.75" customHeight="1" s="205">
      <c r="A635" s="199" t="n"/>
      <c r="B635" s="102" t="n"/>
      <c r="C635" s="102" t="n"/>
      <c r="D635" s="102" t="n"/>
      <c r="E635" s="102" t="n"/>
      <c r="F635" s="102" t="n"/>
      <c r="G635" s="102" t="n"/>
      <c r="H635" s="102"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c r="AA635" s="102" t="n"/>
    </row>
    <row r="636" ht="15.75" customHeight="1" s="205">
      <c r="A636" s="199" t="n"/>
      <c r="B636" s="102" t="n"/>
      <c r="C636" s="102" t="n"/>
      <c r="D636" s="102" t="n"/>
      <c r="E636" s="102" t="n"/>
      <c r="F636" s="102" t="n"/>
      <c r="G636" s="102" t="n"/>
      <c r="H636" s="102"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c r="AA636" s="102" t="n"/>
    </row>
    <row r="637" ht="15.75" customHeight="1" s="205">
      <c r="A637" s="199" t="n"/>
      <c r="B637" s="102" t="n"/>
      <c r="C637" s="102" t="n"/>
      <c r="D637" s="102" t="n"/>
      <c r="E637" s="102" t="n"/>
      <c r="F637" s="102" t="n"/>
      <c r="G637" s="102" t="n"/>
      <c r="H637" s="102"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c r="AA637" s="102" t="n"/>
    </row>
    <row r="638" ht="15.75" customHeight="1" s="205">
      <c r="A638" s="199" t="n"/>
      <c r="B638" s="102" t="n"/>
      <c r="C638" s="102" t="n"/>
      <c r="D638" s="102" t="n"/>
      <c r="E638" s="102" t="n"/>
      <c r="F638" s="102" t="n"/>
      <c r="G638" s="102" t="n"/>
      <c r="H638" s="102"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c r="AA638" s="102" t="n"/>
    </row>
    <row r="639" ht="15.75" customHeight="1" s="205">
      <c r="A639" s="199" t="n"/>
      <c r="B639" s="102" t="n"/>
      <c r="C639" s="102" t="n"/>
      <c r="D639" s="102" t="n"/>
      <c r="E639" s="102" t="n"/>
      <c r="F639" s="102" t="n"/>
      <c r="G639" s="102" t="n"/>
      <c r="H639" s="102"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c r="AA639" s="102" t="n"/>
    </row>
    <row r="640" ht="15.75" customHeight="1" s="205">
      <c r="A640" s="199" t="n"/>
      <c r="B640" s="102" t="n"/>
      <c r="C640" s="102" t="n"/>
      <c r="D640" s="102" t="n"/>
      <c r="E640" s="102" t="n"/>
      <c r="F640" s="102" t="n"/>
      <c r="G640" s="102" t="n"/>
      <c r="H640" s="102"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c r="AA640" s="102" t="n"/>
    </row>
    <row r="641" ht="15.75" customHeight="1" s="205">
      <c r="A641" s="199" t="n"/>
      <c r="B641" s="102" t="n"/>
      <c r="C641" s="102" t="n"/>
      <c r="D641" s="102" t="n"/>
      <c r="E641" s="102" t="n"/>
      <c r="F641" s="102" t="n"/>
      <c r="G641" s="102" t="n"/>
      <c r="H641" s="102"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c r="AA641" s="102" t="n"/>
    </row>
    <row r="642" ht="15.75" customHeight="1" s="205">
      <c r="A642" s="199" t="n"/>
      <c r="B642" s="102" t="n"/>
      <c r="C642" s="102" t="n"/>
      <c r="D642" s="102" t="n"/>
      <c r="E642" s="102" t="n"/>
      <c r="F642" s="102" t="n"/>
      <c r="G642" s="102" t="n"/>
      <c r="H642" s="102"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c r="AA642" s="102" t="n"/>
    </row>
    <row r="643" ht="15.75" customHeight="1" s="205">
      <c r="A643" s="199" t="n"/>
      <c r="B643" s="102" t="n"/>
      <c r="C643" s="102" t="n"/>
      <c r="D643" s="102" t="n"/>
      <c r="E643" s="102" t="n"/>
      <c r="F643" s="102" t="n"/>
      <c r="G643" s="102" t="n"/>
      <c r="H643" s="102"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c r="AA643" s="102" t="n"/>
    </row>
    <row r="644" ht="15.75" customHeight="1" s="205">
      <c r="A644" s="199" t="n"/>
      <c r="B644" s="102" t="n"/>
      <c r="C644" s="102" t="n"/>
      <c r="D644" s="102" t="n"/>
      <c r="E644" s="102" t="n"/>
      <c r="F644" s="102" t="n"/>
      <c r="G644" s="102" t="n"/>
      <c r="H644" s="102"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c r="AA644" s="102" t="n"/>
    </row>
    <row r="645" ht="15.75" customHeight="1" s="205">
      <c r="A645" s="199" t="n"/>
      <c r="B645" s="102" t="n"/>
      <c r="C645" s="102" t="n"/>
      <c r="D645" s="102" t="n"/>
      <c r="E645" s="102" t="n"/>
      <c r="F645" s="102" t="n"/>
      <c r="G645" s="102" t="n"/>
      <c r="H645" s="102"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c r="AA645" s="102" t="n"/>
    </row>
    <row r="646" ht="15.75" customHeight="1" s="205">
      <c r="A646" s="199" t="n"/>
      <c r="B646" s="102" t="n"/>
      <c r="C646" s="102" t="n"/>
      <c r="D646" s="102" t="n"/>
      <c r="E646" s="102" t="n"/>
      <c r="F646" s="102" t="n"/>
      <c r="G646" s="102" t="n"/>
      <c r="H646" s="102"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c r="AA646" s="102" t="n"/>
    </row>
    <row r="647" ht="15.75" customHeight="1" s="205">
      <c r="A647" s="199" t="n"/>
      <c r="B647" s="102" t="n"/>
      <c r="C647" s="102" t="n"/>
      <c r="D647" s="102" t="n"/>
      <c r="E647" s="102" t="n"/>
      <c r="F647" s="102" t="n"/>
      <c r="G647" s="102" t="n"/>
      <c r="H647" s="102"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c r="AA647" s="102" t="n"/>
    </row>
    <row r="648" ht="15.75" customHeight="1" s="205">
      <c r="A648" s="199" t="n"/>
      <c r="B648" s="102" t="n"/>
      <c r="C648" s="102" t="n"/>
      <c r="D648" s="102" t="n"/>
      <c r="E648" s="102" t="n"/>
      <c r="F648" s="102" t="n"/>
      <c r="G648" s="102" t="n"/>
      <c r="H648" s="102"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c r="AA648" s="102" t="n"/>
    </row>
    <row r="649" ht="15.75" customHeight="1" s="205">
      <c r="A649" s="199" t="n"/>
      <c r="B649" s="102" t="n"/>
      <c r="C649" s="102" t="n"/>
      <c r="D649" s="102" t="n"/>
      <c r="E649" s="102" t="n"/>
      <c r="F649" s="102" t="n"/>
      <c r="G649" s="102" t="n"/>
      <c r="H649" s="102"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c r="AA649" s="102" t="n"/>
    </row>
    <row r="650" ht="15.75" customHeight="1" s="205">
      <c r="A650" s="199" t="n"/>
      <c r="B650" s="102" t="n"/>
      <c r="C650" s="102" t="n"/>
      <c r="D650" s="102" t="n"/>
      <c r="E650" s="102" t="n"/>
      <c r="F650" s="102" t="n"/>
      <c r="G650" s="102" t="n"/>
      <c r="H650" s="102"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c r="AA650" s="102" t="n"/>
    </row>
    <row r="651" ht="15.75" customHeight="1" s="205">
      <c r="A651" s="199" t="n"/>
      <c r="B651" s="102" t="n"/>
      <c r="C651" s="102" t="n"/>
      <c r="D651" s="102" t="n"/>
      <c r="E651" s="102" t="n"/>
      <c r="F651" s="102" t="n"/>
      <c r="G651" s="102" t="n"/>
      <c r="H651" s="102"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c r="AA651" s="102" t="n"/>
    </row>
    <row r="652" ht="15.75" customHeight="1" s="205">
      <c r="A652" s="199" t="n"/>
      <c r="B652" s="102" t="n"/>
      <c r="C652" s="102" t="n"/>
      <c r="D652" s="102" t="n"/>
      <c r="E652" s="102" t="n"/>
      <c r="F652" s="102" t="n"/>
      <c r="G652" s="102" t="n"/>
      <c r="H652" s="102"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c r="AA652" s="102" t="n"/>
    </row>
    <row r="653" ht="15.75" customHeight="1" s="205">
      <c r="A653" s="199" t="n"/>
      <c r="B653" s="102" t="n"/>
      <c r="C653" s="102" t="n"/>
      <c r="D653" s="102" t="n"/>
      <c r="E653" s="102" t="n"/>
      <c r="F653" s="102" t="n"/>
      <c r="G653" s="102" t="n"/>
      <c r="H653" s="102"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c r="AA653" s="102" t="n"/>
    </row>
    <row r="654" ht="15.75" customHeight="1" s="205">
      <c r="A654" s="199" t="n"/>
      <c r="B654" s="102" t="n"/>
      <c r="C654" s="102" t="n"/>
      <c r="D654" s="102" t="n"/>
      <c r="E654" s="102" t="n"/>
      <c r="F654" s="102" t="n"/>
      <c r="G654" s="102" t="n"/>
      <c r="H654" s="102"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c r="AA654" s="102" t="n"/>
    </row>
    <row r="655" ht="15.75" customHeight="1" s="205">
      <c r="A655" s="199" t="n"/>
      <c r="B655" s="102" t="n"/>
      <c r="C655" s="102" t="n"/>
      <c r="D655" s="102" t="n"/>
      <c r="E655" s="102" t="n"/>
      <c r="F655" s="102" t="n"/>
      <c r="G655" s="102" t="n"/>
      <c r="H655" s="102"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c r="AA655" s="102" t="n"/>
    </row>
    <row r="656" ht="15.75" customHeight="1" s="205">
      <c r="A656" s="199" t="n"/>
      <c r="B656" s="102" t="n"/>
      <c r="C656" s="102" t="n"/>
      <c r="D656" s="102" t="n"/>
      <c r="E656" s="102" t="n"/>
      <c r="F656" s="102" t="n"/>
      <c r="G656" s="102" t="n"/>
      <c r="H656" s="102"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c r="AA656" s="102" t="n"/>
    </row>
    <row r="657" ht="15.75" customHeight="1" s="205">
      <c r="A657" s="199" t="n"/>
      <c r="B657" s="102" t="n"/>
      <c r="C657" s="102" t="n"/>
      <c r="D657" s="102" t="n"/>
      <c r="E657" s="102" t="n"/>
      <c r="F657" s="102" t="n"/>
      <c r="G657" s="102" t="n"/>
      <c r="H657" s="102"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c r="AA657" s="102" t="n"/>
    </row>
    <row r="658" ht="15.75" customHeight="1" s="205">
      <c r="A658" s="199" t="n"/>
      <c r="B658" s="102" t="n"/>
      <c r="C658" s="102" t="n"/>
      <c r="D658" s="102" t="n"/>
      <c r="E658" s="102" t="n"/>
      <c r="F658" s="102" t="n"/>
      <c r="G658" s="102" t="n"/>
      <c r="H658" s="102"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c r="AA658" s="102" t="n"/>
    </row>
    <row r="659" ht="15.75" customHeight="1" s="205">
      <c r="A659" s="199" t="n"/>
      <c r="B659" s="102" t="n"/>
      <c r="C659" s="102" t="n"/>
      <c r="D659" s="102" t="n"/>
      <c r="E659" s="102" t="n"/>
      <c r="F659" s="102" t="n"/>
      <c r="G659" s="102" t="n"/>
      <c r="H659" s="102"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c r="AA659" s="102" t="n"/>
    </row>
    <row r="660" ht="15.75" customHeight="1" s="205">
      <c r="A660" s="199" t="n"/>
      <c r="B660" s="102" t="n"/>
      <c r="C660" s="102" t="n"/>
      <c r="D660" s="102" t="n"/>
      <c r="E660" s="102" t="n"/>
      <c r="F660" s="102" t="n"/>
      <c r="G660" s="102" t="n"/>
      <c r="H660" s="102"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c r="AA660" s="102" t="n"/>
    </row>
    <row r="661" ht="15.75" customHeight="1" s="205">
      <c r="A661" s="199" t="n"/>
      <c r="B661" s="102" t="n"/>
      <c r="C661" s="102" t="n"/>
      <c r="D661" s="102" t="n"/>
      <c r="E661" s="102" t="n"/>
      <c r="F661" s="102" t="n"/>
      <c r="G661" s="102" t="n"/>
      <c r="H661" s="102"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c r="AA661" s="102" t="n"/>
    </row>
    <row r="662" ht="15.75" customHeight="1" s="205">
      <c r="A662" s="199" t="n"/>
      <c r="B662" s="102" t="n"/>
      <c r="C662" s="102" t="n"/>
      <c r="D662" s="102" t="n"/>
      <c r="E662" s="102" t="n"/>
      <c r="F662" s="102" t="n"/>
      <c r="G662" s="102" t="n"/>
      <c r="H662" s="102"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c r="AA662" s="102" t="n"/>
    </row>
    <row r="663" ht="15.75" customHeight="1" s="205">
      <c r="A663" s="199" t="n"/>
      <c r="B663" s="102" t="n"/>
      <c r="C663" s="102" t="n"/>
      <c r="D663" s="102" t="n"/>
      <c r="E663" s="102" t="n"/>
      <c r="F663" s="102" t="n"/>
      <c r="G663" s="102" t="n"/>
      <c r="H663" s="102"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c r="AA663" s="102" t="n"/>
    </row>
    <row r="664" ht="15.75" customHeight="1" s="205">
      <c r="A664" s="199" t="n"/>
      <c r="B664" s="102" t="n"/>
      <c r="C664" s="102" t="n"/>
      <c r="D664" s="102" t="n"/>
      <c r="E664" s="102" t="n"/>
      <c r="F664" s="102" t="n"/>
      <c r="G664" s="102" t="n"/>
      <c r="H664" s="102"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c r="AA664" s="102" t="n"/>
    </row>
    <row r="665" ht="15.75" customHeight="1" s="205">
      <c r="A665" s="199" t="n"/>
      <c r="B665" s="102" t="n"/>
      <c r="C665" s="102" t="n"/>
      <c r="D665" s="102" t="n"/>
      <c r="E665" s="102" t="n"/>
      <c r="F665" s="102" t="n"/>
      <c r="G665" s="102" t="n"/>
      <c r="H665" s="102"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c r="AA665" s="102" t="n"/>
    </row>
    <row r="666" ht="15.75" customHeight="1" s="205">
      <c r="A666" s="199" t="n"/>
      <c r="B666" s="102" t="n"/>
      <c r="C666" s="102" t="n"/>
      <c r="D666" s="102" t="n"/>
      <c r="E666" s="102" t="n"/>
      <c r="F666" s="102" t="n"/>
      <c r="G666" s="102" t="n"/>
      <c r="H666" s="102"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c r="AA666" s="102" t="n"/>
    </row>
    <row r="667" ht="15.75" customHeight="1" s="205">
      <c r="A667" s="199" t="n"/>
      <c r="B667" s="102" t="n"/>
      <c r="C667" s="102" t="n"/>
      <c r="D667" s="102" t="n"/>
      <c r="E667" s="102" t="n"/>
      <c r="F667" s="102" t="n"/>
      <c r="G667" s="102" t="n"/>
      <c r="H667" s="102"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c r="AA667" s="102" t="n"/>
    </row>
    <row r="668" ht="15.75" customHeight="1" s="205">
      <c r="A668" s="199" t="n"/>
      <c r="B668" s="102" t="n"/>
      <c r="C668" s="102" t="n"/>
      <c r="D668" s="102" t="n"/>
      <c r="E668" s="102" t="n"/>
      <c r="F668" s="102" t="n"/>
      <c r="G668" s="102" t="n"/>
      <c r="H668" s="102"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c r="AA668" s="102" t="n"/>
    </row>
    <row r="669" ht="15.75" customHeight="1" s="205">
      <c r="A669" s="199" t="n"/>
      <c r="B669" s="102" t="n"/>
      <c r="C669" s="102" t="n"/>
      <c r="D669" s="102" t="n"/>
      <c r="E669" s="102" t="n"/>
      <c r="F669" s="102" t="n"/>
      <c r="G669" s="102" t="n"/>
      <c r="H669" s="102"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c r="AA669" s="102" t="n"/>
    </row>
    <row r="670" ht="15.75" customHeight="1" s="205">
      <c r="A670" s="199" t="n"/>
      <c r="B670" s="102" t="n"/>
      <c r="C670" s="102" t="n"/>
      <c r="D670" s="102" t="n"/>
      <c r="E670" s="102" t="n"/>
      <c r="F670" s="102" t="n"/>
      <c r="G670" s="102" t="n"/>
      <c r="H670" s="102"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c r="AA670" s="102" t="n"/>
    </row>
    <row r="671" ht="15.75" customHeight="1" s="205">
      <c r="A671" s="199" t="n"/>
      <c r="B671" s="102" t="n"/>
      <c r="C671" s="102" t="n"/>
      <c r="D671" s="102" t="n"/>
      <c r="E671" s="102" t="n"/>
      <c r="F671" s="102" t="n"/>
      <c r="G671" s="102" t="n"/>
      <c r="H671" s="102"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c r="AA671" s="102" t="n"/>
    </row>
    <row r="672" ht="15.75" customHeight="1" s="205">
      <c r="A672" s="199" t="n"/>
      <c r="B672" s="102" t="n"/>
      <c r="C672" s="102" t="n"/>
      <c r="D672" s="102" t="n"/>
      <c r="E672" s="102" t="n"/>
      <c r="F672" s="102" t="n"/>
      <c r="G672" s="102" t="n"/>
      <c r="H672" s="102"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c r="AA672" s="102" t="n"/>
    </row>
    <row r="673" ht="15.75" customHeight="1" s="205">
      <c r="A673" s="199" t="n"/>
      <c r="B673" s="102" t="n"/>
      <c r="C673" s="102" t="n"/>
      <c r="D673" s="102" t="n"/>
      <c r="E673" s="102" t="n"/>
      <c r="F673" s="102" t="n"/>
      <c r="G673" s="102" t="n"/>
      <c r="H673" s="102"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c r="AA673" s="102" t="n"/>
    </row>
    <row r="674" ht="15.75" customHeight="1" s="205">
      <c r="A674" s="199" t="n"/>
      <c r="B674" s="102" t="n"/>
      <c r="C674" s="102" t="n"/>
      <c r="D674" s="102" t="n"/>
      <c r="E674" s="102" t="n"/>
      <c r="F674" s="102" t="n"/>
      <c r="G674" s="102" t="n"/>
      <c r="H674" s="102"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c r="AA674" s="102" t="n"/>
    </row>
    <row r="675" ht="15.75" customHeight="1" s="205">
      <c r="A675" s="199" t="n"/>
      <c r="B675" s="102" t="n"/>
      <c r="C675" s="102" t="n"/>
      <c r="D675" s="102" t="n"/>
      <c r="E675" s="102" t="n"/>
      <c r="F675" s="102" t="n"/>
      <c r="G675" s="102" t="n"/>
      <c r="H675" s="102"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c r="AA675" s="102" t="n"/>
    </row>
    <row r="676" ht="15.75" customHeight="1" s="205">
      <c r="A676" s="199" t="n"/>
      <c r="B676" s="102" t="n"/>
      <c r="C676" s="102" t="n"/>
      <c r="D676" s="102" t="n"/>
      <c r="E676" s="102" t="n"/>
      <c r="F676" s="102" t="n"/>
      <c r="G676" s="102" t="n"/>
      <c r="H676" s="102"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c r="AA676" s="102" t="n"/>
    </row>
    <row r="677" ht="15.75" customHeight="1" s="205">
      <c r="A677" s="199" t="n"/>
      <c r="B677" s="102" t="n"/>
      <c r="C677" s="102" t="n"/>
      <c r="D677" s="102" t="n"/>
      <c r="E677" s="102" t="n"/>
      <c r="F677" s="102" t="n"/>
      <c r="G677" s="102" t="n"/>
      <c r="H677" s="102"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c r="AA677" s="102" t="n"/>
    </row>
    <row r="678" ht="15.75" customHeight="1" s="205">
      <c r="A678" s="199" t="n"/>
      <c r="B678" s="102" t="n"/>
      <c r="C678" s="102" t="n"/>
      <c r="D678" s="102" t="n"/>
      <c r="E678" s="102" t="n"/>
      <c r="F678" s="102" t="n"/>
      <c r="G678" s="102" t="n"/>
      <c r="H678" s="102"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c r="AA678" s="102" t="n"/>
    </row>
    <row r="679" ht="15.75" customHeight="1" s="205">
      <c r="A679" s="199" t="n"/>
      <c r="B679" s="102" t="n"/>
      <c r="C679" s="102" t="n"/>
      <c r="D679" s="102" t="n"/>
      <c r="E679" s="102" t="n"/>
      <c r="F679" s="102" t="n"/>
      <c r="G679" s="102" t="n"/>
      <c r="H679" s="102"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c r="AA679" s="102" t="n"/>
    </row>
    <row r="680" ht="15.75" customHeight="1" s="205">
      <c r="A680" s="199" t="n"/>
      <c r="B680" s="102" t="n"/>
      <c r="C680" s="102" t="n"/>
      <c r="D680" s="102" t="n"/>
      <c r="E680" s="102" t="n"/>
      <c r="F680" s="102" t="n"/>
      <c r="G680" s="102" t="n"/>
      <c r="H680" s="102"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c r="AA680" s="102" t="n"/>
    </row>
    <row r="681" ht="15.75" customHeight="1" s="205">
      <c r="A681" s="199" t="n"/>
      <c r="B681" s="102" t="n"/>
      <c r="C681" s="102" t="n"/>
      <c r="D681" s="102" t="n"/>
      <c r="E681" s="102" t="n"/>
      <c r="F681" s="102" t="n"/>
      <c r="G681" s="102" t="n"/>
      <c r="H681" s="102"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c r="AA681" s="102" t="n"/>
    </row>
    <row r="682" ht="15.75" customHeight="1" s="205">
      <c r="A682" s="199" t="n"/>
      <c r="B682" s="102" t="n"/>
      <c r="C682" s="102" t="n"/>
      <c r="D682" s="102" t="n"/>
      <c r="E682" s="102" t="n"/>
      <c r="F682" s="102" t="n"/>
      <c r="G682" s="102" t="n"/>
      <c r="H682" s="102"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c r="AA682" s="102" t="n"/>
    </row>
    <row r="683" ht="15.75" customHeight="1" s="205">
      <c r="A683" s="199" t="n"/>
      <c r="B683" s="102" t="n"/>
      <c r="C683" s="102" t="n"/>
      <c r="D683" s="102" t="n"/>
      <c r="E683" s="102" t="n"/>
      <c r="F683" s="102" t="n"/>
      <c r="G683" s="102" t="n"/>
      <c r="H683" s="102"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c r="AA683" s="102" t="n"/>
    </row>
    <row r="684" ht="15.75" customHeight="1" s="205">
      <c r="A684" s="199" t="n"/>
      <c r="B684" s="102" t="n"/>
      <c r="C684" s="102" t="n"/>
      <c r="D684" s="102" t="n"/>
      <c r="E684" s="102" t="n"/>
      <c r="F684" s="102" t="n"/>
      <c r="G684" s="102" t="n"/>
      <c r="H684" s="102"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c r="AA684" s="102" t="n"/>
    </row>
    <row r="685" ht="15.75" customHeight="1" s="205">
      <c r="A685" s="199" t="n"/>
      <c r="B685" s="102" t="n"/>
      <c r="C685" s="102" t="n"/>
      <c r="D685" s="102" t="n"/>
      <c r="E685" s="102" t="n"/>
      <c r="F685" s="102" t="n"/>
      <c r="G685" s="102" t="n"/>
      <c r="H685" s="102"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c r="AA685" s="102" t="n"/>
    </row>
    <row r="686" ht="15.75" customHeight="1" s="205">
      <c r="A686" s="199" t="n"/>
      <c r="B686" s="102" t="n"/>
      <c r="C686" s="102" t="n"/>
      <c r="D686" s="102" t="n"/>
      <c r="E686" s="102" t="n"/>
      <c r="F686" s="102" t="n"/>
      <c r="G686" s="102" t="n"/>
      <c r="H686" s="102"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c r="AA686" s="102" t="n"/>
    </row>
    <row r="687" ht="15.75" customHeight="1" s="205">
      <c r="A687" s="199" t="n"/>
      <c r="B687" s="102" t="n"/>
      <c r="C687" s="102" t="n"/>
      <c r="D687" s="102" t="n"/>
      <c r="E687" s="102" t="n"/>
      <c r="F687" s="102" t="n"/>
      <c r="G687" s="102" t="n"/>
      <c r="H687" s="102"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c r="AA687" s="102" t="n"/>
    </row>
    <row r="688" ht="15.75" customHeight="1" s="205">
      <c r="A688" s="199" t="n"/>
      <c r="B688" s="102" t="n"/>
      <c r="C688" s="102" t="n"/>
      <c r="D688" s="102" t="n"/>
      <c r="E688" s="102" t="n"/>
      <c r="F688" s="102" t="n"/>
      <c r="G688" s="102" t="n"/>
      <c r="H688" s="102"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c r="AA688" s="102" t="n"/>
    </row>
    <row r="689" ht="15.75" customHeight="1" s="205">
      <c r="A689" s="199" t="n"/>
      <c r="B689" s="102" t="n"/>
      <c r="C689" s="102" t="n"/>
      <c r="D689" s="102" t="n"/>
      <c r="E689" s="102" t="n"/>
      <c r="F689" s="102" t="n"/>
      <c r="G689" s="102" t="n"/>
      <c r="H689" s="102"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c r="AA689" s="102" t="n"/>
    </row>
    <row r="690" ht="15.75" customHeight="1" s="205">
      <c r="A690" s="199" t="n"/>
      <c r="B690" s="102" t="n"/>
      <c r="C690" s="102" t="n"/>
      <c r="D690" s="102" t="n"/>
      <c r="E690" s="102" t="n"/>
      <c r="F690" s="102" t="n"/>
      <c r="G690" s="102" t="n"/>
      <c r="H690" s="102"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c r="AA690" s="102" t="n"/>
    </row>
    <row r="691" ht="15.75" customHeight="1" s="205">
      <c r="A691" s="199" t="n"/>
      <c r="B691" s="102" t="n"/>
      <c r="C691" s="102" t="n"/>
      <c r="D691" s="102" t="n"/>
      <c r="E691" s="102" t="n"/>
      <c r="F691" s="102" t="n"/>
      <c r="G691" s="102" t="n"/>
      <c r="H691" s="102"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c r="AA691" s="102" t="n"/>
    </row>
    <row r="692" ht="15.75" customHeight="1" s="205">
      <c r="A692" s="199" t="n"/>
      <c r="B692" s="102" t="n"/>
      <c r="C692" s="102" t="n"/>
      <c r="D692" s="102" t="n"/>
      <c r="E692" s="102" t="n"/>
      <c r="F692" s="102" t="n"/>
      <c r="G692" s="102" t="n"/>
      <c r="H692" s="102"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c r="AA692" s="102" t="n"/>
    </row>
    <row r="693" ht="15.75" customHeight="1" s="205">
      <c r="A693" s="199" t="n"/>
      <c r="B693" s="102" t="n"/>
      <c r="C693" s="102" t="n"/>
      <c r="D693" s="102" t="n"/>
      <c r="E693" s="102" t="n"/>
      <c r="F693" s="102" t="n"/>
      <c r="G693" s="102" t="n"/>
      <c r="H693" s="102"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c r="AA693" s="102" t="n"/>
    </row>
    <row r="694" ht="15.75" customHeight="1" s="205">
      <c r="A694" s="199" t="n"/>
      <c r="B694" s="102" t="n"/>
      <c r="C694" s="102" t="n"/>
      <c r="D694" s="102" t="n"/>
      <c r="E694" s="102" t="n"/>
      <c r="F694" s="102" t="n"/>
      <c r="G694" s="102" t="n"/>
      <c r="H694" s="102"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c r="AA694" s="102" t="n"/>
    </row>
    <row r="695" ht="15.75" customHeight="1" s="205">
      <c r="A695" s="199" t="n"/>
      <c r="B695" s="102" t="n"/>
      <c r="C695" s="102" t="n"/>
      <c r="D695" s="102" t="n"/>
      <c r="E695" s="102" t="n"/>
      <c r="F695" s="102" t="n"/>
      <c r="G695" s="102" t="n"/>
      <c r="H695" s="102"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c r="AA695" s="102" t="n"/>
    </row>
    <row r="696" ht="15.75" customHeight="1" s="205">
      <c r="A696" s="199" t="n"/>
      <c r="B696" s="102" t="n"/>
      <c r="C696" s="102" t="n"/>
      <c r="D696" s="102" t="n"/>
      <c r="E696" s="102" t="n"/>
      <c r="F696" s="102" t="n"/>
      <c r="G696" s="102" t="n"/>
      <c r="H696" s="102"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c r="AA696" s="102" t="n"/>
    </row>
    <row r="697" ht="15.75" customHeight="1" s="205">
      <c r="A697" s="199" t="n"/>
      <c r="B697" s="102" t="n"/>
      <c r="C697" s="102" t="n"/>
      <c r="D697" s="102" t="n"/>
      <c r="E697" s="102" t="n"/>
      <c r="F697" s="102" t="n"/>
      <c r="G697" s="102" t="n"/>
      <c r="H697" s="102"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c r="AA697" s="102" t="n"/>
    </row>
    <row r="698" ht="15.75" customHeight="1" s="205">
      <c r="A698" s="199" t="n"/>
      <c r="B698" s="102" t="n"/>
      <c r="C698" s="102" t="n"/>
      <c r="D698" s="102" t="n"/>
      <c r="E698" s="102" t="n"/>
      <c r="F698" s="102" t="n"/>
      <c r="G698" s="102" t="n"/>
      <c r="H698" s="102"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c r="AA698" s="102" t="n"/>
    </row>
    <row r="699" ht="15.75" customHeight="1" s="205">
      <c r="A699" s="199" t="n"/>
      <c r="B699" s="102" t="n"/>
      <c r="C699" s="102" t="n"/>
      <c r="D699" s="102" t="n"/>
      <c r="E699" s="102" t="n"/>
      <c r="F699" s="102" t="n"/>
      <c r="G699" s="102" t="n"/>
      <c r="H699" s="102"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c r="AA699" s="102" t="n"/>
    </row>
    <row r="700" ht="15.75" customHeight="1" s="205"/>
    <row r="701" ht="15.75" customHeight="1" s="205"/>
    <row r="702" ht="15.75" customHeight="1" s="205"/>
    <row r="703" ht="15.75" customHeight="1" s="205"/>
    <row r="704" ht="15.75" customHeight="1" s="205"/>
    <row r="705" ht="15.75" customHeight="1" s="205"/>
    <row r="706" ht="15.75" customHeight="1" s="205"/>
    <row r="707" ht="15.75" customHeight="1" s="205"/>
    <row r="708" ht="15.75" customHeight="1" s="205"/>
    <row r="709" ht="15.75" customHeight="1" s="205"/>
    <row r="710" ht="15.75" customHeight="1" s="205"/>
    <row r="711" ht="15.75" customHeight="1" s="205"/>
    <row r="712" ht="15.75" customHeight="1" s="205"/>
    <row r="713" ht="15.75" customHeight="1" s="205"/>
    <row r="714" ht="15.75" customHeight="1" s="205"/>
    <row r="715" ht="15.75" customHeight="1" s="205"/>
    <row r="716" ht="15.75" customHeight="1" s="205"/>
    <row r="717" ht="15.75" customHeight="1" s="205"/>
    <row r="718" ht="15.75" customHeight="1" s="205"/>
    <row r="719" ht="15.75" customHeight="1" s="205"/>
    <row r="720" ht="15.75" customHeight="1" s="205"/>
    <row r="721" ht="15.75" customHeight="1" s="205"/>
    <row r="722" ht="15.75" customHeight="1" s="205"/>
    <row r="723" ht="15.75" customHeight="1" s="205"/>
    <row r="724" ht="15.75" customHeight="1" s="205"/>
    <row r="725" ht="15.75" customHeight="1" s="205"/>
    <row r="726" ht="15.75" customHeight="1" s="205"/>
    <row r="727" ht="15.75" customHeight="1" s="205"/>
    <row r="728" ht="15.75" customHeight="1" s="205"/>
    <row r="729" ht="15.75" customHeight="1" s="205"/>
    <row r="730" ht="15.75" customHeight="1" s="205"/>
    <row r="731" ht="15.75" customHeight="1" s="205"/>
    <row r="732" ht="15.75" customHeight="1" s="205"/>
    <row r="733" ht="15.75" customHeight="1" s="205"/>
    <row r="734" ht="15.75" customHeight="1" s="205"/>
    <row r="735" ht="15.75" customHeight="1" s="205"/>
    <row r="736" ht="15.75" customHeight="1" s="205"/>
    <row r="737" ht="15.75" customHeight="1" s="205"/>
    <row r="738" ht="15.75" customHeight="1" s="205"/>
    <row r="739" ht="15.75" customHeight="1" s="205"/>
    <row r="740" ht="15.75" customHeight="1" s="205"/>
    <row r="741" ht="15.75" customHeight="1" s="205"/>
    <row r="742" ht="15.75" customHeight="1" s="205"/>
    <row r="743" ht="15.75" customHeight="1" s="205"/>
    <row r="744" ht="15.75" customHeight="1" s="205"/>
    <row r="745" ht="15.75" customHeight="1" s="205"/>
    <row r="746" ht="15.75" customHeight="1" s="205"/>
    <row r="747" ht="15.75" customHeight="1" s="205"/>
    <row r="748" ht="15.75" customHeight="1" s="205"/>
    <row r="749" ht="15.75" customHeight="1" s="205"/>
    <row r="750" ht="15.75" customHeight="1" s="205"/>
    <row r="751" ht="15.75" customHeight="1" s="205"/>
    <row r="752" ht="15.75" customHeight="1" s="205"/>
    <row r="753" ht="15.75" customHeight="1" s="205"/>
    <row r="754" ht="15.75" customHeight="1" s="205"/>
    <row r="755" ht="15.75" customHeight="1" s="205"/>
    <row r="756" ht="15.75" customHeight="1" s="205"/>
    <row r="757" ht="15.75" customHeight="1" s="205"/>
    <row r="758" ht="15.75" customHeight="1" s="205"/>
    <row r="759" ht="15.75" customHeight="1" s="205"/>
    <row r="760" ht="15.75" customHeight="1" s="205"/>
    <row r="761" ht="15.75" customHeight="1" s="205"/>
    <row r="762" ht="15.75" customHeight="1" s="205"/>
    <row r="763" ht="15.75" customHeight="1" s="205"/>
    <row r="764" ht="15.75" customHeight="1" s="205"/>
    <row r="765" ht="15.75" customHeight="1" s="205"/>
    <row r="766" ht="15.75" customHeight="1" s="205"/>
    <row r="767" ht="15.75" customHeight="1" s="205"/>
    <row r="768" ht="15.75" customHeight="1" s="205"/>
    <row r="769" ht="15.75" customHeight="1" s="205"/>
    <row r="770" ht="15.75" customHeight="1" s="205"/>
    <row r="771" ht="15.75" customHeight="1" s="205"/>
    <row r="772" ht="15.75" customHeight="1" s="205"/>
    <row r="773" ht="15.75" customHeight="1" s="205"/>
    <row r="774" ht="15.75" customHeight="1" s="205"/>
    <row r="775" ht="15.75" customHeight="1" s="205"/>
    <row r="776" ht="15.75" customHeight="1" s="205"/>
    <row r="777" ht="15.75" customHeight="1" s="205"/>
    <row r="778" ht="15.75" customHeight="1" s="205"/>
    <row r="779" ht="15.75" customHeight="1" s="205"/>
    <row r="780" ht="15.75" customHeight="1" s="205"/>
    <row r="781" ht="15.75" customHeight="1" s="205"/>
    <row r="782" ht="15.75" customHeight="1" s="205"/>
    <row r="783" ht="15.75" customHeight="1" s="205"/>
    <row r="784" ht="15.75" customHeight="1" s="205"/>
    <row r="785" ht="15.75" customHeight="1" s="205"/>
    <row r="786" ht="15.75" customHeight="1" s="205"/>
    <row r="787" ht="15.75" customHeight="1" s="205"/>
    <row r="788" ht="15.75" customHeight="1" s="205"/>
    <row r="789" ht="15.75" customHeight="1" s="205"/>
    <row r="790" ht="15.75" customHeight="1" s="205"/>
    <row r="791" ht="15.75" customHeight="1" s="205"/>
    <row r="792" ht="15.75" customHeight="1" s="205"/>
    <row r="793" ht="15.75" customHeight="1" s="205"/>
    <row r="794" ht="15.75" customHeight="1" s="205"/>
    <row r="795" ht="15.75" customHeight="1" s="205"/>
    <row r="796" ht="15.75" customHeight="1" s="205"/>
    <row r="797" ht="15.75" customHeight="1" s="205"/>
    <row r="798" ht="15.75" customHeight="1" s="205"/>
    <row r="799" ht="15.75" customHeight="1" s="205"/>
    <row r="800" ht="15.75" customHeight="1" s="205"/>
    <row r="801" ht="15.75" customHeight="1" s="205"/>
    <row r="802" ht="15.75" customHeight="1" s="205"/>
    <row r="803" ht="15.75" customHeight="1" s="205"/>
    <row r="804" ht="15.75" customHeight="1" s="205"/>
    <row r="805" ht="15.75" customHeight="1" s="205"/>
    <row r="806" ht="15.75" customHeight="1" s="205"/>
    <row r="807" ht="15.75" customHeight="1" s="205"/>
    <row r="808" ht="15.75" customHeight="1" s="205"/>
    <row r="809" ht="15.75" customHeight="1" s="205"/>
    <row r="810" ht="15.75" customHeight="1" s="205"/>
    <row r="811" ht="15.75" customHeight="1" s="205"/>
    <row r="812" ht="15.75" customHeight="1" s="205"/>
    <row r="813" ht="15.75" customHeight="1" s="205"/>
    <row r="814" ht="15.75" customHeight="1" s="205"/>
    <row r="815" ht="15.75" customHeight="1" s="205"/>
    <row r="816" ht="15.75" customHeight="1" s="205"/>
    <row r="817" ht="15.75" customHeight="1" s="205"/>
    <row r="818" ht="15.75" customHeight="1" s="205"/>
    <row r="819" ht="15.75" customHeight="1" s="205"/>
    <row r="820" ht="15.75" customHeight="1" s="205"/>
    <row r="821" ht="15.75" customHeight="1" s="205"/>
    <row r="822" ht="15.75" customHeight="1" s="205"/>
    <row r="823" ht="15.75" customHeight="1" s="205"/>
    <row r="824" ht="15.75" customHeight="1" s="205"/>
    <row r="825" ht="15.75" customHeight="1" s="205"/>
    <row r="826" ht="15.75" customHeight="1" s="205"/>
    <row r="827" ht="15.75" customHeight="1" s="205"/>
    <row r="828" ht="15.75" customHeight="1" s="205"/>
    <row r="829" ht="15.75" customHeight="1" s="205"/>
    <row r="830" ht="15.75" customHeight="1" s="205"/>
    <row r="831" ht="15.75" customHeight="1" s="205"/>
    <row r="832" ht="15.75" customHeight="1" s="205"/>
    <row r="833" ht="15.75" customHeight="1" s="205"/>
    <row r="834" ht="15.75" customHeight="1" s="205"/>
    <row r="835" ht="15.75" customHeight="1" s="205"/>
    <row r="836" ht="15.75" customHeight="1" s="205"/>
    <row r="837" ht="15.75" customHeight="1" s="205"/>
    <row r="838" ht="15.75" customHeight="1" s="205"/>
    <row r="839" ht="15.75" customHeight="1" s="205"/>
    <row r="840" ht="15.75" customHeight="1" s="205"/>
    <row r="841" ht="15.75" customHeight="1" s="205"/>
    <row r="842" ht="15.75" customHeight="1" s="205"/>
    <row r="843" ht="15.75" customHeight="1" s="205"/>
    <row r="844" ht="15.75" customHeight="1" s="205"/>
    <row r="845" ht="15.75" customHeight="1" s="205"/>
    <row r="846" ht="15.75" customHeight="1" s="205"/>
    <row r="847" ht="15.75" customHeight="1" s="205"/>
    <row r="848" ht="15.75" customHeight="1" s="205"/>
    <row r="849" ht="15.75" customHeight="1" s="205"/>
    <row r="850" ht="15.75" customHeight="1" s="205"/>
    <row r="851" ht="15.75" customHeight="1" s="205"/>
    <row r="852" ht="15.75" customHeight="1" s="205"/>
    <row r="853" ht="15.75" customHeight="1" s="205"/>
    <row r="854" ht="15.75" customHeight="1" s="205"/>
    <row r="855" ht="15.75" customHeight="1" s="205"/>
    <row r="856" ht="15.75" customHeight="1" s="205"/>
    <row r="857" ht="15.75" customHeight="1" s="205"/>
    <row r="858" ht="15.75" customHeight="1" s="205"/>
    <row r="859" ht="15.75" customHeight="1" s="205"/>
    <row r="860" ht="15.75" customHeight="1" s="205"/>
    <row r="861" ht="15.75" customHeight="1" s="205"/>
    <row r="862" ht="15.75" customHeight="1" s="205"/>
    <row r="863" ht="15.75" customHeight="1" s="205"/>
    <row r="864" ht="15.75" customHeight="1" s="205"/>
    <row r="865" ht="15.75" customHeight="1" s="205"/>
    <row r="866" ht="15.75" customHeight="1" s="205"/>
    <row r="867" ht="15.75" customHeight="1" s="205"/>
    <row r="868" ht="15.75" customHeight="1" s="205"/>
    <row r="869" ht="15.75" customHeight="1" s="205"/>
    <row r="870" ht="15.75" customHeight="1" s="205"/>
    <row r="871" ht="15.75" customHeight="1" s="205"/>
    <row r="872" ht="15.75" customHeight="1" s="205"/>
    <row r="873" ht="15.75" customHeight="1" s="205"/>
    <row r="874" ht="15.75" customHeight="1" s="205"/>
    <row r="875" ht="15.75" customHeight="1" s="205"/>
    <row r="876" ht="15.75" customHeight="1" s="205"/>
    <row r="877" ht="15.75" customHeight="1" s="205"/>
    <row r="878" ht="15.75" customHeight="1" s="205"/>
    <row r="879" ht="15.75" customHeight="1" s="205"/>
    <row r="880" ht="15.75" customHeight="1" s="205"/>
    <row r="881" ht="15.75" customHeight="1" s="205"/>
    <row r="882" ht="15.75" customHeight="1" s="205"/>
    <row r="883" ht="15.75" customHeight="1" s="205"/>
    <row r="884" ht="15.75" customHeight="1" s="205"/>
    <row r="885" ht="15.75" customHeight="1" s="205"/>
    <row r="886" ht="15.75" customHeight="1" s="205"/>
    <row r="887" ht="15.75" customHeight="1" s="205"/>
    <row r="888" ht="15.75" customHeight="1" s="205"/>
    <row r="889" ht="15.75" customHeight="1" s="205"/>
    <row r="890" ht="15.75" customHeight="1" s="205"/>
    <row r="891" ht="15.75" customHeight="1" s="205"/>
    <row r="892" ht="15.75" customHeight="1" s="205"/>
    <row r="893" ht="15.75" customHeight="1" s="205"/>
    <row r="894" ht="15.75" customHeight="1" s="205"/>
    <row r="895" ht="15.75" customHeight="1" s="205"/>
    <row r="896" ht="15.75" customHeight="1" s="205"/>
    <row r="897" ht="15.75" customHeight="1" s="205"/>
    <row r="898" ht="15.75" customHeight="1" s="205"/>
    <row r="899" ht="15.75" customHeight="1" s="205"/>
    <row r="900" ht="15.75" customHeight="1" s="205"/>
    <row r="901" ht="15.75" customHeight="1" s="205"/>
    <row r="902" ht="15.75" customHeight="1" s="205"/>
    <row r="903" ht="15.75" customHeight="1" s="205"/>
    <row r="904" ht="15.75" customHeight="1" s="205"/>
    <row r="905" ht="15.75" customHeight="1" s="205"/>
    <row r="906" ht="15.75" customHeight="1" s="205"/>
    <row r="907" ht="15.75" customHeight="1" s="205"/>
    <row r="908" ht="15.75" customHeight="1" s="205"/>
    <row r="909" ht="15.75" customHeight="1" s="205"/>
    <row r="910" ht="15.75" customHeight="1" s="205"/>
    <row r="911" ht="15.75" customHeight="1" s="205"/>
    <row r="912" ht="15.75" customHeight="1" s="205"/>
    <row r="913" ht="15.75" customHeight="1" s="205"/>
    <row r="914" ht="15.75" customHeight="1" s="205"/>
    <row r="915" ht="15.75" customHeight="1" s="205"/>
    <row r="916" ht="15.75" customHeight="1" s="205"/>
    <row r="917" ht="15.75" customHeight="1" s="205"/>
    <row r="918" ht="15.75" customHeight="1" s="205"/>
    <row r="919" ht="15.75" customHeight="1" s="205"/>
    <row r="920" ht="15.75" customHeight="1" s="205"/>
    <row r="921" ht="15.75" customHeight="1" s="205"/>
    <row r="922" ht="15.75" customHeight="1" s="205"/>
    <row r="923" ht="15.75" customHeight="1" s="205"/>
    <row r="924" ht="15.75" customHeight="1" s="205"/>
    <row r="925" ht="15.75" customHeight="1" s="205"/>
    <row r="926" ht="15.75" customHeight="1" s="205"/>
    <row r="927" ht="15.75" customHeight="1" s="205"/>
    <row r="928" ht="15.75" customHeight="1" s="205"/>
    <row r="929" ht="15.75" customHeight="1" s="205"/>
    <row r="930" ht="15.75" customHeight="1" s="205"/>
    <row r="931" ht="15.75" customHeight="1" s="205"/>
    <row r="932" ht="15.75" customHeight="1" s="205"/>
    <row r="933" ht="15.75" customHeight="1" s="205"/>
    <row r="934" ht="15.75" customHeight="1" s="205"/>
    <row r="935" ht="15.75" customHeight="1" s="205"/>
    <row r="936" ht="15.75" customHeight="1" s="205"/>
    <row r="937" ht="15.75" customHeight="1" s="205"/>
    <row r="938" ht="15.75" customHeight="1" s="205"/>
    <row r="939" ht="15.75" customHeight="1" s="205"/>
    <row r="940" ht="15.75" customHeight="1" s="205"/>
    <row r="941" ht="15.75" customHeight="1" s="205"/>
    <row r="942" ht="15.75" customHeight="1" s="205"/>
    <row r="943" ht="15.75" customHeight="1" s="205"/>
    <row r="944" ht="15.75" customHeight="1" s="205"/>
    <row r="945" ht="15.75" customHeight="1" s="205"/>
    <row r="946" ht="15.75" customHeight="1" s="205"/>
    <row r="947" ht="15.75" customHeight="1" s="205"/>
    <row r="948" ht="15.75" customHeight="1" s="205"/>
    <row r="949" ht="15.75" customHeight="1" s="205"/>
    <row r="950" ht="15.75" customHeight="1" s="205"/>
    <row r="951" ht="15.75" customHeight="1" s="205"/>
    <row r="952" ht="15.75" customHeight="1" s="205"/>
    <row r="953" ht="15.75" customHeight="1" s="205"/>
    <row r="954" ht="15.75" customHeight="1" s="205"/>
    <row r="955" ht="15.75" customHeight="1" s="205"/>
    <row r="956" ht="15.75" customHeight="1" s="205"/>
    <row r="957" ht="15.75" customHeight="1" s="205"/>
    <row r="958" ht="15.75" customHeight="1" s="205"/>
    <row r="959" ht="15.75" customHeight="1" s="205"/>
    <row r="960" ht="15.75" customHeight="1" s="205"/>
    <row r="961" ht="15.75" customHeight="1" s="205"/>
    <row r="962" ht="15.75" customHeight="1" s="205"/>
    <row r="963" ht="15.75" customHeight="1" s="205"/>
    <row r="964" ht="15.75" customHeight="1" s="205"/>
    <row r="965" ht="15.75" customHeight="1" s="205"/>
    <row r="966" ht="15.75" customHeight="1" s="205"/>
    <row r="967" ht="15.75" customHeight="1" s="205"/>
    <row r="968" ht="15.75" customHeight="1" s="205"/>
    <row r="969" ht="15.75" customHeight="1" s="205"/>
    <row r="970" ht="15.75" customHeight="1" s="205"/>
    <row r="971" ht="15.75" customHeight="1" s="205"/>
    <row r="972" ht="15.75" customHeight="1" s="205"/>
    <row r="973" ht="15.75" customHeight="1" s="205"/>
    <row r="974" ht="15.75" customHeight="1" s="205"/>
    <row r="975" ht="15.75" customHeight="1" s="205"/>
    <row r="976" ht="15.75" customHeight="1" s="205"/>
    <row r="977" ht="15.75" customHeight="1" s="205"/>
    <row r="978" ht="15.75" customHeight="1" s="205"/>
    <row r="979" ht="15.75" customHeight="1" s="205"/>
    <row r="980" ht="15.75" customHeight="1" s="205"/>
    <row r="981" ht="15.75" customHeight="1" s="205"/>
    <row r="982" ht="15.75" customHeight="1" s="205"/>
    <row r="983" ht="15.75" customHeight="1" s="205"/>
    <row r="984" ht="15.75" customHeight="1" s="205"/>
    <row r="985" ht="15.75" customHeight="1" s="205"/>
    <row r="986" ht="15.75" customHeight="1" s="205"/>
    <row r="987" ht="15.75" customHeight="1" s="205"/>
    <row r="988" ht="15.75" customHeight="1" s="205"/>
    <row r="989" ht="15.75" customHeight="1" s="205"/>
    <row r="990" ht="15.75" customHeight="1" s="205"/>
    <row r="991" ht="15.75" customHeight="1" s="205"/>
    <row r="992" ht="15.75" customHeight="1" s="205"/>
    <row r="993" ht="15.75" customHeight="1" s="205"/>
    <row r="994" ht="15.75" customHeight="1" s="205"/>
    <row r="995" ht="15.75" customHeight="1" s="205"/>
    <row r="996" ht="15.75" customHeight="1" s="205"/>
    <row r="997" ht="15.75" customHeight="1" s="205"/>
    <row r="998" ht="15.75" customHeight="1" s="205"/>
    <row r="999" ht="15.75" customHeight="1" s="205"/>
    <row r="1000" ht="15.75" customHeight="1" s="205"/>
  </sheetData>
  <mergeCells count="28">
    <mergeCell ref="B1:Q5"/>
    <mergeCell ref="H6:H7"/>
    <mergeCell ref="AA6:AA7"/>
    <mergeCell ref="J6:J7"/>
    <mergeCell ref="P6:P7"/>
    <mergeCell ref="R6:R7"/>
    <mergeCell ref="F6:F7"/>
    <mergeCell ref="V6:V7"/>
    <mergeCell ref="X6:X7"/>
    <mergeCell ref="G6:G7"/>
    <mergeCell ref="M6:M7"/>
    <mergeCell ref="E6:E7"/>
    <mergeCell ref="Q6:Q7"/>
    <mergeCell ref="S6:S7"/>
    <mergeCell ref="B6:B7"/>
    <mergeCell ref="Y6:Y7"/>
    <mergeCell ref="D6:D7"/>
    <mergeCell ref="R1:AA5"/>
    <mergeCell ref="L6:L7"/>
    <mergeCell ref="N6:N7"/>
    <mergeCell ref="T6:T7"/>
    <mergeCell ref="Z6:Z7"/>
    <mergeCell ref="I6:I7"/>
    <mergeCell ref="K6:K7"/>
    <mergeCell ref="C6:C7"/>
    <mergeCell ref="O6:O7"/>
    <mergeCell ref="U6:U7"/>
    <mergeCell ref="W6:W7"/>
  </mergeCells>
  <dataValidations count="6">
    <dataValidation sqref="F8:F499" showDropDown="0" showInputMessage="0" showErrorMessage="1" allowBlank="1" type="list">
      <formula1>"Reels,Carousel,Single Image,Text Threads/X,Video Panjang,Video Pendek"</formula1>
    </dataValidation>
    <dataValidation sqref="G8:G499" showDropDown="0" showInputMessage="1" showErrorMessage="1" allowBlank="1" prompt="Click and enter a value from the list of items" type="list">
      <formula1>"Aware,Interest,Desire,Sales/Traffic"</formula1>
    </dataValidation>
    <dataValidation sqref="H8:H499" showDropDown="0" showInputMessage="1" showErrorMessage="1" allowBlank="1" prompt="Click and enter a value from the list of items" type="list">
      <formula1>"Sesuaikan dengan Pillarmu"</formula1>
    </dataValidation>
    <dataValidation sqref="D8:D499" showDropDown="0" showInputMessage="1" showErrorMessage="1" allowBlank="1" prompt="Click and enter a value from the list of items" type="list">
      <formula1>"Siapa yang Bertanggung Jawab"</formula1>
    </dataValidation>
    <dataValidation sqref="E8:E499" showDropDown="0" showInputMessage="1" showErrorMessage="1" allowBlank="1" prompt="Click and enter a value from the list of items" type="list">
      <formula1>"Instagram,TikTok,Threads/X,YouTube,LinkedIn"</formula1>
    </dataValidation>
    <dataValidation sqref="O8:O499" showDropDown="0" showInputMessage="1" showErrorMessage="1" allowBlank="1" prompt="Click and enter a value from the list of items" type="list">
      <formula1>"Dalam Proses,Butuh Persetujuan,Siap Posting,Sudah Posting"</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2026-06-14T19:03:14Z</dcterms:created>
  <dcterms:modified xmlns:dcterms="http://purl.org/dc/terms/" xmlns:xsi="http://www.w3.org/2001/XMLSchema-instance" xsi:type="dcterms:W3CDTF">2026-06-14T19:03:15Z</dcterms:modified>
</cp:coreProperties>
</file>